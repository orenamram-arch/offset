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IMOE001\Desktop\"/>
    </mc:Choice>
  </mc:AlternateContent>
  <xr:revisionPtr revIDLastSave="0" documentId="8_{DD6B02E4-B025-4740-85B1-61BAF10DF461}" xr6:coauthVersionLast="47" xr6:coauthVersionMax="47" xr10:uidLastSave="{00000000-0000-0000-0000-000000000000}"/>
  <bookViews>
    <workbookView xWindow="-120" yWindow="-120" windowWidth="20730" windowHeight="11160" xr2:uid="{D829372A-AFBE-4752-8678-BD4D76CAC78E}"/>
  </bookViews>
  <sheets>
    <sheet name="avl" sheetId="1" r:id="rId1"/>
    <sheet name="FFF" sheetId="4" r:id="rId2"/>
    <sheet name="Report" sheetId="5" r:id="rId3"/>
    <sheet name="PPV" sheetId="3" r:id="rId4"/>
  </sheets>
  <externalReferences>
    <externalReference r:id="rId5"/>
  </externalReferences>
  <definedNames>
    <definedName name="_xlnm._FilterDatabase" localSheetId="0" hidden="1">avl!$A$7:$BN$435</definedName>
    <definedName name="_xlnm._FilterDatabase" localSheetId="1" hidden="1">FFF!$A$1:$E$1000</definedName>
    <definedName name="_xlnm._FilterDatabase" localSheetId="2" hidden="1">Report!$A$1:$M$660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V9" i="1" l="1"/>
  <c r="AW9" i="1"/>
  <c r="AX9" i="1"/>
  <c r="AY9" i="1"/>
  <c r="AZ9" i="1"/>
  <c r="BA9" i="1"/>
  <c r="BB9" i="1"/>
  <c r="BC9" i="1"/>
  <c r="BD9" i="1"/>
  <c r="BE9" i="1"/>
  <c r="BF9" i="1"/>
  <c r="BG9" i="1"/>
  <c r="BH9" i="1"/>
  <c r="BI9" i="1"/>
  <c r="BJ9" i="1"/>
  <c r="BK9" i="1"/>
  <c r="BL9" i="1"/>
  <c r="BM9" i="1"/>
  <c r="BN9" i="1"/>
  <c r="AV10" i="1"/>
  <c r="AW10" i="1"/>
  <c r="AX10" i="1"/>
  <c r="AY10" i="1"/>
  <c r="AZ10" i="1"/>
  <c r="BA10" i="1"/>
  <c r="BB10" i="1"/>
  <c r="BC10" i="1"/>
  <c r="BD10" i="1"/>
  <c r="BE10" i="1"/>
  <c r="BF10" i="1"/>
  <c r="BG10" i="1"/>
  <c r="BH10" i="1"/>
  <c r="BI10" i="1"/>
  <c r="BJ10" i="1"/>
  <c r="BK10" i="1"/>
  <c r="BL10" i="1"/>
  <c r="BM10" i="1"/>
  <c r="BN10" i="1"/>
  <c r="AV11" i="1"/>
  <c r="AW11" i="1"/>
  <c r="AX11" i="1"/>
  <c r="AY11" i="1"/>
  <c r="AZ11" i="1"/>
  <c r="BA11" i="1"/>
  <c r="BB11" i="1"/>
  <c r="BC11" i="1"/>
  <c r="BD11" i="1"/>
  <c r="BE11" i="1"/>
  <c r="BF11" i="1"/>
  <c r="BG11" i="1"/>
  <c r="BH11" i="1"/>
  <c r="BI11" i="1"/>
  <c r="BJ11" i="1"/>
  <c r="BK11" i="1"/>
  <c r="BL11" i="1"/>
  <c r="BM11" i="1"/>
  <c r="BN11" i="1"/>
  <c r="AV12" i="1"/>
  <c r="AW12" i="1"/>
  <c r="AX12" i="1"/>
  <c r="AY12" i="1"/>
  <c r="AZ12" i="1"/>
  <c r="BA12" i="1"/>
  <c r="BB12" i="1"/>
  <c r="BC12" i="1"/>
  <c r="BD12" i="1"/>
  <c r="BE12" i="1"/>
  <c r="BF12" i="1"/>
  <c r="BG12" i="1"/>
  <c r="BH12" i="1"/>
  <c r="BI12" i="1"/>
  <c r="BJ12" i="1"/>
  <c r="BK12" i="1"/>
  <c r="BL12" i="1"/>
  <c r="BM12" i="1"/>
  <c r="BN12" i="1"/>
  <c r="AV13" i="1"/>
  <c r="AW13" i="1"/>
  <c r="AX13" i="1"/>
  <c r="AY13" i="1"/>
  <c r="AZ13" i="1"/>
  <c r="BA13" i="1"/>
  <c r="BB13" i="1"/>
  <c r="BC13" i="1"/>
  <c r="BD13" i="1"/>
  <c r="BE13" i="1"/>
  <c r="BF13" i="1"/>
  <c r="BG13" i="1"/>
  <c r="BH13" i="1"/>
  <c r="BI13" i="1"/>
  <c r="BJ13" i="1"/>
  <c r="BK13" i="1"/>
  <c r="BL13" i="1"/>
  <c r="BM13" i="1"/>
  <c r="BN13" i="1"/>
  <c r="AV14" i="1"/>
  <c r="AW14" i="1"/>
  <c r="AX14" i="1"/>
  <c r="AY14" i="1"/>
  <c r="AZ14" i="1"/>
  <c r="BA14" i="1"/>
  <c r="BB14" i="1"/>
  <c r="BC14" i="1"/>
  <c r="BD14" i="1"/>
  <c r="BE14" i="1"/>
  <c r="BF14" i="1"/>
  <c r="BG14" i="1"/>
  <c r="BH14" i="1"/>
  <c r="BI14" i="1"/>
  <c r="BJ14" i="1"/>
  <c r="BK14" i="1"/>
  <c r="BL14" i="1"/>
  <c r="BM14" i="1"/>
  <c r="BN14" i="1"/>
  <c r="AV15" i="1"/>
  <c r="AW15" i="1"/>
  <c r="AX15" i="1"/>
  <c r="AY15" i="1"/>
  <c r="AZ15" i="1"/>
  <c r="BA15" i="1"/>
  <c r="BB15" i="1"/>
  <c r="BC15" i="1"/>
  <c r="BD15" i="1"/>
  <c r="BE15" i="1"/>
  <c r="BF15" i="1"/>
  <c r="BG15" i="1"/>
  <c r="BH15" i="1"/>
  <c r="BI15" i="1"/>
  <c r="BJ15" i="1"/>
  <c r="BK15" i="1"/>
  <c r="BL15" i="1"/>
  <c r="BM15" i="1"/>
  <c r="BN15" i="1"/>
  <c r="AV16" i="1"/>
  <c r="AW16" i="1"/>
  <c r="AX16" i="1"/>
  <c r="AY16" i="1"/>
  <c r="AZ16" i="1"/>
  <c r="BA16" i="1"/>
  <c r="BB16" i="1"/>
  <c r="BC16" i="1"/>
  <c r="BD16" i="1"/>
  <c r="BE16" i="1"/>
  <c r="BF16" i="1"/>
  <c r="BG16" i="1"/>
  <c r="BH16" i="1"/>
  <c r="BI16" i="1"/>
  <c r="BJ16" i="1"/>
  <c r="BK16" i="1"/>
  <c r="BL16" i="1"/>
  <c r="BM16" i="1"/>
  <c r="BN16" i="1"/>
  <c r="AV17" i="1"/>
  <c r="AW17" i="1"/>
  <c r="AX17" i="1"/>
  <c r="AY17" i="1"/>
  <c r="AZ17" i="1"/>
  <c r="BA17" i="1"/>
  <c r="BB17" i="1"/>
  <c r="BC17" i="1"/>
  <c r="BD17" i="1"/>
  <c r="BE17" i="1"/>
  <c r="BF17" i="1"/>
  <c r="BG17" i="1"/>
  <c r="BH17" i="1"/>
  <c r="BI17" i="1"/>
  <c r="BJ17" i="1"/>
  <c r="BK17" i="1"/>
  <c r="BL17" i="1"/>
  <c r="BM17" i="1"/>
  <c r="BN17" i="1"/>
  <c r="AV18" i="1"/>
  <c r="AW18" i="1"/>
  <c r="AX18" i="1"/>
  <c r="AY18" i="1"/>
  <c r="AZ18" i="1"/>
  <c r="BA18" i="1"/>
  <c r="BB18" i="1"/>
  <c r="BC18" i="1"/>
  <c r="BD18" i="1"/>
  <c r="BE18" i="1"/>
  <c r="BF18" i="1"/>
  <c r="BG18" i="1"/>
  <c r="BH18" i="1"/>
  <c r="BI18" i="1"/>
  <c r="BJ18" i="1"/>
  <c r="BK18" i="1"/>
  <c r="BL18" i="1"/>
  <c r="BM18" i="1"/>
  <c r="BN18" i="1"/>
  <c r="AV19" i="1"/>
  <c r="AW19" i="1"/>
  <c r="AX19" i="1"/>
  <c r="AY19" i="1"/>
  <c r="AZ19" i="1"/>
  <c r="BA19" i="1"/>
  <c r="BB19" i="1"/>
  <c r="BC19" i="1"/>
  <c r="BD19" i="1"/>
  <c r="BE19" i="1"/>
  <c r="BF19" i="1"/>
  <c r="BG19" i="1"/>
  <c r="BH19" i="1"/>
  <c r="BI19" i="1"/>
  <c r="BJ19" i="1"/>
  <c r="BK19" i="1"/>
  <c r="BL19" i="1"/>
  <c r="BM19" i="1"/>
  <c r="BN19" i="1"/>
  <c r="AV20" i="1"/>
  <c r="AW20" i="1"/>
  <c r="AX20" i="1"/>
  <c r="AY20" i="1"/>
  <c r="AZ20" i="1"/>
  <c r="BA20" i="1"/>
  <c r="BB20" i="1"/>
  <c r="BC20" i="1"/>
  <c r="BD20" i="1"/>
  <c r="BE20" i="1"/>
  <c r="BF20" i="1"/>
  <c r="BG20" i="1"/>
  <c r="BH20" i="1"/>
  <c r="BI20" i="1"/>
  <c r="BJ20" i="1"/>
  <c r="BK20" i="1"/>
  <c r="BL20" i="1"/>
  <c r="BM20" i="1"/>
  <c r="BN20" i="1"/>
  <c r="AV21" i="1"/>
  <c r="AW21" i="1"/>
  <c r="AX21" i="1"/>
  <c r="AY21" i="1"/>
  <c r="AZ21" i="1"/>
  <c r="BA21" i="1"/>
  <c r="BB21" i="1"/>
  <c r="BC21" i="1"/>
  <c r="BD21" i="1"/>
  <c r="BE21" i="1"/>
  <c r="BF21" i="1"/>
  <c r="BG21" i="1"/>
  <c r="BH21" i="1"/>
  <c r="BI21" i="1"/>
  <c r="BJ21" i="1"/>
  <c r="BK21" i="1"/>
  <c r="BL21" i="1"/>
  <c r="BM21" i="1"/>
  <c r="BN21" i="1"/>
  <c r="AV22" i="1"/>
  <c r="AW22" i="1"/>
  <c r="AX22" i="1"/>
  <c r="AY22" i="1"/>
  <c r="AZ22" i="1"/>
  <c r="BA22" i="1"/>
  <c r="BB22" i="1"/>
  <c r="BC22" i="1"/>
  <c r="BD22" i="1"/>
  <c r="BE22" i="1"/>
  <c r="BF22" i="1"/>
  <c r="BG22" i="1"/>
  <c r="BH22" i="1"/>
  <c r="BI22" i="1"/>
  <c r="BJ22" i="1"/>
  <c r="BK22" i="1"/>
  <c r="BL22" i="1"/>
  <c r="BM22" i="1"/>
  <c r="BN22" i="1"/>
  <c r="AV23" i="1"/>
  <c r="AW23" i="1"/>
  <c r="AX23" i="1"/>
  <c r="AY23" i="1"/>
  <c r="AZ23" i="1"/>
  <c r="BA23" i="1"/>
  <c r="BB23" i="1"/>
  <c r="BC23" i="1"/>
  <c r="BD23" i="1"/>
  <c r="BE23" i="1"/>
  <c r="BF23" i="1"/>
  <c r="BG23" i="1"/>
  <c r="BH23" i="1"/>
  <c r="BI23" i="1"/>
  <c r="BJ23" i="1"/>
  <c r="BK23" i="1"/>
  <c r="BL23" i="1"/>
  <c r="BM23" i="1"/>
  <c r="BN23" i="1"/>
  <c r="AV24" i="1"/>
  <c r="AW24" i="1"/>
  <c r="AX24" i="1"/>
  <c r="AY24" i="1"/>
  <c r="AZ24" i="1"/>
  <c r="BA24" i="1"/>
  <c r="BB24" i="1"/>
  <c r="BC24" i="1"/>
  <c r="BD24" i="1"/>
  <c r="BE24" i="1"/>
  <c r="BF24" i="1"/>
  <c r="BG24" i="1"/>
  <c r="BH24" i="1"/>
  <c r="BI24" i="1"/>
  <c r="BJ24" i="1"/>
  <c r="BK24" i="1"/>
  <c r="BL24" i="1"/>
  <c r="BM24" i="1"/>
  <c r="BN24" i="1"/>
  <c r="AV25" i="1"/>
  <c r="AW25" i="1"/>
  <c r="AX25" i="1"/>
  <c r="AY25" i="1"/>
  <c r="AZ25" i="1"/>
  <c r="BA25" i="1"/>
  <c r="BB25" i="1"/>
  <c r="BC25" i="1"/>
  <c r="BD25" i="1"/>
  <c r="BE25" i="1"/>
  <c r="BF25" i="1"/>
  <c r="BG25" i="1"/>
  <c r="BH25" i="1"/>
  <c r="BI25" i="1"/>
  <c r="BJ25" i="1"/>
  <c r="BK25" i="1"/>
  <c r="BL25" i="1"/>
  <c r="BM25" i="1"/>
  <c r="BN25" i="1"/>
  <c r="AV26" i="1"/>
  <c r="AW26" i="1"/>
  <c r="AX26" i="1"/>
  <c r="AY26" i="1"/>
  <c r="AZ26" i="1"/>
  <c r="BA26" i="1"/>
  <c r="BB26" i="1"/>
  <c r="BC26" i="1"/>
  <c r="BD26" i="1"/>
  <c r="BE26" i="1"/>
  <c r="BF26" i="1"/>
  <c r="BG26" i="1"/>
  <c r="BH26" i="1"/>
  <c r="BI26" i="1"/>
  <c r="BJ26" i="1"/>
  <c r="BK26" i="1"/>
  <c r="BL26" i="1"/>
  <c r="BM26" i="1"/>
  <c r="BN26" i="1"/>
  <c r="AV27" i="1"/>
  <c r="AW27" i="1"/>
  <c r="AX27" i="1"/>
  <c r="AY27" i="1"/>
  <c r="AZ27" i="1"/>
  <c r="BA27" i="1"/>
  <c r="BB27" i="1"/>
  <c r="BC27" i="1"/>
  <c r="BD27" i="1"/>
  <c r="BE27" i="1"/>
  <c r="BF27" i="1"/>
  <c r="BG27" i="1"/>
  <c r="BH27" i="1"/>
  <c r="BI27" i="1"/>
  <c r="BJ27" i="1"/>
  <c r="BK27" i="1"/>
  <c r="BL27" i="1"/>
  <c r="BM27" i="1"/>
  <c r="BN27" i="1"/>
  <c r="AV28" i="1"/>
  <c r="AW28" i="1"/>
  <c r="AX28" i="1"/>
  <c r="AY28" i="1"/>
  <c r="AZ28" i="1"/>
  <c r="BA28" i="1"/>
  <c r="BB28" i="1"/>
  <c r="BC28" i="1"/>
  <c r="BD28" i="1"/>
  <c r="BE28" i="1"/>
  <c r="BF28" i="1"/>
  <c r="BG28" i="1"/>
  <c r="BH28" i="1"/>
  <c r="BI28" i="1"/>
  <c r="BJ28" i="1"/>
  <c r="BK28" i="1"/>
  <c r="BL28" i="1"/>
  <c r="BM28" i="1"/>
  <c r="BN28" i="1"/>
  <c r="AV29" i="1"/>
  <c r="AW29" i="1"/>
  <c r="AX29" i="1"/>
  <c r="AY29" i="1"/>
  <c r="AZ29" i="1"/>
  <c r="BA29" i="1"/>
  <c r="BB29" i="1"/>
  <c r="BC29" i="1"/>
  <c r="BD29" i="1"/>
  <c r="BE29" i="1"/>
  <c r="BF29" i="1"/>
  <c r="BG29" i="1"/>
  <c r="BH29" i="1"/>
  <c r="BI29" i="1"/>
  <c r="BJ29" i="1"/>
  <c r="BK29" i="1"/>
  <c r="BL29" i="1"/>
  <c r="BM29" i="1"/>
  <c r="BN29" i="1"/>
  <c r="AV30" i="1"/>
  <c r="AW30" i="1"/>
  <c r="AX30" i="1"/>
  <c r="AY30" i="1"/>
  <c r="AZ30" i="1"/>
  <c r="BA30" i="1"/>
  <c r="BB30" i="1"/>
  <c r="BC30" i="1"/>
  <c r="BD30" i="1"/>
  <c r="BE30" i="1"/>
  <c r="BF30" i="1"/>
  <c r="BG30" i="1"/>
  <c r="BH30" i="1"/>
  <c r="BI30" i="1"/>
  <c r="BJ30" i="1"/>
  <c r="BK30" i="1"/>
  <c r="BL30" i="1"/>
  <c r="BM30" i="1"/>
  <c r="BN30" i="1"/>
  <c r="AV31" i="1"/>
  <c r="AW31" i="1"/>
  <c r="AX31" i="1"/>
  <c r="AY31" i="1"/>
  <c r="AZ31" i="1"/>
  <c r="BA31" i="1"/>
  <c r="BB31" i="1"/>
  <c r="BC31" i="1"/>
  <c r="BD31" i="1"/>
  <c r="BE31" i="1"/>
  <c r="BF31" i="1"/>
  <c r="BG31" i="1"/>
  <c r="BH31" i="1"/>
  <c r="BI31" i="1"/>
  <c r="BJ31" i="1"/>
  <c r="BK31" i="1"/>
  <c r="BL31" i="1"/>
  <c r="BM31" i="1"/>
  <c r="BN31" i="1"/>
  <c r="AV32" i="1"/>
  <c r="AW32" i="1"/>
  <c r="AX32" i="1"/>
  <c r="AY32" i="1"/>
  <c r="AZ32" i="1"/>
  <c r="BA32" i="1"/>
  <c r="BB32" i="1"/>
  <c r="BC32" i="1"/>
  <c r="BD32" i="1"/>
  <c r="BE32" i="1"/>
  <c r="BF32" i="1"/>
  <c r="BG32" i="1"/>
  <c r="BH32" i="1"/>
  <c r="BI32" i="1"/>
  <c r="BJ32" i="1"/>
  <c r="BK32" i="1"/>
  <c r="BL32" i="1"/>
  <c r="BM32" i="1"/>
  <c r="BN32" i="1"/>
  <c r="AV33" i="1"/>
  <c r="AW33" i="1"/>
  <c r="AX33" i="1"/>
  <c r="AY33" i="1"/>
  <c r="AZ33" i="1"/>
  <c r="BA33" i="1"/>
  <c r="BB33" i="1"/>
  <c r="BC33" i="1"/>
  <c r="BD33" i="1"/>
  <c r="BE33" i="1"/>
  <c r="BF33" i="1"/>
  <c r="BG33" i="1"/>
  <c r="BH33" i="1"/>
  <c r="BI33" i="1"/>
  <c r="BJ33" i="1"/>
  <c r="BK33" i="1"/>
  <c r="BL33" i="1"/>
  <c r="BM33" i="1"/>
  <c r="BN33" i="1"/>
  <c r="AV34" i="1"/>
  <c r="AW34" i="1"/>
  <c r="AX34" i="1"/>
  <c r="AY34" i="1"/>
  <c r="AZ34" i="1"/>
  <c r="BA34" i="1"/>
  <c r="BB34" i="1"/>
  <c r="BC34" i="1"/>
  <c r="BD34" i="1"/>
  <c r="BE34" i="1"/>
  <c r="BF34" i="1"/>
  <c r="BG34" i="1"/>
  <c r="BH34" i="1"/>
  <c r="BI34" i="1"/>
  <c r="BJ34" i="1"/>
  <c r="BK34" i="1"/>
  <c r="BL34" i="1"/>
  <c r="BM34" i="1"/>
  <c r="BN34" i="1"/>
  <c r="AV35" i="1"/>
  <c r="AW35" i="1"/>
  <c r="AX35" i="1"/>
  <c r="AY35" i="1"/>
  <c r="AZ35" i="1"/>
  <c r="BA35" i="1"/>
  <c r="BB35" i="1"/>
  <c r="BC35" i="1"/>
  <c r="BD35" i="1"/>
  <c r="BE35" i="1"/>
  <c r="BF35" i="1"/>
  <c r="BG35" i="1"/>
  <c r="BH35" i="1"/>
  <c r="BI35" i="1"/>
  <c r="BJ35" i="1"/>
  <c r="BK35" i="1"/>
  <c r="BL35" i="1"/>
  <c r="BM35" i="1"/>
  <c r="BN35" i="1"/>
  <c r="AV36" i="1"/>
  <c r="AW36" i="1"/>
  <c r="AX36" i="1"/>
  <c r="AY36" i="1"/>
  <c r="AZ36" i="1"/>
  <c r="BA36" i="1"/>
  <c r="BB36" i="1"/>
  <c r="BC36" i="1"/>
  <c r="BD36" i="1"/>
  <c r="BE36" i="1"/>
  <c r="BF36" i="1"/>
  <c r="BG36" i="1"/>
  <c r="BH36" i="1"/>
  <c r="BI36" i="1"/>
  <c r="BJ36" i="1"/>
  <c r="BK36" i="1"/>
  <c r="BL36" i="1"/>
  <c r="BM36" i="1"/>
  <c r="BN36" i="1"/>
  <c r="AV37" i="1"/>
  <c r="AW37" i="1"/>
  <c r="AX37" i="1"/>
  <c r="AY37" i="1"/>
  <c r="AZ37" i="1"/>
  <c r="BA37" i="1"/>
  <c r="BB37" i="1"/>
  <c r="BC37" i="1"/>
  <c r="BD37" i="1"/>
  <c r="BE37" i="1"/>
  <c r="BF37" i="1"/>
  <c r="BG37" i="1"/>
  <c r="BH37" i="1"/>
  <c r="BI37" i="1"/>
  <c r="BJ37" i="1"/>
  <c r="BK37" i="1"/>
  <c r="BL37" i="1"/>
  <c r="BM37" i="1"/>
  <c r="BN37" i="1"/>
  <c r="AV38" i="1"/>
  <c r="AW38" i="1"/>
  <c r="AX38" i="1"/>
  <c r="AY38" i="1"/>
  <c r="AZ38" i="1"/>
  <c r="BA38" i="1"/>
  <c r="BB38" i="1"/>
  <c r="BC38" i="1"/>
  <c r="BD38" i="1"/>
  <c r="BE38" i="1"/>
  <c r="BF38" i="1"/>
  <c r="BG38" i="1"/>
  <c r="BH38" i="1"/>
  <c r="BI38" i="1"/>
  <c r="BJ38" i="1"/>
  <c r="BK38" i="1"/>
  <c r="BL38" i="1"/>
  <c r="BM38" i="1"/>
  <c r="BN38" i="1"/>
  <c r="AV39" i="1"/>
  <c r="AW39" i="1"/>
  <c r="AX39" i="1"/>
  <c r="AY39" i="1"/>
  <c r="AZ39" i="1"/>
  <c r="BA39" i="1"/>
  <c r="BB39" i="1"/>
  <c r="BC39" i="1"/>
  <c r="BD39" i="1"/>
  <c r="BE39" i="1"/>
  <c r="BF39" i="1"/>
  <c r="BG39" i="1"/>
  <c r="BH39" i="1"/>
  <c r="BI39" i="1"/>
  <c r="BJ39" i="1"/>
  <c r="BK39" i="1"/>
  <c r="BL39" i="1"/>
  <c r="BM39" i="1"/>
  <c r="BN39" i="1"/>
  <c r="AV40" i="1"/>
  <c r="AW40" i="1"/>
  <c r="AX40" i="1"/>
  <c r="AY40" i="1"/>
  <c r="AZ40" i="1"/>
  <c r="BA40" i="1"/>
  <c r="BB40" i="1"/>
  <c r="BC40" i="1"/>
  <c r="BD40" i="1"/>
  <c r="BE40" i="1"/>
  <c r="BF40" i="1"/>
  <c r="BG40" i="1"/>
  <c r="BH40" i="1"/>
  <c r="BI40" i="1"/>
  <c r="BJ40" i="1"/>
  <c r="BK40" i="1"/>
  <c r="BL40" i="1"/>
  <c r="BM40" i="1"/>
  <c r="BN40" i="1"/>
  <c r="AV41" i="1"/>
  <c r="AW41" i="1"/>
  <c r="AX41" i="1"/>
  <c r="AY41" i="1"/>
  <c r="AZ41" i="1"/>
  <c r="BA41" i="1"/>
  <c r="BB41" i="1"/>
  <c r="BC41" i="1"/>
  <c r="BD41" i="1"/>
  <c r="BE41" i="1"/>
  <c r="BF41" i="1"/>
  <c r="BG41" i="1"/>
  <c r="BH41" i="1"/>
  <c r="BI41" i="1"/>
  <c r="BJ41" i="1"/>
  <c r="BK41" i="1"/>
  <c r="BL41" i="1"/>
  <c r="BM41" i="1"/>
  <c r="BN41" i="1"/>
  <c r="AV42" i="1"/>
  <c r="AW42" i="1"/>
  <c r="AX42" i="1"/>
  <c r="AY42" i="1"/>
  <c r="AZ42" i="1"/>
  <c r="BA42" i="1"/>
  <c r="BB42" i="1"/>
  <c r="BC42" i="1"/>
  <c r="BD42" i="1"/>
  <c r="BE42" i="1"/>
  <c r="BF42" i="1"/>
  <c r="BG42" i="1"/>
  <c r="BH42" i="1"/>
  <c r="BI42" i="1"/>
  <c r="BJ42" i="1"/>
  <c r="BK42" i="1"/>
  <c r="BL42" i="1"/>
  <c r="BM42" i="1"/>
  <c r="BN42" i="1"/>
  <c r="AV43" i="1"/>
  <c r="AW43" i="1"/>
  <c r="AX43" i="1"/>
  <c r="AY43" i="1"/>
  <c r="AZ43" i="1"/>
  <c r="BA43" i="1"/>
  <c r="BB43" i="1"/>
  <c r="BC43" i="1"/>
  <c r="BD43" i="1"/>
  <c r="BE43" i="1"/>
  <c r="BF43" i="1"/>
  <c r="BG43" i="1"/>
  <c r="BH43" i="1"/>
  <c r="BI43" i="1"/>
  <c r="BJ43" i="1"/>
  <c r="BK43" i="1"/>
  <c r="BL43" i="1"/>
  <c r="BM43" i="1"/>
  <c r="BN43" i="1"/>
  <c r="AV44" i="1"/>
  <c r="AW44" i="1"/>
  <c r="AX44" i="1"/>
  <c r="AY44" i="1"/>
  <c r="AZ44" i="1"/>
  <c r="BA44" i="1"/>
  <c r="BB44" i="1"/>
  <c r="BC44" i="1"/>
  <c r="BD44" i="1"/>
  <c r="BE44" i="1"/>
  <c r="BF44" i="1"/>
  <c r="BG44" i="1"/>
  <c r="BH44" i="1"/>
  <c r="BI44" i="1"/>
  <c r="BJ44" i="1"/>
  <c r="BK44" i="1"/>
  <c r="BL44" i="1"/>
  <c r="BM44" i="1"/>
  <c r="BN44" i="1"/>
  <c r="AV45" i="1"/>
  <c r="AW45" i="1"/>
  <c r="AX45" i="1"/>
  <c r="AY45" i="1"/>
  <c r="AZ45" i="1"/>
  <c r="BA45" i="1"/>
  <c r="BB45" i="1"/>
  <c r="BC45" i="1"/>
  <c r="BD45" i="1"/>
  <c r="BE45" i="1"/>
  <c r="BF45" i="1"/>
  <c r="BG45" i="1"/>
  <c r="BH45" i="1"/>
  <c r="BI45" i="1"/>
  <c r="BJ45" i="1"/>
  <c r="BK45" i="1"/>
  <c r="BL45" i="1"/>
  <c r="BM45" i="1"/>
  <c r="BN45" i="1"/>
  <c r="AV46" i="1"/>
  <c r="AW46" i="1"/>
  <c r="AX46" i="1"/>
  <c r="AY46" i="1"/>
  <c r="AZ46" i="1"/>
  <c r="BA46" i="1"/>
  <c r="BB46" i="1"/>
  <c r="BC46" i="1"/>
  <c r="BD46" i="1"/>
  <c r="BE46" i="1"/>
  <c r="BF46" i="1"/>
  <c r="BG46" i="1"/>
  <c r="BH46" i="1"/>
  <c r="BI46" i="1"/>
  <c r="BJ46" i="1"/>
  <c r="BK46" i="1"/>
  <c r="BL46" i="1"/>
  <c r="BM46" i="1"/>
  <c r="BN46" i="1"/>
  <c r="AV47" i="1"/>
  <c r="AW47" i="1"/>
  <c r="AX47" i="1"/>
  <c r="AY47" i="1"/>
  <c r="AZ47" i="1"/>
  <c r="BA47" i="1"/>
  <c r="BB47" i="1"/>
  <c r="BC47" i="1"/>
  <c r="BD47" i="1"/>
  <c r="BE47" i="1"/>
  <c r="BF47" i="1"/>
  <c r="BG47" i="1"/>
  <c r="BH47" i="1"/>
  <c r="BI47" i="1"/>
  <c r="BJ47" i="1"/>
  <c r="BK47" i="1"/>
  <c r="BL47" i="1"/>
  <c r="BM47" i="1"/>
  <c r="BN47" i="1"/>
  <c r="AV48" i="1"/>
  <c r="AW48" i="1"/>
  <c r="AX48" i="1"/>
  <c r="AY48" i="1"/>
  <c r="AZ48" i="1"/>
  <c r="BA48" i="1"/>
  <c r="BB48" i="1"/>
  <c r="BC48" i="1"/>
  <c r="BD48" i="1"/>
  <c r="BE48" i="1"/>
  <c r="BF48" i="1"/>
  <c r="BG48" i="1"/>
  <c r="BH48" i="1"/>
  <c r="BI48" i="1"/>
  <c r="BJ48" i="1"/>
  <c r="BK48" i="1"/>
  <c r="BL48" i="1"/>
  <c r="BM48" i="1"/>
  <c r="BN48" i="1"/>
  <c r="AV49" i="1"/>
  <c r="AW49" i="1"/>
  <c r="AX49" i="1"/>
  <c r="AY49" i="1"/>
  <c r="AZ49" i="1"/>
  <c r="BA49" i="1"/>
  <c r="BB49" i="1"/>
  <c r="BC49" i="1"/>
  <c r="BD49" i="1"/>
  <c r="BE49" i="1"/>
  <c r="BF49" i="1"/>
  <c r="BG49" i="1"/>
  <c r="BH49" i="1"/>
  <c r="BI49" i="1"/>
  <c r="BJ49" i="1"/>
  <c r="BK49" i="1"/>
  <c r="BL49" i="1"/>
  <c r="BM49" i="1"/>
  <c r="BN49" i="1"/>
  <c r="AV50" i="1"/>
  <c r="AW50" i="1"/>
  <c r="AX50" i="1"/>
  <c r="AY50" i="1"/>
  <c r="AZ50" i="1"/>
  <c r="BA50" i="1"/>
  <c r="BB50" i="1"/>
  <c r="BC50" i="1"/>
  <c r="BD50" i="1"/>
  <c r="BE50" i="1"/>
  <c r="BF50" i="1"/>
  <c r="BG50" i="1"/>
  <c r="BH50" i="1"/>
  <c r="BI50" i="1"/>
  <c r="BJ50" i="1"/>
  <c r="BK50" i="1"/>
  <c r="BL50" i="1"/>
  <c r="BM50" i="1"/>
  <c r="BN50" i="1"/>
  <c r="AV51" i="1"/>
  <c r="AW51" i="1"/>
  <c r="AX51" i="1"/>
  <c r="AY51" i="1"/>
  <c r="AZ51" i="1"/>
  <c r="BA51" i="1"/>
  <c r="BB51" i="1"/>
  <c r="BC51" i="1"/>
  <c r="BD51" i="1"/>
  <c r="BE51" i="1"/>
  <c r="BF51" i="1"/>
  <c r="BG51" i="1"/>
  <c r="BH51" i="1"/>
  <c r="BI51" i="1"/>
  <c r="BJ51" i="1"/>
  <c r="BK51" i="1"/>
  <c r="BL51" i="1"/>
  <c r="BM51" i="1"/>
  <c r="BN51" i="1"/>
  <c r="AV52" i="1"/>
  <c r="AW52" i="1"/>
  <c r="AX52" i="1"/>
  <c r="AY52" i="1"/>
  <c r="AZ52" i="1"/>
  <c r="BA52" i="1"/>
  <c r="BB52" i="1"/>
  <c r="BC52" i="1"/>
  <c r="BD52" i="1"/>
  <c r="BE52" i="1"/>
  <c r="BF52" i="1"/>
  <c r="BG52" i="1"/>
  <c r="BH52" i="1"/>
  <c r="BI52" i="1"/>
  <c r="BJ52" i="1"/>
  <c r="BK52" i="1"/>
  <c r="BL52" i="1"/>
  <c r="BM52" i="1"/>
  <c r="BN52" i="1"/>
  <c r="AV53" i="1"/>
  <c r="AW53" i="1"/>
  <c r="AX53" i="1"/>
  <c r="AY53" i="1"/>
  <c r="AZ53" i="1"/>
  <c r="BA53" i="1"/>
  <c r="BB53" i="1"/>
  <c r="BC53" i="1"/>
  <c r="BD53" i="1"/>
  <c r="BE53" i="1"/>
  <c r="BF53" i="1"/>
  <c r="BG53" i="1"/>
  <c r="BH53" i="1"/>
  <c r="BI53" i="1"/>
  <c r="BJ53" i="1"/>
  <c r="BK53" i="1"/>
  <c r="BL53" i="1"/>
  <c r="BM53" i="1"/>
  <c r="BN53" i="1"/>
  <c r="AV54" i="1"/>
  <c r="AW54" i="1"/>
  <c r="AX54" i="1"/>
  <c r="AY54" i="1"/>
  <c r="AZ54" i="1"/>
  <c r="BA54" i="1"/>
  <c r="BB54" i="1"/>
  <c r="BC54" i="1"/>
  <c r="BD54" i="1"/>
  <c r="BE54" i="1"/>
  <c r="BF54" i="1"/>
  <c r="BG54" i="1"/>
  <c r="BH54" i="1"/>
  <c r="BI54" i="1"/>
  <c r="BJ54" i="1"/>
  <c r="BK54" i="1"/>
  <c r="BL54" i="1"/>
  <c r="BM54" i="1"/>
  <c r="BN54" i="1"/>
  <c r="AV55" i="1"/>
  <c r="AW55" i="1"/>
  <c r="AX55" i="1"/>
  <c r="AY55" i="1"/>
  <c r="AZ55" i="1"/>
  <c r="BA55" i="1"/>
  <c r="BB55" i="1"/>
  <c r="BC55" i="1"/>
  <c r="BD55" i="1"/>
  <c r="BE55" i="1"/>
  <c r="BF55" i="1"/>
  <c r="BG55" i="1"/>
  <c r="BH55" i="1"/>
  <c r="BI55" i="1"/>
  <c r="BJ55" i="1"/>
  <c r="BK55" i="1"/>
  <c r="BL55" i="1"/>
  <c r="BM55" i="1"/>
  <c r="BN55" i="1"/>
  <c r="AV56" i="1"/>
  <c r="AW56" i="1"/>
  <c r="AX56" i="1"/>
  <c r="AY56" i="1"/>
  <c r="AZ56" i="1"/>
  <c r="BA56" i="1"/>
  <c r="BB56" i="1"/>
  <c r="BC56" i="1"/>
  <c r="BD56" i="1"/>
  <c r="BE56" i="1"/>
  <c r="BF56" i="1"/>
  <c r="BG56" i="1"/>
  <c r="BH56" i="1"/>
  <c r="BI56" i="1"/>
  <c r="BJ56" i="1"/>
  <c r="BK56" i="1"/>
  <c r="BL56" i="1"/>
  <c r="BM56" i="1"/>
  <c r="BN56" i="1"/>
  <c r="AV57" i="1"/>
  <c r="AW57" i="1"/>
  <c r="AX57" i="1"/>
  <c r="AY57" i="1"/>
  <c r="AZ57" i="1"/>
  <c r="BA57" i="1"/>
  <c r="BB57" i="1"/>
  <c r="BC57" i="1"/>
  <c r="BD57" i="1"/>
  <c r="BE57" i="1"/>
  <c r="BF57" i="1"/>
  <c r="BG57" i="1"/>
  <c r="BH57" i="1"/>
  <c r="BI57" i="1"/>
  <c r="BJ57" i="1"/>
  <c r="BK57" i="1"/>
  <c r="BL57" i="1"/>
  <c r="BM57" i="1"/>
  <c r="BN57" i="1"/>
  <c r="AV58" i="1"/>
  <c r="AW58" i="1"/>
  <c r="AX58" i="1"/>
  <c r="AY58" i="1"/>
  <c r="AZ58" i="1"/>
  <c r="BA58" i="1"/>
  <c r="BB58" i="1"/>
  <c r="BC58" i="1"/>
  <c r="BD58" i="1"/>
  <c r="BE58" i="1"/>
  <c r="BF58" i="1"/>
  <c r="BG58" i="1"/>
  <c r="BH58" i="1"/>
  <c r="BI58" i="1"/>
  <c r="BJ58" i="1"/>
  <c r="BK58" i="1"/>
  <c r="BL58" i="1"/>
  <c r="BM58" i="1"/>
  <c r="BN58" i="1"/>
  <c r="AV59" i="1"/>
  <c r="AW59" i="1"/>
  <c r="AX59" i="1"/>
  <c r="AY59" i="1"/>
  <c r="AZ59" i="1"/>
  <c r="BA59" i="1"/>
  <c r="BB59" i="1"/>
  <c r="BC59" i="1"/>
  <c r="BD59" i="1"/>
  <c r="BE59" i="1"/>
  <c r="BF59" i="1"/>
  <c r="BG59" i="1"/>
  <c r="BH59" i="1"/>
  <c r="BI59" i="1"/>
  <c r="BJ59" i="1"/>
  <c r="BK59" i="1"/>
  <c r="BL59" i="1"/>
  <c r="BM59" i="1"/>
  <c r="BN59" i="1"/>
  <c r="AV60" i="1"/>
  <c r="AW60" i="1"/>
  <c r="AX60" i="1"/>
  <c r="AY60" i="1"/>
  <c r="AZ60" i="1"/>
  <c r="BA60" i="1"/>
  <c r="BB60" i="1"/>
  <c r="BC60" i="1"/>
  <c r="BD60" i="1"/>
  <c r="BE60" i="1"/>
  <c r="BF60" i="1"/>
  <c r="BG60" i="1"/>
  <c r="BH60" i="1"/>
  <c r="BI60" i="1"/>
  <c r="BJ60" i="1"/>
  <c r="BK60" i="1"/>
  <c r="BL60" i="1"/>
  <c r="BM60" i="1"/>
  <c r="BN60" i="1"/>
  <c r="AV61" i="1"/>
  <c r="AW61" i="1"/>
  <c r="AX61" i="1"/>
  <c r="AY61" i="1"/>
  <c r="AZ61" i="1"/>
  <c r="BA61" i="1"/>
  <c r="BB61" i="1"/>
  <c r="BC61" i="1"/>
  <c r="BD61" i="1"/>
  <c r="BE61" i="1"/>
  <c r="BF61" i="1"/>
  <c r="BG61" i="1"/>
  <c r="BH61" i="1"/>
  <c r="BI61" i="1"/>
  <c r="BJ61" i="1"/>
  <c r="BK61" i="1"/>
  <c r="BL61" i="1"/>
  <c r="BM61" i="1"/>
  <c r="BN61" i="1"/>
  <c r="AV62" i="1"/>
  <c r="AW62" i="1"/>
  <c r="AX62" i="1"/>
  <c r="AY62" i="1"/>
  <c r="AZ62" i="1"/>
  <c r="BA62" i="1"/>
  <c r="BB62" i="1"/>
  <c r="BC62" i="1"/>
  <c r="BD62" i="1"/>
  <c r="BE62" i="1"/>
  <c r="BF62" i="1"/>
  <c r="BG62" i="1"/>
  <c r="BH62" i="1"/>
  <c r="BI62" i="1"/>
  <c r="BJ62" i="1"/>
  <c r="BK62" i="1"/>
  <c r="BL62" i="1"/>
  <c r="BM62" i="1"/>
  <c r="BN62" i="1"/>
  <c r="AV63" i="1"/>
  <c r="AW63" i="1"/>
  <c r="AX63" i="1"/>
  <c r="AY63" i="1"/>
  <c r="AZ63" i="1"/>
  <c r="BA63" i="1"/>
  <c r="BB63" i="1"/>
  <c r="BC63" i="1"/>
  <c r="BD63" i="1"/>
  <c r="BE63" i="1"/>
  <c r="BF63" i="1"/>
  <c r="BG63" i="1"/>
  <c r="BH63" i="1"/>
  <c r="BI63" i="1"/>
  <c r="BJ63" i="1"/>
  <c r="BK63" i="1"/>
  <c r="BL63" i="1"/>
  <c r="BM63" i="1"/>
  <c r="BN63" i="1"/>
  <c r="AV64" i="1"/>
  <c r="AW64" i="1"/>
  <c r="AX64" i="1"/>
  <c r="AY64" i="1"/>
  <c r="AZ64" i="1"/>
  <c r="BA64" i="1"/>
  <c r="BB64" i="1"/>
  <c r="BC64" i="1"/>
  <c r="BD64" i="1"/>
  <c r="BE64" i="1"/>
  <c r="BF64" i="1"/>
  <c r="BG64" i="1"/>
  <c r="BH64" i="1"/>
  <c r="BI64" i="1"/>
  <c r="BJ64" i="1"/>
  <c r="BK64" i="1"/>
  <c r="BL64" i="1"/>
  <c r="BM64" i="1"/>
  <c r="BN64" i="1"/>
  <c r="AV65" i="1"/>
  <c r="AW65" i="1"/>
  <c r="AX65" i="1"/>
  <c r="AY65" i="1"/>
  <c r="AZ65" i="1"/>
  <c r="BA65" i="1"/>
  <c r="BB65" i="1"/>
  <c r="BC65" i="1"/>
  <c r="BD65" i="1"/>
  <c r="BE65" i="1"/>
  <c r="BF65" i="1"/>
  <c r="BG65" i="1"/>
  <c r="BH65" i="1"/>
  <c r="BI65" i="1"/>
  <c r="BJ65" i="1"/>
  <c r="BK65" i="1"/>
  <c r="BL65" i="1"/>
  <c r="BM65" i="1"/>
  <c r="BN65" i="1"/>
  <c r="AV66" i="1"/>
  <c r="AW66" i="1"/>
  <c r="AX66" i="1"/>
  <c r="AY66" i="1"/>
  <c r="AZ66" i="1"/>
  <c r="BA66" i="1"/>
  <c r="BB66" i="1"/>
  <c r="BC66" i="1"/>
  <c r="BD66" i="1"/>
  <c r="BE66" i="1"/>
  <c r="BF66" i="1"/>
  <c r="BG66" i="1"/>
  <c r="BH66" i="1"/>
  <c r="BI66" i="1"/>
  <c r="BJ66" i="1"/>
  <c r="BK66" i="1"/>
  <c r="BL66" i="1"/>
  <c r="BM66" i="1"/>
  <c r="BN66" i="1"/>
  <c r="AV67" i="1"/>
  <c r="AW67" i="1"/>
  <c r="AX67" i="1"/>
  <c r="AY67" i="1"/>
  <c r="AZ67" i="1"/>
  <c r="BA67" i="1"/>
  <c r="BB67" i="1"/>
  <c r="BC67" i="1"/>
  <c r="BD67" i="1"/>
  <c r="BE67" i="1"/>
  <c r="BF67" i="1"/>
  <c r="BG67" i="1"/>
  <c r="BH67" i="1"/>
  <c r="BI67" i="1"/>
  <c r="BJ67" i="1"/>
  <c r="BK67" i="1"/>
  <c r="BL67" i="1"/>
  <c r="BM67" i="1"/>
  <c r="BN67" i="1"/>
  <c r="AV68" i="1"/>
  <c r="AW68" i="1"/>
  <c r="AX68" i="1"/>
  <c r="AY68" i="1"/>
  <c r="AZ68" i="1"/>
  <c r="BA68" i="1"/>
  <c r="BB68" i="1"/>
  <c r="BC68" i="1"/>
  <c r="BD68" i="1"/>
  <c r="BE68" i="1"/>
  <c r="BF68" i="1"/>
  <c r="BG68" i="1"/>
  <c r="BH68" i="1"/>
  <c r="BI68" i="1"/>
  <c r="BJ68" i="1"/>
  <c r="BK68" i="1"/>
  <c r="BL68" i="1"/>
  <c r="BM68" i="1"/>
  <c r="BN68" i="1"/>
  <c r="AV69" i="1"/>
  <c r="AW69" i="1"/>
  <c r="AX69" i="1"/>
  <c r="AY69" i="1"/>
  <c r="AZ69" i="1"/>
  <c r="BA69" i="1"/>
  <c r="BB69" i="1"/>
  <c r="BC69" i="1"/>
  <c r="BD69" i="1"/>
  <c r="BE69" i="1"/>
  <c r="BF69" i="1"/>
  <c r="BG69" i="1"/>
  <c r="BH69" i="1"/>
  <c r="BI69" i="1"/>
  <c r="BJ69" i="1"/>
  <c r="BK69" i="1"/>
  <c r="BL69" i="1"/>
  <c r="BM69" i="1"/>
  <c r="BN69" i="1"/>
  <c r="AV70" i="1"/>
  <c r="AW70" i="1"/>
  <c r="AX70" i="1"/>
  <c r="AY70" i="1"/>
  <c r="AZ70" i="1"/>
  <c r="BA70" i="1"/>
  <c r="BB70" i="1"/>
  <c r="BC70" i="1"/>
  <c r="BD70" i="1"/>
  <c r="BE70" i="1"/>
  <c r="BF70" i="1"/>
  <c r="BG70" i="1"/>
  <c r="BH70" i="1"/>
  <c r="BI70" i="1"/>
  <c r="BJ70" i="1"/>
  <c r="BK70" i="1"/>
  <c r="BL70" i="1"/>
  <c r="BM70" i="1"/>
  <c r="BN70" i="1"/>
  <c r="AV71" i="1"/>
  <c r="AW71" i="1"/>
  <c r="AX71" i="1"/>
  <c r="AY71" i="1"/>
  <c r="AZ71" i="1"/>
  <c r="BA71" i="1"/>
  <c r="BB71" i="1"/>
  <c r="BC71" i="1"/>
  <c r="BD71" i="1"/>
  <c r="BE71" i="1"/>
  <c r="BF71" i="1"/>
  <c r="BG71" i="1"/>
  <c r="BH71" i="1"/>
  <c r="BI71" i="1"/>
  <c r="BJ71" i="1"/>
  <c r="BK71" i="1"/>
  <c r="BL71" i="1"/>
  <c r="BM71" i="1"/>
  <c r="BN71" i="1"/>
  <c r="AV72" i="1"/>
  <c r="AW72" i="1"/>
  <c r="AX72" i="1"/>
  <c r="AY72" i="1"/>
  <c r="AZ72" i="1"/>
  <c r="BA72" i="1"/>
  <c r="BB72" i="1"/>
  <c r="BC72" i="1"/>
  <c r="BD72" i="1"/>
  <c r="BE72" i="1"/>
  <c r="BF72" i="1"/>
  <c r="BG72" i="1"/>
  <c r="BH72" i="1"/>
  <c r="BI72" i="1"/>
  <c r="BJ72" i="1"/>
  <c r="BK72" i="1"/>
  <c r="BL72" i="1"/>
  <c r="BM72" i="1"/>
  <c r="BN72" i="1"/>
  <c r="AV73" i="1"/>
  <c r="AW73" i="1"/>
  <c r="AX73" i="1"/>
  <c r="AY73" i="1"/>
  <c r="AZ73" i="1"/>
  <c r="BA73" i="1"/>
  <c r="BB73" i="1"/>
  <c r="BC73" i="1"/>
  <c r="BD73" i="1"/>
  <c r="BE73" i="1"/>
  <c r="BF73" i="1"/>
  <c r="BG73" i="1"/>
  <c r="BH73" i="1"/>
  <c r="BI73" i="1"/>
  <c r="BJ73" i="1"/>
  <c r="BK73" i="1"/>
  <c r="BL73" i="1"/>
  <c r="BM73" i="1"/>
  <c r="BN73" i="1"/>
  <c r="AV74" i="1"/>
  <c r="AW74" i="1"/>
  <c r="AX74" i="1"/>
  <c r="AY74" i="1"/>
  <c r="AZ74" i="1"/>
  <c r="BA74" i="1"/>
  <c r="BB74" i="1"/>
  <c r="BC74" i="1"/>
  <c r="BD74" i="1"/>
  <c r="BE74" i="1"/>
  <c r="BF74" i="1"/>
  <c r="BG74" i="1"/>
  <c r="BH74" i="1"/>
  <c r="BI74" i="1"/>
  <c r="BJ74" i="1"/>
  <c r="BK74" i="1"/>
  <c r="BL74" i="1"/>
  <c r="BM74" i="1"/>
  <c r="BN74" i="1"/>
  <c r="AV75" i="1"/>
  <c r="AW75" i="1"/>
  <c r="AX75" i="1"/>
  <c r="AY75" i="1"/>
  <c r="AZ75" i="1"/>
  <c r="BA75" i="1"/>
  <c r="BB75" i="1"/>
  <c r="BC75" i="1"/>
  <c r="BD75" i="1"/>
  <c r="BE75" i="1"/>
  <c r="BF75" i="1"/>
  <c r="BG75" i="1"/>
  <c r="BH75" i="1"/>
  <c r="BI75" i="1"/>
  <c r="BJ75" i="1"/>
  <c r="BK75" i="1"/>
  <c r="BL75" i="1"/>
  <c r="BM75" i="1"/>
  <c r="BN75" i="1"/>
  <c r="AV76" i="1"/>
  <c r="AW76" i="1"/>
  <c r="AX76" i="1"/>
  <c r="AY76" i="1"/>
  <c r="AZ76" i="1"/>
  <c r="BA76" i="1"/>
  <c r="BB76" i="1"/>
  <c r="BC76" i="1"/>
  <c r="BD76" i="1"/>
  <c r="BE76" i="1"/>
  <c r="BF76" i="1"/>
  <c r="BG76" i="1"/>
  <c r="BH76" i="1"/>
  <c r="BI76" i="1"/>
  <c r="BJ76" i="1"/>
  <c r="BK76" i="1"/>
  <c r="BL76" i="1"/>
  <c r="BM76" i="1"/>
  <c r="BN76" i="1"/>
  <c r="AV77" i="1"/>
  <c r="AW77" i="1"/>
  <c r="AX77" i="1"/>
  <c r="AY77" i="1"/>
  <c r="AZ77" i="1"/>
  <c r="BA77" i="1"/>
  <c r="BB77" i="1"/>
  <c r="BC77" i="1"/>
  <c r="BD77" i="1"/>
  <c r="BE77" i="1"/>
  <c r="BF77" i="1"/>
  <c r="BG77" i="1"/>
  <c r="BH77" i="1"/>
  <c r="BI77" i="1"/>
  <c r="BJ77" i="1"/>
  <c r="BK77" i="1"/>
  <c r="BL77" i="1"/>
  <c r="BM77" i="1"/>
  <c r="BN77" i="1"/>
  <c r="AV78" i="1"/>
  <c r="AW78" i="1"/>
  <c r="AX78" i="1"/>
  <c r="AY78" i="1"/>
  <c r="AZ78" i="1"/>
  <c r="BA78" i="1"/>
  <c r="BB78" i="1"/>
  <c r="BC78" i="1"/>
  <c r="BD78" i="1"/>
  <c r="BE78" i="1"/>
  <c r="BF78" i="1"/>
  <c r="BG78" i="1"/>
  <c r="BH78" i="1"/>
  <c r="BI78" i="1"/>
  <c r="BJ78" i="1"/>
  <c r="BK78" i="1"/>
  <c r="BL78" i="1"/>
  <c r="BM78" i="1"/>
  <c r="BN78" i="1"/>
  <c r="AV79" i="1"/>
  <c r="AW79" i="1"/>
  <c r="AX79" i="1"/>
  <c r="AY79" i="1"/>
  <c r="AZ79" i="1"/>
  <c r="BA79" i="1"/>
  <c r="BB79" i="1"/>
  <c r="BC79" i="1"/>
  <c r="BD79" i="1"/>
  <c r="BE79" i="1"/>
  <c r="BF79" i="1"/>
  <c r="BG79" i="1"/>
  <c r="BH79" i="1"/>
  <c r="BI79" i="1"/>
  <c r="BJ79" i="1"/>
  <c r="BK79" i="1"/>
  <c r="BL79" i="1"/>
  <c r="BM79" i="1"/>
  <c r="BN79" i="1"/>
  <c r="AV80" i="1"/>
  <c r="AW80" i="1"/>
  <c r="AX80" i="1"/>
  <c r="AY80" i="1"/>
  <c r="AZ80" i="1"/>
  <c r="BA80" i="1"/>
  <c r="BB80" i="1"/>
  <c r="BC80" i="1"/>
  <c r="BD80" i="1"/>
  <c r="BE80" i="1"/>
  <c r="BF80" i="1"/>
  <c r="BG80" i="1"/>
  <c r="BH80" i="1"/>
  <c r="BI80" i="1"/>
  <c r="BJ80" i="1"/>
  <c r="BK80" i="1"/>
  <c r="BL80" i="1"/>
  <c r="BM80" i="1"/>
  <c r="BN80" i="1"/>
  <c r="AV81" i="1"/>
  <c r="AW81" i="1"/>
  <c r="AX81" i="1"/>
  <c r="AY81" i="1"/>
  <c r="AZ81" i="1"/>
  <c r="BA81" i="1"/>
  <c r="BB81" i="1"/>
  <c r="BC81" i="1"/>
  <c r="BD81" i="1"/>
  <c r="BE81" i="1"/>
  <c r="BF81" i="1"/>
  <c r="BG81" i="1"/>
  <c r="BH81" i="1"/>
  <c r="BI81" i="1"/>
  <c r="BJ81" i="1"/>
  <c r="BK81" i="1"/>
  <c r="BL81" i="1"/>
  <c r="BM81" i="1"/>
  <c r="BN81" i="1"/>
  <c r="AV82" i="1"/>
  <c r="AW82" i="1"/>
  <c r="AX82" i="1"/>
  <c r="AY82" i="1"/>
  <c r="AZ82" i="1"/>
  <c r="BA82" i="1"/>
  <c r="BB82" i="1"/>
  <c r="BC82" i="1"/>
  <c r="BD82" i="1"/>
  <c r="BE82" i="1"/>
  <c r="BF82" i="1"/>
  <c r="BG82" i="1"/>
  <c r="BH82" i="1"/>
  <c r="BI82" i="1"/>
  <c r="BJ82" i="1"/>
  <c r="BK82" i="1"/>
  <c r="BL82" i="1"/>
  <c r="BM82" i="1"/>
  <c r="BN82" i="1"/>
  <c r="AV83" i="1"/>
  <c r="AW83" i="1"/>
  <c r="AX83" i="1"/>
  <c r="AY83" i="1"/>
  <c r="AZ83" i="1"/>
  <c r="BA83" i="1"/>
  <c r="BB83" i="1"/>
  <c r="BC83" i="1"/>
  <c r="BD83" i="1"/>
  <c r="BE83" i="1"/>
  <c r="BF83" i="1"/>
  <c r="BG83" i="1"/>
  <c r="BH83" i="1"/>
  <c r="BI83" i="1"/>
  <c r="BJ83" i="1"/>
  <c r="BK83" i="1"/>
  <c r="BL83" i="1"/>
  <c r="BM83" i="1"/>
  <c r="BN83" i="1"/>
  <c r="AV84" i="1"/>
  <c r="AW84" i="1"/>
  <c r="AX84" i="1"/>
  <c r="AY84" i="1"/>
  <c r="AZ84" i="1"/>
  <c r="BA84" i="1"/>
  <c r="BB84" i="1"/>
  <c r="BC84" i="1"/>
  <c r="BD84" i="1"/>
  <c r="BE84" i="1"/>
  <c r="BF84" i="1"/>
  <c r="BG84" i="1"/>
  <c r="BH84" i="1"/>
  <c r="BI84" i="1"/>
  <c r="BJ84" i="1"/>
  <c r="BK84" i="1"/>
  <c r="BL84" i="1"/>
  <c r="BM84" i="1"/>
  <c r="BN84" i="1"/>
  <c r="AV85" i="1"/>
  <c r="AW85" i="1"/>
  <c r="AX85" i="1"/>
  <c r="AY85" i="1"/>
  <c r="AZ85" i="1"/>
  <c r="BA85" i="1"/>
  <c r="BB85" i="1"/>
  <c r="BC85" i="1"/>
  <c r="BD85" i="1"/>
  <c r="BE85" i="1"/>
  <c r="BF85" i="1"/>
  <c r="BG85" i="1"/>
  <c r="BH85" i="1"/>
  <c r="BI85" i="1"/>
  <c r="BJ85" i="1"/>
  <c r="BK85" i="1"/>
  <c r="BL85" i="1"/>
  <c r="BM85" i="1"/>
  <c r="BN85" i="1"/>
  <c r="AV86" i="1"/>
  <c r="AW86" i="1"/>
  <c r="AX86" i="1"/>
  <c r="AY86" i="1"/>
  <c r="AZ86" i="1"/>
  <c r="BA86" i="1"/>
  <c r="BB86" i="1"/>
  <c r="BC86" i="1"/>
  <c r="BD86" i="1"/>
  <c r="BE86" i="1"/>
  <c r="BF86" i="1"/>
  <c r="BG86" i="1"/>
  <c r="BH86" i="1"/>
  <c r="BI86" i="1"/>
  <c r="BJ86" i="1"/>
  <c r="BK86" i="1"/>
  <c r="BL86" i="1"/>
  <c r="BM86" i="1"/>
  <c r="BN86" i="1"/>
  <c r="AV87" i="1"/>
  <c r="AW87" i="1"/>
  <c r="AX87" i="1"/>
  <c r="AY87" i="1"/>
  <c r="AZ87" i="1"/>
  <c r="BA87" i="1"/>
  <c r="BB87" i="1"/>
  <c r="BC87" i="1"/>
  <c r="BD87" i="1"/>
  <c r="BE87" i="1"/>
  <c r="BF87" i="1"/>
  <c r="BG87" i="1"/>
  <c r="BH87" i="1"/>
  <c r="BI87" i="1"/>
  <c r="BJ87" i="1"/>
  <c r="BK87" i="1"/>
  <c r="BL87" i="1"/>
  <c r="BM87" i="1"/>
  <c r="BN87" i="1"/>
  <c r="AV88" i="1"/>
  <c r="AW88" i="1"/>
  <c r="AX88" i="1"/>
  <c r="AY88" i="1"/>
  <c r="AZ88" i="1"/>
  <c r="BA88" i="1"/>
  <c r="BB88" i="1"/>
  <c r="BC88" i="1"/>
  <c r="BD88" i="1"/>
  <c r="BE88" i="1"/>
  <c r="BF88" i="1"/>
  <c r="BG88" i="1"/>
  <c r="BH88" i="1"/>
  <c r="BI88" i="1"/>
  <c r="BJ88" i="1"/>
  <c r="BK88" i="1"/>
  <c r="BL88" i="1"/>
  <c r="BM88" i="1"/>
  <c r="BN88" i="1"/>
  <c r="AV89" i="1"/>
  <c r="AW89" i="1"/>
  <c r="AX89" i="1"/>
  <c r="AY89" i="1"/>
  <c r="AZ89" i="1"/>
  <c r="BA89" i="1"/>
  <c r="BB89" i="1"/>
  <c r="BC89" i="1"/>
  <c r="BD89" i="1"/>
  <c r="BE89" i="1"/>
  <c r="BF89" i="1"/>
  <c r="BG89" i="1"/>
  <c r="BH89" i="1"/>
  <c r="BI89" i="1"/>
  <c r="BJ89" i="1"/>
  <c r="BK89" i="1"/>
  <c r="BL89" i="1"/>
  <c r="BM89" i="1"/>
  <c r="BN89" i="1"/>
  <c r="AV90" i="1"/>
  <c r="AW90" i="1"/>
  <c r="AX90" i="1"/>
  <c r="AY90" i="1"/>
  <c r="AZ90" i="1"/>
  <c r="BA90" i="1"/>
  <c r="BB90" i="1"/>
  <c r="BC90" i="1"/>
  <c r="BD90" i="1"/>
  <c r="BE90" i="1"/>
  <c r="BF90" i="1"/>
  <c r="BG90" i="1"/>
  <c r="BH90" i="1"/>
  <c r="BI90" i="1"/>
  <c r="BJ90" i="1"/>
  <c r="BK90" i="1"/>
  <c r="BL90" i="1"/>
  <c r="BM90" i="1"/>
  <c r="BN90" i="1"/>
  <c r="AV91" i="1"/>
  <c r="AW91" i="1"/>
  <c r="AX91" i="1"/>
  <c r="AY91" i="1"/>
  <c r="AZ91" i="1"/>
  <c r="BA91" i="1"/>
  <c r="BB91" i="1"/>
  <c r="BC91" i="1"/>
  <c r="BD91" i="1"/>
  <c r="BE91" i="1"/>
  <c r="BF91" i="1"/>
  <c r="BG91" i="1"/>
  <c r="BH91" i="1"/>
  <c r="BI91" i="1"/>
  <c r="BJ91" i="1"/>
  <c r="BK91" i="1"/>
  <c r="BL91" i="1"/>
  <c r="BM91" i="1"/>
  <c r="BN91" i="1"/>
  <c r="AV92" i="1"/>
  <c r="AW92" i="1"/>
  <c r="AX92" i="1"/>
  <c r="AY92" i="1"/>
  <c r="AZ92" i="1"/>
  <c r="BA92" i="1"/>
  <c r="BB92" i="1"/>
  <c r="BC92" i="1"/>
  <c r="BD92" i="1"/>
  <c r="BE92" i="1"/>
  <c r="BF92" i="1"/>
  <c r="BG92" i="1"/>
  <c r="BH92" i="1"/>
  <c r="BI92" i="1"/>
  <c r="BJ92" i="1"/>
  <c r="BK92" i="1"/>
  <c r="BL92" i="1"/>
  <c r="BM92" i="1"/>
  <c r="BN92" i="1"/>
  <c r="AV93" i="1"/>
  <c r="AW93" i="1"/>
  <c r="AX93" i="1"/>
  <c r="AY93" i="1"/>
  <c r="AZ93" i="1"/>
  <c r="BA93" i="1"/>
  <c r="BB93" i="1"/>
  <c r="BC93" i="1"/>
  <c r="BD93" i="1"/>
  <c r="BE93" i="1"/>
  <c r="BF93" i="1"/>
  <c r="BG93" i="1"/>
  <c r="BH93" i="1"/>
  <c r="BI93" i="1"/>
  <c r="BJ93" i="1"/>
  <c r="BK93" i="1"/>
  <c r="BL93" i="1"/>
  <c r="BM93" i="1"/>
  <c r="BN93" i="1"/>
  <c r="AV94" i="1"/>
  <c r="AW94" i="1"/>
  <c r="AX94" i="1"/>
  <c r="AY94" i="1"/>
  <c r="AZ94" i="1"/>
  <c r="BA94" i="1"/>
  <c r="BB94" i="1"/>
  <c r="BC94" i="1"/>
  <c r="BD94" i="1"/>
  <c r="BE94" i="1"/>
  <c r="BF94" i="1"/>
  <c r="BG94" i="1"/>
  <c r="BH94" i="1"/>
  <c r="BI94" i="1"/>
  <c r="BJ94" i="1"/>
  <c r="BK94" i="1"/>
  <c r="BL94" i="1"/>
  <c r="BM94" i="1"/>
  <c r="BN94" i="1"/>
  <c r="AV95" i="1"/>
  <c r="AW95" i="1"/>
  <c r="AX95" i="1"/>
  <c r="AY95" i="1"/>
  <c r="AZ95" i="1"/>
  <c r="BA95" i="1"/>
  <c r="BB95" i="1"/>
  <c r="BC95" i="1"/>
  <c r="BD95" i="1"/>
  <c r="BE95" i="1"/>
  <c r="BF95" i="1"/>
  <c r="BG95" i="1"/>
  <c r="BH95" i="1"/>
  <c r="BI95" i="1"/>
  <c r="BJ95" i="1"/>
  <c r="BK95" i="1"/>
  <c r="BL95" i="1"/>
  <c r="BM95" i="1"/>
  <c r="BN95" i="1"/>
  <c r="AV96" i="1"/>
  <c r="AW96" i="1"/>
  <c r="AX96" i="1"/>
  <c r="AY96" i="1"/>
  <c r="AZ96" i="1"/>
  <c r="BA96" i="1"/>
  <c r="BB96" i="1"/>
  <c r="BC96" i="1"/>
  <c r="BD96" i="1"/>
  <c r="BE96" i="1"/>
  <c r="BF96" i="1"/>
  <c r="BG96" i="1"/>
  <c r="BH96" i="1"/>
  <c r="BI96" i="1"/>
  <c r="BJ96" i="1"/>
  <c r="BK96" i="1"/>
  <c r="BL96" i="1"/>
  <c r="BM96" i="1"/>
  <c r="BN96" i="1"/>
  <c r="AV97" i="1"/>
  <c r="AW97" i="1"/>
  <c r="AX97" i="1"/>
  <c r="AY97" i="1"/>
  <c r="AZ97" i="1"/>
  <c r="BA97" i="1"/>
  <c r="BB97" i="1"/>
  <c r="BC97" i="1"/>
  <c r="BD97" i="1"/>
  <c r="BE97" i="1"/>
  <c r="BF97" i="1"/>
  <c r="BG97" i="1"/>
  <c r="BH97" i="1"/>
  <c r="BI97" i="1"/>
  <c r="BJ97" i="1"/>
  <c r="BK97" i="1"/>
  <c r="BL97" i="1"/>
  <c r="BM97" i="1"/>
  <c r="BN97" i="1"/>
  <c r="AV98" i="1"/>
  <c r="AW98" i="1"/>
  <c r="AX98" i="1"/>
  <c r="AY98" i="1"/>
  <c r="AZ98" i="1"/>
  <c r="BA98" i="1"/>
  <c r="BB98" i="1"/>
  <c r="BC98" i="1"/>
  <c r="BD98" i="1"/>
  <c r="BE98" i="1"/>
  <c r="BF98" i="1"/>
  <c r="BG98" i="1"/>
  <c r="BH98" i="1"/>
  <c r="BI98" i="1"/>
  <c r="BJ98" i="1"/>
  <c r="BK98" i="1"/>
  <c r="BL98" i="1"/>
  <c r="BM98" i="1"/>
  <c r="BN98" i="1"/>
  <c r="AV99" i="1"/>
  <c r="AW99" i="1"/>
  <c r="AX99" i="1"/>
  <c r="AY99" i="1"/>
  <c r="AZ99" i="1"/>
  <c r="BA99" i="1"/>
  <c r="BB99" i="1"/>
  <c r="BC99" i="1"/>
  <c r="BD99" i="1"/>
  <c r="BE99" i="1"/>
  <c r="BF99" i="1"/>
  <c r="BG99" i="1"/>
  <c r="BH99" i="1"/>
  <c r="BI99" i="1"/>
  <c r="BJ99" i="1"/>
  <c r="BK99" i="1"/>
  <c r="BL99" i="1"/>
  <c r="BM99" i="1"/>
  <c r="BN99" i="1"/>
  <c r="AV100" i="1"/>
  <c r="AW100" i="1"/>
  <c r="AX100" i="1"/>
  <c r="AY100" i="1"/>
  <c r="AZ100" i="1"/>
  <c r="BA100" i="1"/>
  <c r="BB100" i="1"/>
  <c r="BC100" i="1"/>
  <c r="BD100" i="1"/>
  <c r="BE100" i="1"/>
  <c r="BF100" i="1"/>
  <c r="BG100" i="1"/>
  <c r="BH100" i="1"/>
  <c r="BI100" i="1"/>
  <c r="BJ100" i="1"/>
  <c r="BK100" i="1"/>
  <c r="BL100" i="1"/>
  <c r="BM100" i="1"/>
  <c r="BN100" i="1"/>
  <c r="AV101" i="1"/>
  <c r="AW101" i="1"/>
  <c r="AX101" i="1"/>
  <c r="AY101" i="1"/>
  <c r="AZ101" i="1"/>
  <c r="BA101" i="1"/>
  <c r="BB101" i="1"/>
  <c r="BC101" i="1"/>
  <c r="BD101" i="1"/>
  <c r="BE101" i="1"/>
  <c r="BF101" i="1"/>
  <c r="BG101" i="1"/>
  <c r="BH101" i="1"/>
  <c r="BI101" i="1"/>
  <c r="BJ101" i="1"/>
  <c r="BK101" i="1"/>
  <c r="BL101" i="1"/>
  <c r="BM101" i="1"/>
  <c r="BN101" i="1"/>
  <c r="AV102" i="1"/>
  <c r="AW102" i="1"/>
  <c r="AX102" i="1"/>
  <c r="AY102" i="1"/>
  <c r="AZ102" i="1"/>
  <c r="BA102" i="1"/>
  <c r="BB102" i="1"/>
  <c r="BC102" i="1"/>
  <c r="BD102" i="1"/>
  <c r="BE102" i="1"/>
  <c r="BF102" i="1"/>
  <c r="BG102" i="1"/>
  <c r="BH102" i="1"/>
  <c r="BI102" i="1"/>
  <c r="BJ102" i="1"/>
  <c r="BK102" i="1"/>
  <c r="BL102" i="1"/>
  <c r="BM102" i="1"/>
  <c r="BN102" i="1"/>
  <c r="AV103" i="1"/>
  <c r="AW103" i="1"/>
  <c r="AX103" i="1"/>
  <c r="AY103" i="1"/>
  <c r="AZ103" i="1"/>
  <c r="BA103" i="1"/>
  <c r="BB103" i="1"/>
  <c r="BC103" i="1"/>
  <c r="BD103" i="1"/>
  <c r="BE103" i="1"/>
  <c r="BF103" i="1"/>
  <c r="BG103" i="1"/>
  <c r="BH103" i="1"/>
  <c r="BI103" i="1"/>
  <c r="BJ103" i="1"/>
  <c r="BK103" i="1"/>
  <c r="BL103" i="1"/>
  <c r="BM103" i="1"/>
  <c r="BN103" i="1"/>
  <c r="AV104" i="1"/>
  <c r="AW104" i="1"/>
  <c r="AX104" i="1"/>
  <c r="AY104" i="1"/>
  <c r="AZ104" i="1"/>
  <c r="BA104" i="1"/>
  <c r="BB104" i="1"/>
  <c r="BC104" i="1"/>
  <c r="BD104" i="1"/>
  <c r="BE104" i="1"/>
  <c r="BF104" i="1"/>
  <c r="BG104" i="1"/>
  <c r="BH104" i="1"/>
  <c r="BI104" i="1"/>
  <c r="BJ104" i="1"/>
  <c r="BK104" i="1"/>
  <c r="BL104" i="1"/>
  <c r="BM104" i="1"/>
  <c r="BN104" i="1"/>
  <c r="AV105" i="1"/>
  <c r="AW105" i="1"/>
  <c r="AX105" i="1"/>
  <c r="AY105" i="1"/>
  <c r="AZ105" i="1"/>
  <c r="BA105" i="1"/>
  <c r="BB105" i="1"/>
  <c r="BC105" i="1"/>
  <c r="BD105" i="1"/>
  <c r="BE105" i="1"/>
  <c r="BF105" i="1"/>
  <c r="BG105" i="1"/>
  <c r="BH105" i="1"/>
  <c r="BI105" i="1"/>
  <c r="BJ105" i="1"/>
  <c r="BK105" i="1"/>
  <c r="BL105" i="1"/>
  <c r="BM105" i="1"/>
  <c r="BN105" i="1"/>
  <c r="AV106" i="1"/>
  <c r="AW106" i="1"/>
  <c r="AX106" i="1"/>
  <c r="AY106" i="1"/>
  <c r="AZ106" i="1"/>
  <c r="BA106" i="1"/>
  <c r="BB106" i="1"/>
  <c r="BC106" i="1"/>
  <c r="BD106" i="1"/>
  <c r="BE106" i="1"/>
  <c r="BF106" i="1"/>
  <c r="BG106" i="1"/>
  <c r="BH106" i="1"/>
  <c r="BI106" i="1"/>
  <c r="BJ106" i="1"/>
  <c r="BK106" i="1"/>
  <c r="BL106" i="1"/>
  <c r="BM106" i="1"/>
  <c r="BN106" i="1"/>
  <c r="AV107" i="1"/>
  <c r="AW107" i="1"/>
  <c r="AX107" i="1"/>
  <c r="AY107" i="1"/>
  <c r="AZ107" i="1"/>
  <c r="BA107" i="1"/>
  <c r="BB107" i="1"/>
  <c r="BC107" i="1"/>
  <c r="BD107" i="1"/>
  <c r="BE107" i="1"/>
  <c r="BF107" i="1"/>
  <c r="BG107" i="1"/>
  <c r="BH107" i="1"/>
  <c r="BI107" i="1"/>
  <c r="BJ107" i="1"/>
  <c r="BK107" i="1"/>
  <c r="BL107" i="1"/>
  <c r="BM107" i="1"/>
  <c r="BN107" i="1"/>
  <c r="AV108" i="1"/>
  <c r="AW108" i="1"/>
  <c r="AX108" i="1"/>
  <c r="AY108" i="1"/>
  <c r="AZ108" i="1"/>
  <c r="BA108" i="1"/>
  <c r="BB108" i="1"/>
  <c r="BC108" i="1"/>
  <c r="BD108" i="1"/>
  <c r="BE108" i="1"/>
  <c r="BF108" i="1"/>
  <c r="BG108" i="1"/>
  <c r="BH108" i="1"/>
  <c r="BI108" i="1"/>
  <c r="BJ108" i="1"/>
  <c r="BK108" i="1"/>
  <c r="BL108" i="1"/>
  <c r="BM108" i="1"/>
  <c r="BN108" i="1"/>
  <c r="AV109" i="1"/>
  <c r="AW109" i="1"/>
  <c r="AX109" i="1"/>
  <c r="AY109" i="1"/>
  <c r="AZ109" i="1"/>
  <c r="BA109" i="1"/>
  <c r="BB109" i="1"/>
  <c r="BC109" i="1"/>
  <c r="BD109" i="1"/>
  <c r="BE109" i="1"/>
  <c r="BF109" i="1"/>
  <c r="BG109" i="1"/>
  <c r="BH109" i="1"/>
  <c r="BI109" i="1"/>
  <c r="BJ109" i="1"/>
  <c r="BK109" i="1"/>
  <c r="BL109" i="1"/>
  <c r="BM109" i="1"/>
  <c r="BN109" i="1"/>
  <c r="AV110" i="1"/>
  <c r="AW110" i="1"/>
  <c r="AX110" i="1"/>
  <c r="AY110" i="1"/>
  <c r="AZ110" i="1"/>
  <c r="BA110" i="1"/>
  <c r="BB110" i="1"/>
  <c r="BC110" i="1"/>
  <c r="BD110" i="1"/>
  <c r="BE110" i="1"/>
  <c r="BF110" i="1"/>
  <c r="BG110" i="1"/>
  <c r="BH110" i="1"/>
  <c r="BI110" i="1"/>
  <c r="BJ110" i="1"/>
  <c r="BK110" i="1"/>
  <c r="BL110" i="1"/>
  <c r="BM110" i="1"/>
  <c r="BN110" i="1"/>
  <c r="AV111" i="1"/>
  <c r="AW111" i="1"/>
  <c r="AX111" i="1"/>
  <c r="AY111" i="1"/>
  <c r="AZ111" i="1"/>
  <c r="BA111" i="1"/>
  <c r="BB111" i="1"/>
  <c r="BC111" i="1"/>
  <c r="BD111" i="1"/>
  <c r="BE111" i="1"/>
  <c r="BF111" i="1"/>
  <c r="BG111" i="1"/>
  <c r="BH111" i="1"/>
  <c r="BI111" i="1"/>
  <c r="BJ111" i="1"/>
  <c r="BK111" i="1"/>
  <c r="BL111" i="1"/>
  <c r="BM111" i="1"/>
  <c r="BN111" i="1"/>
  <c r="AV112" i="1"/>
  <c r="AW112" i="1"/>
  <c r="AX112" i="1"/>
  <c r="AY112" i="1"/>
  <c r="AZ112" i="1"/>
  <c r="BA112" i="1"/>
  <c r="BB112" i="1"/>
  <c r="BC112" i="1"/>
  <c r="BD112" i="1"/>
  <c r="BE112" i="1"/>
  <c r="BF112" i="1"/>
  <c r="BG112" i="1"/>
  <c r="BH112" i="1"/>
  <c r="BI112" i="1"/>
  <c r="BJ112" i="1"/>
  <c r="BK112" i="1"/>
  <c r="BL112" i="1"/>
  <c r="BM112" i="1"/>
  <c r="BN112" i="1"/>
  <c r="AV113" i="1"/>
  <c r="AW113" i="1"/>
  <c r="AX113" i="1"/>
  <c r="AY113" i="1"/>
  <c r="AZ113" i="1"/>
  <c r="BA113" i="1"/>
  <c r="BB113" i="1"/>
  <c r="BC113" i="1"/>
  <c r="BD113" i="1"/>
  <c r="BE113" i="1"/>
  <c r="BF113" i="1"/>
  <c r="BG113" i="1"/>
  <c r="BH113" i="1"/>
  <c r="BI113" i="1"/>
  <c r="BJ113" i="1"/>
  <c r="BK113" i="1"/>
  <c r="BL113" i="1"/>
  <c r="BM113" i="1"/>
  <c r="BN113" i="1"/>
  <c r="AV114" i="1"/>
  <c r="AW114" i="1"/>
  <c r="AX114" i="1"/>
  <c r="AY114" i="1"/>
  <c r="AZ114" i="1"/>
  <c r="BA114" i="1"/>
  <c r="BB114" i="1"/>
  <c r="BC114" i="1"/>
  <c r="BD114" i="1"/>
  <c r="BE114" i="1"/>
  <c r="BF114" i="1"/>
  <c r="BG114" i="1"/>
  <c r="BH114" i="1"/>
  <c r="BI114" i="1"/>
  <c r="BJ114" i="1"/>
  <c r="BK114" i="1"/>
  <c r="BL114" i="1"/>
  <c r="BM114" i="1"/>
  <c r="BN114" i="1"/>
  <c r="AV115" i="1"/>
  <c r="AW115" i="1"/>
  <c r="AX115" i="1"/>
  <c r="AY115" i="1"/>
  <c r="AZ115" i="1"/>
  <c r="BA115" i="1"/>
  <c r="BB115" i="1"/>
  <c r="BC115" i="1"/>
  <c r="BD115" i="1"/>
  <c r="BE115" i="1"/>
  <c r="BF115" i="1"/>
  <c r="BG115" i="1"/>
  <c r="BH115" i="1"/>
  <c r="BI115" i="1"/>
  <c r="BJ115" i="1"/>
  <c r="BK115" i="1"/>
  <c r="BL115" i="1"/>
  <c r="BM115" i="1"/>
  <c r="BN115" i="1"/>
  <c r="AV116" i="1"/>
  <c r="AW116" i="1"/>
  <c r="AX116" i="1"/>
  <c r="AY116" i="1"/>
  <c r="AZ116" i="1"/>
  <c r="BA116" i="1"/>
  <c r="BB116" i="1"/>
  <c r="BC116" i="1"/>
  <c r="BD116" i="1"/>
  <c r="BE116" i="1"/>
  <c r="BF116" i="1"/>
  <c r="BG116" i="1"/>
  <c r="BH116" i="1"/>
  <c r="BI116" i="1"/>
  <c r="BJ116" i="1"/>
  <c r="BK116" i="1"/>
  <c r="BL116" i="1"/>
  <c r="BM116" i="1"/>
  <c r="BN116" i="1"/>
  <c r="AV117" i="1"/>
  <c r="AW117" i="1"/>
  <c r="AX117" i="1"/>
  <c r="AY117" i="1"/>
  <c r="AZ117" i="1"/>
  <c r="BA117" i="1"/>
  <c r="BB117" i="1"/>
  <c r="BC117" i="1"/>
  <c r="BD117" i="1"/>
  <c r="BE117" i="1"/>
  <c r="BF117" i="1"/>
  <c r="BG117" i="1"/>
  <c r="BH117" i="1"/>
  <c r="BI117" i="1"/>
  <c r="BJ117" i="1"/>
  <c r="BK117" i="1"/>
  <c r="BL117" i="1"/>
  <c r="BM117" i="1"/>
  <c r="BN117" i="1"/>
  <c r="AV118" i="1"/>
  <c r="AW118" i="1"/>
  <c r="AX118" i="1"/>
  <c r="AY118" i="1"/>
  <c r="AZ118" i="1"/>
  <c r="BA118" i="1"/>
  <c r="BB118" i="1"/>
  <c r="BC118" i="1"/>
  <c r="BD118" i="1"/>
  <c r="BE118" i="1"/>
  <c r="BF118" i="1"/>
  <c r="BG118" i="1"/>
  <c r="BH118" i="1"/>
  <c r="BI118" i="1"/>
  <c r="BJ118" i="1"/>
  <c r="BK118" i="1"/>
  <c r="BL118" i="1"/>
  <c r="BM118" i="1"/>
  <c r="BN118" i="1"/>
  <c r="AV119" i="1"/>
  <c r="AW119" i="1"/>
  <c r="AX119" i="1"/>
  <c r="AY119" i="1"/>
  <c r="AZ119" i="1"/>
  <c r="BA119" i="1"/>
  <c r="BB119" i="1"/>
  <c r="BC119" i="1"/>
  <c r="BD119" i="1"/>
  <c r="BE119" i="1"/>
  <c r="BF119" i="1"/>
  <c r="BG119" i="1"/>
  <c r="BH119" i="1"/>
  <c r="BI119" i="1"/>
  <c r="BJ119" i="1"/>
  <c r="BK119" i="1"/>
  <c r="BL119" i="1"/>
  <c r="BM119" i="1"/>
  <c r="BN119" i="1"/>
  <c r="AV120" i="1"/>
  <c r="AW120" i="1"/>
  <c r="AX120" i="1"/>
  <c r="AY120" i="1"/>
  <c r="AZ120" i="1"/>
  <c r="BA120" i="1"/>
  <c r="BB120" i="1"/>
  <c r="BC120" i="1"/>
  <c r="BD120" i="1"/>
  <c r="BE120" i="1"/>
  <c r="BF120" i="1"/>
  <c r="BG120" i="1"/>
  <c r="BH120" i="1"/>
  <c r="BI120" i="1"/>
  <c r="BJ120" i="1"/>
  <c r="BK120" i="1"/>
  <c r="BL120" i="1"/>
  <c r="BM120" i="1"/>
  <c r="BN120" i="1"/>
  <c r="AV121" i="1"/>
  <c r="AW121" i="1"/>
  <c r="AX121" i="1"/>
  <c r="AY121" i="1"/>
  <c r="AZ121" i="1"/>
  <c r="BA121" i="1"/>
  <c r="BB121" i="1"/>
  <c r="BC121" i="1"/>
  <c r="BD121" i="1"/>
  <c r="BE121" i="1"/>
  <c r="BF121" i="1"/>
  <c r="BG121" i="1"/>
  <c r="BH121" i="1"/>
  <c r="BI121" i="1"/>
  <c r="BJ121" i="1"/>
  <c r="BK121" i="1"/>
  <c r="BL121" i="1"/>
  <c r="BM121" i="1"/>
  <c r="BN121" i="1"/>
  <c r="AV122" i="1"/>
  <c r="AW122" i="1"/>
  <c r="AX122" i="1"/>
  <c r="AY122" i="1"/>
  <c r="AZ122" i="1"/>
  <c r="BA122" i="1"/>
  <c r="BB122" i="1"/>
  <c r="BC122" i="1"/>
  <c r="BD122" i="1"/>
  <c r="BE122" i="1"/>
  <c r="BF122" i="1"/>
  <c r="BG122" i="1"/>
  <c r="BH122" i="1"/>
  <c r="BI122" i="1"/>
  <c r="BJ122" i="1"/>
  <c r="BK122" i="1"/>
  <c r="BL122" i="1"/>
  <c r="BM122" i="1"/>
  <c r="BN122" i="1"/>
  <c r="AV123" i="1"/>
  <c r="AW123" i="1"/>
  <c r="AX123" i="1"/>
  <c r="AY123" i="1"/>
  <c r="AZ123" i="1"/>
  <c r="BA123" i="1"/>
  <c r="BB123" i="1"/>
  <c r="BC123" i="1"/>
  <c r="BD123" i="1"/>
  <c r="BE123" i="1"/>
  <c r="BF123" i="1"/>
  <c r="BG123" i="1"/>
  <c r="BH123" i="1"/>
  <c r="BI123" i="1"/>
  <c r="BJ123" i="1"/>
  <c r="BK123" i="1"/>
  <c r="BL123" i="1"/>
  <c r="BM123" i="1"/>
  <c r="BN123" i="1"/>
  <c r="AV124" i="1"/>
  <c r="AW124" i="1"/>
  <c r="AX124" i="1"/>
  <c r="AY124" i="1"/>
  <c r="AZ124" i="1"/>
  <c r="BA124" i="1"/>
  <c r="BB124" i="1"/>
  <c r="BC124" i="1"/>
  <c r="BD124" i="1"/>
  <c r="BE124" i="1"/>
  <c r="BF124" i="1"/>
  <c r="BG124" i="1"/>
  <c r="BH124" i="1"/>
  <c r="BI124" i="1"/>
  <c r="BJ124" i="1"/>
  <c r="BK124" i="1"/>
  <c r="BL124" i="1"/>
  <c r="BM124" i="1"/>
  <c r="BN124" i="1"/>
  <c r="AV125" i="1"/>
  <c r="AW125" i="1"/>
  <c r="AX125" i="1"/>
  <c r="AY125" i="1"/>
  <c r="AZ125" i="1"/>
  <c r="BA125" i="1"/>
  <c r="BB125" i="1"/>
  <c r="BC125" i="1"/>
  <c r="BD125" i="1"/>
  <c r="BE125" i="1"/>
  <c r="BF125" i="1"/>
  <c r="BG125" i="1"/>
  <c r="BH125" i="1"/>
  <c r="BI125" i="1"/>
  <c r="BJ125" i="1"/>
  <c r="BK125" i="1"/>
  <c r="BL125" i="1"/>
  <c r="BM125" i="1"/>
  <c r="BN125" i="1"/>
  <c r="AV126" i="1"/>
  <c r="AW126" i="1"/>
  <c r="AX126" i="1"/>
  <c r="AY126" i="1"/>
  <c r="AZ126" i="1"/>
  <c r="BA126" i="1"/>
  <c r="BB126" i="1"/>
  <c r="BC126" i="1"/>
  <c r="BD126" i="1"/>
  <c r="BE126" i="1"/>
  <c r="BF126" i="1"/>
  <c r="BG126" i="1"/>
  <c r="BH126" i="1"/>
  <c r="BI126" i="1"/>
  <c r="BJ126" i="1"/>
  <c r="BK126" i="1"/>
  <c r="BL126" i="1"/>
  <c r="BM126" i="1"/>
  <c r="BN126" i="1"/>
  <c r="AV127" i="1"/>
  <c r="AW127" i="1"/>
  <c r="AX127" i="1"/>
  <c r="AY127" i="1"/>
  <c r="AZ127" i="1"/>
  <c r="BA127" i="1"/>
  <c r="BB127" i="1"/>
  <c r="BC127" i="1"/>
  <c r="BD127" i="1"/>
  <c r="BE127" i="1"/>
  <c r="BF127" i="1"/>
  <c r="BG127" i="1"/>
  <c r="BH127" i="1"/>
  <c r="BI127" i="1"/>
  <c r="BJ127" i="1"/>
  <c r="BK127" i="1"/>
  <c r="BL127" i="1"/>
  <c r="BM127" i="1"/>
  <c r="BN127" i="1"/>
  <c r="AV128" i="1"/>
  <c r="AW128" i="1"/>
  <c r="AX128" i="1"/>
  <c r="AY128" i="1"/>
  <c r="AZ128" i="1"/>
  <c r="BA128" i="1"/>
  <c r="BB128" i="1"/>
  <c r="BC128" i="1"/>
  <c r="BD128" i="1"/>
  <c r="BE128" i="1"/>
  <c r="BF128" i="1"/>
  <c r="BG128" i="1"/>
  <c r="BH128" i="1"/>
  <c r="BI128" i="1"/>
  <c r="BJ128" i="1"/>
  <c r="BK128" i="1"/>
  <c r="BL128" i="1"/>
  <c r="BM128" i="1"/>
  <c r="BN128" i="1"/>
  <c r="AV129" i="1"/>
  <c r="AW129" i="1"/>
  <c r="AX129" i="1"/>
  <c r="AY129" i="1"/>
  <c r="AZ129" i="1"/>
  <c r="BA129" i="1"/>
  <c r="BB129" i="1"/>
  <c r="BC129" i="1"/>
  <c r="BD129" i="1"/>
  <c r="BE129" i="1"/>
  <c r="BF129" i="1"/>
  <c r="BG129" i="1"/>
  <c r="BH129" i="1"/>
  <c r="BI129" i="1"/>
  <c r="BJ129" i="1"/>
  <c r="BK129" i="1"/>
  <c r="BL129" i="1"/>
  <c r="BM129" i="1"/>
  <c r="BN129" i="1"/>
  <c r="AV130" i="1"/>
  <c r="AW130" i="1"/>
  <c r="AX130" i="1"/>
  <c r="AY130" i="1"/>
  <c r="AZ130" i="1"/>
  <c r="BA130" i="1"/>
  <c r="BB130" i="1"/>
  <c r="BC130" i="1"/>
  <c r="BD130" i="1"/>
  <c r="BE130" i="1"/>
  <c r="BF130" i="1"/>
  <c r="BG130" i="1"/>
  <c r="BH130" i="1"/>
  <c r="BI130" i="1"/>
  <c r="BJ130" i="1"/>
  <c r="BK130" i="1"/>
  <c r="BL130" i="1"/>
  <c r="BM130" i="1"/>
  <c r="BN130" i="1"/>
  <c r="AV131" i="1"/>
  <c r="AW131" i="1"/>
  <c r="AX131" i="1"/>
  <c r="AY131" i="1"/>
  <c r="AZ131" i="1"/>
  <c r="BA131" i="1"/>
  <c r="BB131" i="1"/>
  <c r="BC131" i="1"/>
  <c r="BD131" i="1"/>
  <c r="BE131" i="1"/>
  <c r="BF131" i="1"/>
  <c r="BG131" i="1"/>
  <c r="BH131" i="1"/>
  <c r="BI131" i="1"/>
  <c r="BJ131" i="1"/>
  <c r="BK131" i="1"/>
  <c r="BL131" i="1"/>
  <c r="BM131" i="1"/>
  <c r="BN131" i="1"/>
  <c r="AV132" i="1"/>
  <c r="AW132" i="1"/>
  <c r="AX132" i="1"/>
  <c r="AY132" i="1"/>
  <c r="AZ132" i="1"/>
  <c r="BA132" i="1"/>
  <c r="BB132" i="1"/>
  <c r="BC132" i="1"/>
  <c r="BD132" i="1"/>
  <c r="BE132" i="1"/>
  <c r="BF132" i="1"/>
  <c r="BG132" i="1"/>
  <c r="BH132" i="1"/>
  <c r="BI132" i="1"/>
  <c r="BJ132" i="1"/>
  <c r="BK132" i="1"/>
  <c r="BL132" i="1"/>
  <c r="BM132" i="1"/>
  <c r="BN132" i="1"/>
  <c r="AV133" i="1"/>
  <c r="AW133" i="1"/>
  <c r="AX133" i="1"/>
  <c r="AY133" i="1"/>
  <c r="AZ133" i="1"/>
  <c r="BA133" i="1"/>
  <c r="BB133" i="1"/>
  <c r="BC133" i="1"/>
  <c r="BD133" i="1"/>
  <c r="BE133" i="1"/>
  <c r="BF133" i="1"/>
  <c r="BG133" i="1"/>
  <c r="BH133" i="1"/>
  <c r="BI133" i="1"/>
  <c r="BJ133" i="1"/>
  <c r="BK133" i="1"/>
  <c r="BL133" i="1"/>
  <c r="BM133" i="1"/>
  <c r="BN133" i="1"/>
  <c r="AV134" i="1"/>
  <c r="AW134" i="1"/>
  <c r="AX134" i="1"/>
  <c r="AY134" i="1"/>
  <c r="AZ134" i="1"/>
  <c r="BA134" i="1"/>
  <c r="BB134" i="1"/>
  <c r="BC134" i="1"/>
  <c r="BD134" i="1"/>
  <c r="BE134" i="1"/>
  <c r="BF134" i="1"/>
  <c r="BG134" i="1"/>
  <c r="BH134" i="1"/>
  <c r="BI134" i="1"/>
  <c r="BJ134" i="1"/>
  <c r="BK134" i="1"/>
  <c r="BL134" i="1"/>
  <c r="BM134" i="1"/>
  <c r="BN134" i="1"/>
  <c r="AV135" i="1"/>
  <c r="AW135" i="1"/>
  <c r="AX135" i="1"/>
  <c r="AY135" i="1"/>
  <c r="AZ135" i="1"/>
  <c r="BA135" i="1"/>
  <c r="BB135" i="1"/>
  <c r="BC135" i="1"/>
  <c r="BD135" i="1"/>
  <c r="BE135" i="1"/>
  <c r="BF135" i="1"/>
  <c r="BG135" i="1"/>
  <c r="BH135" i="1"/>
  <c r="BI135" i="1"/>
  <c r="BJ135" i="1"/>
  <c r="BK135" i="1"/>
  <c r="BL135" i="1"/>
  <c r="BM135" i="1"/>
  <c r="BN135" i="1"/>
  <c r="AV136" i="1"/>
  <c r="AW136" i="1"/>
  <c r="AX136" i="1"/>
  <c r="AY136" i="1"/>
  <c r="AZ136" i="1"/>
  <c r="BA136" i="1"/>
  <c r="BB136" i="1"/>
  <c r="BC136" i="1"/>
  <c r="BD136" i="1"/>
  <c r="BE136" i="1"/>
  <c r="BF136" i="1"/>
  <c r="BG136" i="1"/>
  <c r="BH136" i="1"/>
  <c r="BI136" i="1"/>
  <c r="BJ136" i="1"/>
  <c r="BK136" i="1"/>
  <c r="BL136" i="1"/>
  <c r="BM136" i="1"/>
  <c r="BN136" i="1"/>
  <c r="AV137" i="1"/>
  <c r="AW137" i="1"/>
  <c r="AX137" i="1"/>
  <c r="AY137" i="1"/>
  <c r="AZ137" i="1"/>
  <c r="BA137" i="1"/>
  <c r="BB137" i="1"/>
  <c r="BC137" i="1"/>
  <c r="BD137" i="1"/>
  <c r="BE137" i="1"/>
  <c r="BF137" i="1"/>
  <c r="BG137" i="1"/>
  <c r="BH137" i="1"/>
  <c r="BI137" i="1"/>
  <c r="BJ137" i="1"/>
  <c r="BK137" i="1"/>
  <c r="BL137" i="1"/>
  <c r="BM137" i="1"/>
  <c r="BN137" i="1"/>
  <c r="AV138" i="1"/>
  <c r="AW138" i="1"/>
  <c r="AX138" i="1"/>
  <c r="AY138" i="1"/>
  <c r="AZ138" i="1"/>
  <c r="BA138" i="1"/>
  <c r="BB138" i="1"/>
  <c r="BC138" i="1"/>
  <c r="BD138" i="1"/>
  <c r="BE138" i="1"/>
  <c r="BF138" i="1"/>
  <c r="BG138" i="1"/>
  <c r="BH138" i="1"/>
  <c r="BI138" i="1"/>
  <c r="BJ138" i="1"/>
  <c r="BK138" i="1"/>
  <c r="BL138" i="1"/>
  <c r="BM138" i="1"/>
  <c r="BN138" i="1"/>
  <c r="AV139" i="1"/>
  <c r="AW139" i="1"/>
  <c r="AX139" i="1"/>
  <c r="AY139" i="1"/>
  <c r="AZ139" i="1"/>
  <c r="BA139" i="1"/>
  <c r="BB139" i="1"/>
  <c r="BC139" i="1"/>
  <c r="BD139" i="1"/>
  <c r="BE139" i="1"/>
  <c r="BF139" i="1"/>
  <c r="BG139" i="1"/>
  <c r="BH139" i="1"/>
  <c r="BI139" i="1"/>
  <c r="BJ139" i="1"/>
  <c r="BK139" i="1"/>
  <c r="BL139" i="1"/>
  <c r="BM139" i="1"/>
  <c r="BN139" i="1"/>
  <c r="AV140" i="1"/>
  <c r="AW140" i="1"/>
  <c r="AX140" i="1"/>
  <c r="AY140" i="1"/>
  <c r="AZ140" i="1"/>
  <c r="BA140" i="1"/>
  <c r="BB140" i="1"/>
  <c r="BC140" i="1"/>
  <c r="BD140" i="1"/>
  <c r="BE140" i="1"/>
  <c r="BF140" i="1"/>
  <c r="BG140" i="1"/>
  <c r="BH140" i="1"/>
  <c r="BI140" i="1"/>
  <c r="BJ140" i="1"/>
  <c r="BK140" i="1"/>
  <c r="BL140" i="1"/>
  <c r="BM140" i="1"/>
  <c r="BN140" i="1"/>
  <c r="AV141" i="1"/>
  <c r="AW141" i="1"/>
  <c r="AX141" i="1"/>
  <c r="AY141" i="1"/>
  <c r="AZ141" i="1"/>
  <c r="BA141" i="1"/>
  <c r="BB141" i="1"/>
  <c r="BC141" i="1"/>
  <c r="BD141" i="1"/>
  <c r="BE141" i="1"/>
  <c r="BF141" i="1"/>
  <c r="BG141" i="1"/>
  <c r="BH141" i="1"/>
  <c r="BI141" i="1"/>
  <c r="BJ141" i="1"/>
  <c r="BK141" i="1"/>
  <c r="BL141" i="1"/>
  <c r="BM141" i="1"/>
  <c r="BN141" i="1"/>
  <c r="AV142" i="1"/>
  <c r="AW142" i="1"/>
  <c r="AX142" i="1"/>
  <c r="AY142" i="1"/>
  <c r="AZ142" i="1"/>
  <c r="BA142" i="1"/>
  <c r="BB142" i="1"/>
  <c r="BC142" i="1"/>
  <c r="BD142" i="1"/>
  <c r="BE142" i="1"/>
  <c r="BF142" i="1"/>
  <c r="BG142" i="1"/>
  <c r="BH142" i="1"/>
  <c r="BI142" i="1"/>
  <c r="BJ142" i="1"/>
  <c r="BK142" i="1"/>
  <c r="BL142" i="1"/>
  <c r="BM142" i="1"/>
  <c r="BN142" i="1"/>
  <c r="AV143" i="1"/>
  <c r="AW143" i="1"/>
  <c r="AX143" i="1"/>
  <c r="AY143" i="1"/>
  <c r="AZ143" i="1"/>
  <c r="BA143" i="1"/>
  <c r="BB143" i="1"/>
  <c r="BC143" i="1"/>
  <c r="BD143" i="1"/>
  <c r="BE143" i="1"/>
  <c r="BF143" i="1"/>
  <c r="BG143" i="1"/>
  <c r="BH143" i="1"/>
  <c r="BI143" i="1"/>
  <c r="BJ143" i="1"/>
  <c r="BK143" i="1"/>
  <c r="BL143" i="1"/>
  <c r="BM143" i="1"/>
  <c r="BN143" i="1"/>
  <c r="AV144" i="1"/>
  <c r="AW144" i="1"/>
  <c r="AX144" i="1"/>
  <c r="AY144" i="1"/>
  <c r="AZ144" i="1"/>
  <c r="BA144" i="1"/>
  <c r="BB144" i="1"/>
  <c r="BC144" i="1"/>
  <c r="BD144" i="1"/>
  <c r="BE144" i="1"/>
  <c r="BF144" i="1"/>
  <c r="BG144" i="1"/>
  <c r="BH144" i="1"/>
  <c r="BI144" i="1"/>
  <c r="BJ144" i="1"/>
  <c r="BK144" i="1"/>
  <c r="BL144" i="1"/>
  <c r="BM144" i="1"/>
  <c r="BN144" i="1"/>
  <c r="AV145" i="1"/>
  <c r="AW145" i="1"/>
  <c r="AX145" i="1"/>
  <c r="AY145" i="1"/>
  <c r="AZ145" i="1"/>
  <c r="BA145" i="1"/>
  <c r="BB145" i="1"/>
  <c r="BC145" i="1"/>
  <c r="BD145" i="1"/>
  <c r="BE145" i="1"/>
  <c r="BF145" i="1"/>
  <c r="BG145" i="1"/>
  <c r="BH145" i="1"/>
  <c r="BI145" i="1"/>
  <c r="BJ145" i="1"/>
  <c r="BK145" i="1"/>
  <c r="BL145" i="1"/>
  <c r="BM145" i="1"/>
  <c r="BN145" i="1"/>
  <c r="AV146" i="1"/>
  <c r="AW146" i="1"/>
  <c r="AX146" i="1"/>
  <c r="AY146" i="1"/>
  <c r="AZ146" i="1"/>
  <c r="BA146" i="1"/>
  <c r="BB146" i="1"/>
  <c r="BC146" i="1"/>
  <c r="BD146" i="1"/>
  <c r="BE146" i="1"/>
  <c r="BF146" i="1"/>
  <c r="BG146" i="1"/>
  <c r="BH146" i="1"/>
  <c r="BI146" i="1"/>
  <c r="BJ146" i="1"/>
  <c r="BK146" i="1"/>
  <c r="BL146" i="1"/>
  <c r="BM146" i="1"/>
  <c r="BN146" i="1"/>
  <c r="AV147" i="1"/>
  <c r="AW147" i="1"/>
  <c r="AX147" i="1"/>
  <c r="AY147" i="1"/>
  <c r="AZ147" i="1"/>
  <c r="BA147" i="1"/>
  <c r="BB147" i="1"/>
  <c r="BC147" i="1"/>
  <c r="BD147" i="1"/>
  <c r="BE147" i="1"/>
  <c r="BF147" i="1"/>
  <c r="BG147" i="1"/>
  <c r="BH147" i="1"/>
  <c r="BI147" i="1"/>
  <c r="BJ147" i="1"/>
  <c r="BK147" i="1"/>
  <c r="BL147" i="1"/>
  <c r="BM147" i="1"/>
  <c r="BN147" i="1"/>
  <c r="AV148" i="1"/>
  <c r="AW148" i="1"/>
  <c r="AX148" i="1"/>
  <c r="AY148" i="1"/>
  <c r="AZ148" i="1"/>
  <c r="BA148" i="1"/>
  <c r="BB148" i="1"/>
  <c r="BC148" i="1"/>
  <c r="BD148" i="1"/>
  <c r="BE148" i="1"/>
  <c r="BF148" i="1"/>
  <c r="BG148" i="1"/>
  <c r="BH148" i="1"/>
  <c r="BI148" i="1"/>
  <c r="BJ148" i="1"/>
  <c r="BK148" i="1"/>
  <c r="BL148" i="1"/>
  <c r="BM148" i="1"/>
  <c r="BN148" i="1"/>
  <c r="AV149" i="1"/>
  <c r="AW149" i="1"/>
  <c r="AX149" i="1"/>
  <c r="AY149" i="1"/>
  <c r="AZ149" i="1"/>
  <c r="BA149" i="1"/>
  <c r="BB149" i="1"/>
  <c r="BC149" i="1"/>
  <c r="BD149" i="1"/>
  <c r="BE149" i="1"/>
  <c r="BF149" i="1"/>
  <c r="BG149" i="1"/>
  <c r="BH149" i="1"/>
  <c r="BI149" i="1"/>
  <c r="BJ149" i="1"/>
  <c r="BK149" i="1"/>
  <c r="BL149" i="1"/>
  <c r="BM149" i="1"/>
  <c r="BN149" i="1"/>
  <c r="AV150" i="1"/>
  <c r="AW150" i="1"/>
  <c r="AX150" i="1"/>
  <c r="AY150" i="1"/>
  <c r="AZ150" i="1"/>
  <c r="BA150" i="1"/>
  <c r="BB150" i="1"/>
  <c r="BC150" i="1"/>
  <c r="BD150" i="1"/>
  <c r="BE150" i="1"/>
  <c r="BF150" i="1"/>
  <c r="BG150" i="1"/>
  <c r="BH150" i="1"/>
  <c r="BI150" i="1"/>
  <c r="BJ150" i="1"/>
  <c r="BK150" i="1"/>
  <c r="BL150" i="1"/>
  <c r="BM150" i="1"/>
  <c r="BN150" i="1"/>
  <c r="AV151" i="1"/>
  <c r="AW151" i="1"/>
  <c r="AX151" i="1"/>
  <c r="AY151" i="1"/>
  <c r="AZ151" i="1"/>
  <c r="BA151" i="1"/>
  <c r="BB151" i="1"/>
  <c r="BC151" i="1"/>
  <c r="BD151" i="1"/>
  <c r="BE151" i="1"/>
  <c r="BF151" i="1"/>
  <c r="BG151" i="1"/>
  <c r="BH151" i="1"/>
  <c r="BI151" i="1"/>
  <c r="BJ151" i="1"/>
  <c r="BK151" i="1"/>
  <c r="BL151" i="1"/>
  <c r="BM151" i="1"/>
  <c r="BN151" i="1"/>
  <c r="AV152" i="1"/>
  <c r="AW152" i="1"/>
  <c r="AX152" i="1"/>
  <c r="AY152" i="1"/>
  <c r="AZ152" i="1"/>
  <c r="BA152" i="1"/>
  <c r="BB152" i="1"/>
  <c r="BC152" i="1"/>
  <c r="BD152" i="1"/>
  <c r="BE152" i="1"/>
  <c r="BF152" i="1"/>
  <c r="BG152" i="1"/>
  <c r="BH152" i="1"/>
  <c r="BI152" i="1"/>
  <c r="BJ152" i="1"/>
  <c r="BK152" i="1"/>
  <c r="BL152" i="1"/>
  <c r="BM152" i="1"/>
  <c r="BN152" i="1"/>
  <c r="AV153" i="1"/>
  <c r="AW153" i="1"/>
  <c r="AX153" i="1"/>
  <c r="AY153" i="1"/>
  <c r="AZ153" i="1"/>
  <c r="BA153" i="1"/>
  <c r="BB153" i="1"/>
  <c r="BC153" i="1"/>
  <c r="BD153" i="1"/>
  <c r="BE153" i="1"/>
  <c r="BF153" i="1"/>
  <c r="BG153" i="1"/>
  <c r="BH153" i="1"/>
  <c r="BI153" i="1"/>
  <c r="BJ153" i="1"/>
  <c r="BK153" i="1"/>
  <c r="BL153" i="1"/>
  <c r="BM153" i="1"/>
  <c r="BN153" i="1"/>
  <c r="AV154" i="1"/>
  <c r="AW154" i="1"/>
  <c r="AX154" i="1"/>
  <c r="AY154" i="1"/>
  <c r="AZ154" i="1"/>
  <c r="BA154" i="1"/>
  <c r="BB154" i="1"/>
  <c r="BC154" i="1"/>
  <c r="BD154" i="1"/>
  <c r="BE154" i="1"/>
  <c r="BF154" i="1"/>
  <c r="BG154" i="1"/>
  <c r="BH154" i="1"/>
  <c r="BI154" i="1"/>
  <c r="BJ154" i="1"/>
  <c r="BK154" i="1"/>
  <c r="BL154" i="1"/>
  <c r="BM154" i="1"/>
  <c r="BN154" i="1"/>
  <c r="AV155" i="1"/>
  <c r="AW155" i="1"/>
  <c r="AX155" i="1"/>
  <c r="AY155" i="1"/>
  <c r="AZ155" i="1"/>
  <c r="BA155" i="1"/>
  <c r="BB155" i="1"/>
  <c r="BC155" i="1"/>
  <c r="BD155" i="1"/>
  <c r="BE155" i="1"/>
  <c r="BF155" i="1"/>
  <c r="BG155" i="1"/>
  <c r="BH155" i="1"/>
  <c r="BI155" i="1"/>
  <c r="BJ155" i="1"/>
  <c r="BK155" i="1"/>
  <c r="BL155" i="1"/>
  <c r="BM155" i="1"/>
  <c r="BN155" i="1"/>
  <c r="AV156" i="1"/>
  <c r="AW156" i="1"/>
  <c r="AX156" i="1"/>
  <c r="AY156" i="1"/>
  <c r="AZ156" i="1"/>
  <c r="BA156" i="1"/>
  <c r="BB156" i="1"/>
  <c r="BC156" i="1"/>
  <c r="BD156" i="1"/>
  <c r="BE156" i="1"/>
  <c r="BF156" i="1"/>
  <c r="BG156" i="1"/>
  <c r="BH156" i="1"/>
  <c r="BI156" i="1"/>
  <c r="BJ156" i="1"/>
  <c r="BK156" i="1"/>
  <c r="BL156" i="1"/>
  <c r="BM156" i="1"/>
  <c r="BN156" i="1"/>
  <c r="AV157" i="1"/>
  <c r="AW157" i="1"/>
  <c r="AX157" i="1"/>
  <c r="AY157" i="1"/>
  <c r="AZ157" i="1"/>
  <c r="BA157" i="1"/>
  <c r="BB157" i="1"/>
  <c r="BC157" i="1"/>
  <c r="BD157" i="1"/>
  <c r="BE157" i="1"/>
  <c r="BF157" i="1"/>
  <c r="BG157" i="1"/>
  <c r="BH157" i="1"/>
  <c r="BI157" i="1"/>
  <c r="BJ157" i="1"/>
  <c r="BK157" i="1"/>
  <c r="BL157" i="1"/>
  <c r="BM157" i="1"/>
  <c r="BN157" i="1"/>
  <c r="AV158" i="1"/>
  <c r="AW158" i="1"/>
  <c r="AX158" i="1"/>
  <c r="AY158" i="1"/>
  <c r="AZ158" i="1"/>
  <c r="BA158" i="1"/>
  <c r="BB158" i="1"/>
  <c r="BC158" i="1"/>
  <c r="BD158" i="1"/>
  <c r="BE158" i="1"/>
  <c r="BF158" i="1"/>
  <c r="BG158" i="1"/>
  <c r="BH158" i="1"/>
  <c r="BI158" i="1"/>
  <c r="BJ158" i="1"/>
  <c r="BK158" i="1"/>
  <c r="BL158" i="1"/>
  <c r="BM158" i="1"/>
  <c r="BN158" i="1"/>
  <c r="AV159" i="1"/>
  <c r="AW159" i="1"/>
  <c r="AX159" i="1"/>
  <c r="AY159" i="1"/>
  <c r="AZ159" i="1"/>
  <c r="BA159" i="1"/>
  <c r="BB159" i="1"/>
  <c r="BC159" i="1"/>
  <c r="BD159" i="1"/>
  <c r="BE159" i="1"/>
  <c r="BF159" i="1"/>
  <c r="BG159" i="1"/>
  <c r="BH159" i="1"/>
  <c r="BI159" i="1"/>
  <c r="BJ159" i="1"/>
  <c r="BK159" i="1"/>
  <c r="BL159" i="1"/>
  <c r="BM159" i="1"/>
  <c r="BN159" i="1"/>
  <c r="AV160" i="1"/>
  <c r="AW160" i="1"/>
  <c r="AX160" i="1"/>
  <c r="AY160" i="1"/>
  <c r="AZ160" i="1"/>
  <c r="BA160" i="1"/>
  <c r="BB160" i="1"/>
  <c r="BC160" i="1"/>
  <c r="BD160" i="1"/>
  <c r="BE160" i="1"/>
  <c r="BF160" i="1"/>
  <c r="BG160" i="1"/>
  <c r="BH160" i="1"/>
  <c r="BI160" i="1"/>
  <c r="BJ160" i="1"/>
  <c r="BK160" i="1"/>
  <c r="BL160" i="1"/>
  <c r="BM160" i="1"/>
  <c r="BN160" i="1"/>
  <c r="AV161" i="1"/>
  <c r="AW161" i="1"/>
  <c r="AX161" i="1"/>
  <c r="AY161" i="1"/>
  <c r="AZ161" i="1"/>
  <c r="BA161" i="1"/>
  <c r="BB161" i="1"/>
  <c r="BC161" i="1"/>
  <c r="BD161" i="1"/>
  <c r="BE161" i="1"/>
  <c r="BF161" i="1"/>
  <c r="BG161" i="1"/>
  <c r="BH161" i="1"/>
  <c r="BI161" i="1"/>
  <c r="BJ161" i="1"/>
  <c r="BK161" i="1"/>
  <c r="BL161" i="1"/>
  <c r="BM161" i="1"/>
  <c r="BN161" i="1"/>
  <c r="AV162" i="1"/>
  <c r="AW162" i="1"/>
  <c r="AX162" i="1"/>
  <c r="AY162" i="1"/>
  <c r="AZ162" i="1"/>
  <c r="BA162" i="1"/>
  <c r="BB162" i="1"/>
  <c r="BC162" i="1"/>
  <c r="BD162" i="1"/>
  <c r="BE162" i="1"/>
  <c r="BF162" i="1"/>
  <c r="BG162" i="1"/>
  <c r="BH162" i="1"/>
  <c r="BI162" i="1"/>
  <c r="BJ162" i="1"/>
  <c r="BK162" i="1"/>
  <c r="BL162" i="1"/>
  <c r="BM162" i="1"/>
  <c r="BN162" i="1"/>
  <c r="AV163" i="1"/>
  <c r="AW163" i="1"/>
  <c r="AX163" i="1"/>
  <c r="AY163" i="1"/>
  <c r="AZ163" i="1"/>
  <c r="BA163" i="1"/>
  <c r="BB163" i="1"/>
  <c r="BC163" i="1"/>
  <c r="BD163" i="1"/>
  <c r="BE163" i="1"/>
  <c r="BF163" i="1"/>
  <c r="BG163" i="1"/>
  <c r="BH163" i="1"/>
  <c r="BI163" i="1"/>
  <c r="BJ163" i="1"/>
  <c r="BK163" i="1"/>
  <c r="BL163" i="1"/>
  <c r="BM163" i="1"/>
  <c r="BN163" i="1"/>
  <c r="AV164" i="1"/>
  <c r="AW164" i="1"/>
  <c r="AX164" i="1"/>
  <c r="AY164" i="1"/>
  <c r="AZ164" i="1"/>
  <c r="BA164" i="1"/>
  <c r="BB164" i="1"/>
  <c r="BC164" i="1"/>
  <c r="BD164" i="1"/>
  <c r="BE164" i="1"/>
  <c r="BF164" i="1"/>
  <c r="BG164" i="1"/>
  <c r="BH164" i="1"/>
  <c r="BI164" i="1"/>
  <c r="BJ164" i="1"/>
  <c r="BK164" i="1"/>
  <c r="BL164" i="1"/>
  <c r="BM164" i="1"/>
  <c r="BN164" i="1"/>
  <c r="AV165" i="1"/>
  <c r="AW165" i="1"/>
  <c r="AX165" i="1"/>
  <c r="AY165" i="1"/>
  <c r="AZ165" i="1"/>
  <c r="BA165" i="1"/>
  <c r="BB165" i="1"/>
  <c r="BC165" i="1"/>
  <c r="BD165" i="1"/>
  <c r="BE165" i="1"/>
  <c r="BF165" i="1"/>
  <c r="BG165" i="1"/>
  <c r="BH165" i="1"/>
  <c r="BI165" i="1"/>
  <c r="BJ165" i="1"/>
  <c r="BK165" i="1"/>
  <c r="BL165" i="1"/>
  <c r="BM165" i="1"/>
  <c r="BN165" i="1"/>
  <c r="AV166" i="1"/>
  <c r="AW166" i="1"/>
  <c r="AX166" i="1"/>
  <c r="AY166" i="1"/>
  <c r="AZ166" i="1"/>
  <c r="BA166" i="1"/>
  <c r="BB166" i="1"/>
  <c r="BC166" i="1"/>
  <c r="BD166" i="1"/>
  <c r="BE166" i="1"/>
  <c r="BF166" i="1"/>
  <c r="BG166" i="1"/>
  <c r="BH166" i="1"/>
  <c r="BI166" i="1"/>
  <c r="BJ166" i="1"/>
  <c r="BK166" i="1"/>
  <c r="BL166" i="1"/>
  <c r="BM166" i="1"/>
  <c r="BN166" i="1"/>
  <c r="AV167" i="1"/>
  <c r="AW167" i="1"/>
  <c r="AX167" i="1"/>
  <c r="AY167" i="1"/>
  <c r="AZ167" i="1"/>
  <c r="BA167" i="1"/>
  <c r="BB167" i="1"/>
  <c r="BC167" i="1"/>
  <c r="BD167" i="1"/>
  <c r="BE167" i="1"/>
  <c r="BF167" i="1"/>
  <c r="BG167" i="1"/>
  <c r="BH167" i="1"/>
  <c r="BI167" i="1"/>
  <c r="BJ167" i="1"/>
  <c r="BK167" i="1"/>
  <c r="BL167" i="1"/>
  <c r="BM167" i="1"/>
  <c r="BN167" i="1"/>
  <c r="AV168" i="1"/>
  <c r="AW168" i="1"/>
  <c r="AX168" i="1"/>
  <c r="AY168" i="1"/>
  <c r="AZ168" i="1"/>
  <c r="BA168" i="1"/>
  <c r="BB168" i="1"/>
  <c r="BC168" i="1"/>
  <c r="BD168" i="1"/>
  <c r="BE168" i="1"/>
  <c r="BF168" i="1"/>
  <c r="BG168" i="1"/>
  <c r="BH168" i="1"/>
  <c r="BI168" i="1"/>
  <c r="BJ168" i="1"/>
  <c r="BK168" i="1"/>
  <c r="BL168" i="1"/>
  <c r="BM168" i="1"/>
  <c r="BN168" i="1"/>
  <c r="AV169" i="1"/>
  <c r="AW169" i="1"/>
  <c r="AX169" i="1"/>
  <c r="AY169" i="1"/>
  <c r="AZ169" i="1"/>
  <c r="BA169" i="1"/>
  <c r="BB169" i="1"/>
  <c r="BC169" i="1"/>
  <c r="BD169" i="1"/>
  <c r="BE169" i="1"/>
  <c r="BF169" i="1"/>
  <c r="BG169" i="1"/>
  <c r="BH169" i="1"/>
  <c r="BI169" i="1"/>
  <c r="BJ169" i="1"/>
  <c r="BK169" i="1"/>
  <c r="BL169" i="1"/>
  <c r="BM169" i="1"/>
  <c r="BN169" i="1"/>
  <c r="AV170" i="1"/>
  <c r="AW170" i="1"/>
  <c r="AX170" i="1"/>
  <c r="AY170" i="1"/>
  <c r="AZ170" i="1"/>
  <c r="BA170" i="1"/>
  <c r="BB170" i="1"/>
  <c r="BC170" i="1"/>
  <c r="BD170" i="1"/>
  <c r="BE170" i="1"/>
  <c r="BF170" i="1"/>
  <c r="BG170" i="1"/>
  <c r="BH170" i="1"/>
  <c r="BI170" i="1"/>
  <c r="BJ170" i="1"/>
  <c r="BK170" i="1"/>
  <c r="BL170" i="1"/>
  <c r="BM170" i="1"/>
  <c r="BN170" i="1"/>
  <c r="AV171" i="1"/>
  <c r="AW171" i="1"/>
  <c r="AX171" i="1"/>
  <c r="AY171" i="1"/>
  <c r="AZ171" i="1"/>
  <c r="BA171" i="1"/>
  <c r="BB171" i="1"/>
  <c r="BC171" i="1"/>
  <c r="BD171" i="1"/>
  <c r="BE171" i="1"/>
  <c r="BF171" i="1"/>
  <c r="BG171" i="1"/>
  <c r="BH171" i="1"/>
  <c r="BI171" i="1"/>
  <c r="BJ171" i="1"/>
  <c r="BK171" i="1"/>
  <c r="BL171" i="1"/>
  <c r="BM171" i="1"/>
  <c r="BN171" i="1"/>
  <c r="AV172" i="1"/>
  <c r="AW172" i="1"/>
  <c r="AX172" i="1"/>
  <c r="AY172" i="1"/>
  <c r="AZ172" i="1"/>
  <c r="BA172" i="1"/>
  <c r="BB172" i="1"/>
  <c r="BC172" i="1"/>
  <c r="BD172" i="1"/>
  <c r="BE172" i="1"/>
  <c r="BF172" i="1"/>
  <c r="BG172" i="1"/>
  <c r="BH172" i="1"/>
  <c r="BI172" i="1"/>
  <c r="BJ172" i="1"/>
  <c r="BK172" i="1"/>
  <c r="BL172" i="1"/>
  <c r="BM172" i="1"/>
  <c r="BN172" i="1"/>
  <c r="AV173" i="1"/>
  <c r="AW173" i="1"/>
  <c r="AX173" i="1"/>
  <c r="AY173" i="1"/>
  <c r="AZ173" i="1"/>
  <c r="BA173" i="1"/>
  <c r="BB173" i="1"/>
  <c r="BC173" i="1"/>
  <c r="BD173" i="1"/>
  <c r="BE173" i="1"/>
  <c r="BF173" i="1"/>
  <c r="BG173" i="1"/>
  <c r="BH173" i="1"/>
  <c r="BI173" i="1"/>
  <c r="BJ173" i="1"/>
  <c r="BK173" i="1"/>
  <c r="BL173" i="1"/>
  <c r="BM173" i="1"/>
  <c r="BN173" i="1"/>
  <c r="AV174" i="1"/>
  <c r="AW174" i="1"/>
  <c r="AX174" i="1"/>
  <c r="AY174" i="1"/>
  <c r="AZ174" i="1"/>
  <c r="BA174" i="1"/>
  <c r="BB174" i="1"/>
  <c r="BC174" i="1"/>
  <c r="BD174" i="1"/>
  <c r="BE174" i="1"/>
  <c r="BF174" i="1"/>
  <c r="BG174" i="1"/>
  <c r="BH174" i="1"/>
  <c r="BI174" i="1"/>
  <c r="BJ174" i="1"/>
  <c r="BK174" i="1"/>
  <c r="BL174" i="1"/>
  <c r="BM174" i="1"/>
  <c r="BN174" i="1"/>
  <c r="AV175" i="1"/>
  <c r="AW175" i="1"/>
  <c r="AX175" i="1"/>
  <c r="AY175" i="1"/>
  <c r="AZ175" i="1"/>
  <c r="BA175" i="1"/>
  <c r="BB175" i="1"/>
  <c r="BC175" i="1"/>
  <c r="BD175" i="1"/>
  <c r="BE175" i="1"/>
  <c r="BF175" i="1"/>
  <c r="BG175" i="1"/>
  <c r="BH175" i="1"/>
  <c r="BI175" i="1"/>
  <c r="BJ175" i="1"/>
  <c r="BK175" i="1"/>
  <c r="BL175" i="1"/>
  <c r="BM175" i="1"/>
  <c r="BN175" i="1"/>
  <c r="AV176" i="1"/>
  <c r="AW176" i="1"/>
  <c r="AX176" i="1"/>
  <c r="AY176" i="1"/>
  <c r="AZ176" i="1"/>
  <c r="BA176" i="1"/>
  <c r="BB176" i="1"/>
  <c r="BC176" i="1"/>
  <c r="BD176" i="1"/>
  <c r="BE176" i="1"/>
  <c r="BF176" i="1"/>
  <c r="BG176" i="1"/>
  <c r="BH176" i="1"/>
  <c r="BI176" i="1"/>
  <c r="BJ176" i="1"/>
  <c r="BK176" i="1"/>
  <c r="BL176" i="1"/>
  <c r="BM176" i="1"/>
  <c r="BN176" i="1"/>
  <c r="AV177" i="1"/>
  <c r="AW177" i="1"/>
  <c r="AX177" i="1"/>
  <c r="AY177" i="1"/>
  <c r="AZ177" i="1"/>
  <c r="BA177" i="1"/>
  <c r="BB177" i="1"/>
  <c r="BC177" i="1"/>
  <c r="BD177" i="1"/>
  <c r="BE177" i="1"/>
  <c r="BF177" i="1"/>
  <c r="BG177" i="1"/>
  <c r="BH177" i="1"/>
  <c r="BI177" i="1"/>
  <c r="BJ177" i="1"/>
  <c r="BK177" i="1"/>
  <c r="BL177" i="1"/>
  <c r="BM177" i="1"/>
  <c r="BN177" i="1"/>
  <c r="AV178" i="1"/>
  <c r="AW178" i="1"/>
  <c r="AX178" i="1"/>
  <c r="AY178" i="1"/>
  <c r="AZ178" i="1"/>
  <c r="BA178" i="1"/>
  <c r="BB178" i="1"/>
  <c r="BC178" i="1"/>
  <c r="BD178" i="1"/>
  <c r="BE178" i="1"/>
  <c r="BF178" i="1"/>
  <c r="BG178" i="1"/>
  <c r="BH178" i="1"/>
  <c r="BI178" i="1"/>
  <c r="BJ178" i="1"/>
  <c r="BK178" i="1"/>
  <c r="BL178" i="1"/>
  <c r="BM178" i="1"/>
  <c r="BN178" i="1"/>
  <c r="AV179" i="1"/>
  <c r="AW179" i="1"/>
  <c r="AX179" i="1"/>
  <c r="AY179" i="1"/>
  <c r="AZ179" i="1"/>
  <c r="BA179" i="1"/>
  <c r="BB179" i="1"/>
  <c r="BC179" i="1"/>
  <c r="BD179" i="1"/>
  <c r="BE179" i="1"/>
  <c r="BF179" i="1"/>
  <c r="BG179" i="1"/>
  <c r="BH179" i="1"/>
  <c r="BI179" i="1"/>
  <c r="BJ179" i="1"/>
  <c r="BK179" i="1"/>
  <c r="BL179" i="1"/>
  <c r="BM179" i="1"/>
  <c r="BN179" i="1"/>
  <c r="AV180" i="1"/>
  <c r="AW180" i="1"/>
  <c r="AX180" i="1"/>
  <c r="AY180" i="1"/>
  <c r="AZ180" i="1"/>
  <c r="BA180" i="1"/>
  <c r="BB180" i="1"/>
  <c r="BC180" i="1"/>
  <c r="BD180" i="1"/>
  <c r="BE180" i="1"/>
  <c r="BF180" i="1"/>
  <c r="BG180" i="1"/>
  <c r="BH180" i="1"/>
  <c r="BI180" i="1"/>
  <c r="BJ180" i="1"/>
  <c r="BK180" i="1"/>
  <c r="BL180" i="1"/>
  <c r="BM180" i="1"/>
  <c r="BN180" i="1"/>
  <c r="AV181" i="1"/>
  <c r="AW181" i="1"/>
  <c r="AX181" i="1"/>
  <c r="AY181" i="1"/>
  <c r="AZ181" i="1"/>
  <c r="BA181" i="1"/>
  <c r="BB181" i="1"/>
  <c r="BC181" i="1"/>
  <c r="BD181" i="1"/>
  <c r="BE181" i="1"/>
  <c r="BF181" i="1"/>
  <c r="BG181" i="1"/>
  <c r="BH181" i="1"/>
  <c r="BI181" i="1"/>
  <c r="BJ181" i="1"/>
  <c r="BK181" i="1"/>
  <c r="BL181" i="1"/>
  <c r="BM181" i="1"/>
  <c r="BN181" i="1"/>
  <c r="AV182" i="1"/>
  <c r="AW182" i="1"/>
  <c r="AX182" i="1"/>
  <c r="AY182" i="1"/>
  <c r="AZ182" i="1"/>
  <c r="BA182" i="1"/>
  <c r="BB182" i="1"/>
  <c r="BC182" i="1"/>
  <c r="BD182" i="1"/>
  <c r="BE182" i="1"/>
  <c r="BF182" i="1"/>
  <c r="BG182" i="1"/>
  <c r="BH182" i="1"/>
  <c r="BI182" i="1"/>
  <c r="BJ182" i="1"/>
  <c r="BK182" i="1"/>
  <c r="BL182" i="1"/>
  <c r="BM182" i="1"/>
  <c r="BN182" i="1"/>
  <c r="AV183" i="1"/>
  <c r="AW183" i="1"/>
  <c r="AX183" i="1"/>
  <c r="AY183" i="1"/>
  <c r="AZ183" i="1"/>
  <c r="BA183" i="1"/>
  <c r="BB183" i="1"/>
  <c r="BC183" i="1"/>
  <c r="BD183" i="1"/>
  <c r="BE183" i="1"/>
  <c r="BF183" i="1"/>
  <c r="BG183" i="1"/>
  <c r="BH183" i="1"/>
  <c r="BI183" i="1"/>
  <c r="BJ183" i="1"/>
  <c r="BK183" i="1"/>
  <c r="BL183" i="1"/>
  <c r="BM183" i="1"/>
  <c r="BN183" i="1"/>
  <c r="AV184" i="1"/>
  <c r="AW184" i="1"/>
  <c r="AX184" i="1"/>
  <c r="AY184" i="1"/>
  <c r="AZ184" i="1"/>
  <c r="BA184" i="1"/>
  <c r="BB184" i="1"/>
  <c r="BC184" i="1"/>
  <c r="BD184" i="1"/>
  <c r="BE184" i="1"/>
  <c r="BF184" i="1"/>
  <c r="BG184" i="1"/>
  <c r="BH184" i="1"/>
  <c r="BI184" i="1"/>
  <c r="BJ184" i="1"/>
  <c r="BK184" i="1"/>
  <c r="BL184" i="1"/>
  <c r="BM184" i="1"/>
  <c r="BN184" i="1"/>
  <c r="AV185" i="1"/>
  <c r="AW185" i="1"/>
  <c r="AX185" i="1"/>
  <c r="AY185" i="1"/>
  <c r="AZ185" i="1"/>
  <c r="BA185" i="1"/>
  <c r="BB185" i="1"/>
  <c r="BC185" i="1"/>
  <c r="BD185" i="1"/>
  <c r="BE185" i="1"/>
  <c r="BF185" i="1"/>
  <c r="BG185" i="1"/>
  <c r="BH185" i="1"/>
  <c r="BI185" i="1"/>
  <c r="BJ185" i="1"/>
  <c r="BK185" i="1"/>
  <c r="BL185" i="1"/>
  <c r="BM185" i="1"/>
  <c r="BN185" i="1"/>
  <c r="AV186" i="1"/>
  <c r="AW186" i="1"/>
  <c r="AX186" i="1"/>
  <c r="AY186" i="1"/>
  <c r="AZ186" i="1"/>
  <c r="BA186" i="1"/>
  <c r="BB186" i="1"/>
  <c r="BC186" i="1"/>
  <c r="BD186" i="1"/>
  <c r="BE186" i="1"/>
  <c r="BF186" i="1"/>
  <c r="BG186" i="1"/>
  <c r="BH186" i="1"/>
  <c r="BI186" i="1"/>
  <c r="BJ186" i="1"/>
  <c r="BK186" i="1"/>
  <c r="BL186" i="1"/>
  <c r="BM186" i="1"/>
  <c r="BN186" i="1"/>
  <c r="AV187" i="1"/>
  <c r="AW187" i="1"/>
  <c r="AX187" i="1"/>
  <c r="AY187" i="1"/>
  <c r="AZ187" i="1"/>
  <c r="BA187" i="1"/>
  <c r="BB187" i="1"/>
  <c r="BC187" i="1"/>
  <c r="BD187" i="1"/>
  <c r="BE187" i="1"/>
  <c r="BF187" i="1"/>
  <c r="BG187" i="1"/>
  <c r="BH187" i="1"/>
  <c r="BI187" i="1"/>
  <c r="BJ187" i="1"/>
  <c r="BK187" i="1"/>
  <c r="BL187" i="1"/>
  <c r="BM187" i="1"/>
  <c r="BN187" i="1"/>
  <c r="AV188" i="1"/>
  <c r="AW188" i="1"/>
  <c r="AX188" i="1"/>
  <c r="AY188" i="1"/>
  <c r="AZ188" i="1"/>
  <c r="BA188" i="1"/>
  <c r="BB188" i="1"/>
  <c r="BC188" i="1"/>
  <c r="BD188" i="1"/>
  <c r="BE188" i="1"/>
  <c r="BF188" i="1"/>
  <c r="BG188" i="1"/>
  <c r="BH188" i="1"/>
  <c r="BI188" i="1"/>
  <c r="BJ188" i="1"/>
  <c r="BK188" i="1"/>
  <c r="BL188" i="1"/>
  <c r="BM188" i="1"/>
  <c r="BN188" i="1"/>
  <c r="AV189" i="1"/>
  <c r="AW189" i="1"/>
  <c r="AX189" i="1"/>
  <c r="AY189" i="1"/>
  <c r="AZ189" i="1"/>
  <c r="BA189" i="1"/>
  <c r="BB189" i="1"/>
  <c r="BC189" i="1"/>
  <c r="BD189" i="1"/>
  <c r="BE189" i="1"/>
  <c r="BF189" i="1"/>
  <c r="BG189" i="1"/>
  <c r="BH189" i="1"/>
  <c r="BI189" i="1"/>
  <c r="BJ189" i="1"/>
  <c r="BK189" i="1"/>
  <c r="BL189" i="1"/>
  <c r="BM189" i="1"/>
  <c r="BN189" i="1"/>
  <c r="AV190" i="1"/>
  <c r="AW190" i="1"/>
  <c r="AX190" i="1"/>
  <c r="AY190" i="1"/>
  <c r="AZ190" i="1"/>
  <c r="BA190" i="1"/>
  <c r="BB190" i="1"/>
  <c r="BC190" i="1"/>
  <c r="BD190" i="1"/>
  <c r="BE190" i="1"/>
  <c r="BF190" i="1"/>
  <c r="BG190" i="1"/>
  <c r="BH190" i="1"/>
  <c r="BI190" i="1"/>
  <c r="BJ190" i="1"/>
  <c r="BK190" i="1"/>
  <c r="BL190" i="1"/>
  <c r="BM190" i="1"/>
  <c r="BN190" i="1"/>
  <c r="AV191" i="1"/>
  <c r="AW191" i="1"/>
  <c r="AX191" i="1"/>
  <c r="AY191" i="1"/>
  <c r="AZ191" i="1"/>
  <c r="BA191" i="1"/>
  <c r="BB191" i="1"/>
  <c r="BC191" i="1"/>
  <c r="BD191" i="1"/>
  <c r="BE191" i="1"/>
  <c r="BF191" i="1"/>
  <c r="BG191" i="1"/>
  <c r="BH191" i="1"/>
  <c r="BI191" i="1"/>
  <c r="BJ191" i="1"/>
  <c r="BK191" i="1"/>
  <c r="BL191" i="1"/>
  <c r="BM191" i="1"/>
  <c r="BN191" i="1"/>
  <c r="AV192" i="1"/>
  <c r="AW192" i="1"/>
  <c r="AX192" i="1"/>
  <c r="AY192" i="1"/>
  <c r="AZ192" i="1"/>
  <c r="BA192" i="1"/>
  <c r="BB192" i="1"/>
  <c r="BC192" i="1"/>
  <c r="BD192" i="1"/>
  <c r="BE192" i="1"/>
  <c r="BF192" i="1"/>
  <c r="BG192" i="1"/>
  <c r="BH192" i="1"/>
  <c r="BI192" i="1"/>
  <c r="BJ192" i="1"/>
  <c r="BK192" i="1"/>
  <c r="BL192" i="1"/>
  <c r="BM192" i="1"/>
  <c r="BN192" i="1"/>
  <c r="AV193" i="1"/>
  <c r="AW193" i="1"/>
  <c r="AX193" i="1"/>
  <c r="AY193" i="1"/>
  <c r="AZ193" i="1"/>
  <c r="BA193" i="1"/>
  <c r="BB193" i="1"/>
  <c r="BC193" i="1"/>
  <c r="BD193" i="1"/>
  <c r="BE193" i="1"/>
  <c r="BF193" i="1"/>
  <c r="BG193" i="1"/>
  <c r="BH193" i="1"/>
  <c r="BI193" i="1"/>
  <c r="BJ193" i="1"/>
  <c r="BK193" i="1"/>
  <c r="BL193" i="1"/>
  <c r="BM193" i="1"/>
  <c r="BN193" i="1"/>
  <c r="AV194" i="1"/>
  <c r="AW194" i="1"/>
  <c r="AX194" i="1"/>
  <c r="AY194" i="1"/>
  <c r="AZ194" i="1"/>
  <c r="BA194" i="1"/>
  <c r="BB194" i="1"/>
  <c r="BC194" i="1"/>
  <c r="BD194" i="1"/>
  <c r="BE194" i="1"/>
  <c r="BF194" i="1"/>
  <c r="BG194" i="1"/>
  <c r="BH194" i="1"/>
  <c r="BI194" i="1"/>
  <c r="BJ194" i="1"/>
  <c r="BK194" i="1"/>
  <c r="BL194" i="1"/>
  <c r="BM194" i="1"/>
  <c r="BN194" i="1"/>
  <c r="AV195" i="1"/>
  <c r="AW195" i="1"/>
  <c r="AX195" i="1"/>
  <c r="AY195" i="1"/>
  <c r="AZ195" i="1"/>
  <c r="BA195" i="1"/>
  <c r="BB195" i="1"/>
  <c r="BC195" i="1"/>
  <c r="BD195" i="1"/>
  <c r="BE195" i="1"/>
  <c r="BF195" i="1"/>
  <c r="BG195" i="1"/>
  <c r="BH195" i="1"/>
  <c r="BI195" i="1"/>
  <c r="BJ195" i="1"/>
  <c r="BK195" i="1"/>
  <c r="BL195" i="1"/>
  <c r="BM195" i="1"/>
  <c r="BN195" i="1"/>
  <c r="AV196" i="1"/>
  <c r="AW196" i="1"/>
  <c r="AX196" i="1"/>
  <c r="AY196" i="1"/>
  <c r="AZ196" i="1"/>
  <c r="BA196" i="1"/>
  <c r="BB196" i="1"/>
  <c r="BC196" i="1"/>
  <c r="BD196" i="1"/>
  <c r="BE196" i="1"/>
  <c r="BF196" i="1"/>
  <c r="BG196" i="1"/>
  <c r="BH196" i="1"/>
  <c r="BI196" i="1"/>
  <c r="BJ196" i="1"/>
  <c r="BK196" i="1"/>
  <c r="BL196" i="1"/>
  <c r="BM196" i="1"/>
  <c r="BN196" i="1"/>
  <c r="AV197" i="1"/>
  <c r="AW197" i="1"/>
  <c r="AX197" i="1"/>
  <c r="AY197" i="1"/>
  <c r="AZ197" i="1"/>
  <c r="BA197" i="1"/>
  <c r="BB197" i="1"/>
  <c r="BC197" i="1"/>
  <c r="BD197" i="1"/>
  <c r="BE197" i="1"/>
  <c r="BF197" i="1"/>
  <c r="BG197" i="1"/>
  <c r="BH197" i="1"/>
  <c r="BI197" i="1"/>
  <c r="BJ197" i="1"/>
  <c r="BK197" i="1"/>
  <c r="BL197" i="1"/>
  <c r="BM197" i="1"/>
  <c r="BN197" i="1"/>
  <c r="AV198" i="1"/>
  <c r="AW198" i="1"/>
  <c r="AX198" i="1"/>
  <c r="AY198" i="1"/>
  <c r="AZ198" i="1"/>
  <c r="BA198" i="1"/>
  <c r="BB198" i="1"/>
  <c r="BC198" i="1"/>
  <c r="BD198" i="1"/>
  <c r="BE198" i="1"/>
  <c r="BF198" i="1"/>
  <c r="BG198" i="1"/>
  <c r="BH198" i="1"/>
  <c r="BI198" i="1"/>
  <c r="BJ198" i="1"/>
  <c r="BK198" i="1"/>
  <c r="BL198" i="1"/>
  <c r="BM198" i="1"/>
  <c r="BN198" i="1"/>
  <c r="AV199" i="1"/>
  <c r="AW199" i="1"/>
  <c r="AX199" i="1"/>
  <c r="AY199" i="1"/>
  <c r="AZ199" i="1"/>
  <c r="BA199" i="1"/>
  <c r="BB199" i="1"/>
  <c r="BC199" i="1"/>
  <c r="BD199" i="1"/>
  <c r="BE199" i="1"/>
  <c r="BF199" i="1"/>
  <c r="BG199" i="1"/>
  <c r="BH199" i="1"/>
  <c r="BI199" i="1"/>
  <c r="BJ199" i="1"/>
  <c r="BK199" i="1"/>
  <c r="BL199" i="1"/>
  <c r="BM199" i="1"/>
  <c r="BN199" i="1"/>
  <c r="AV200" i="1"/>
  <c r="AW200" i="1"/>
  <c r="AX200" i="1"/>
  <c r="AY200" i="1"/>
  <c r="AZ200" i="1"/>
  <c r="BA200" i="1"/>
  <c r="BB200" i="1"/>
  <c r="BC200" i="1"/>
  <c r="BD200" i="1"/>
  <c r="BE200" i="1"/>
  <c r="BF200" i="1"/>
  <c r="BG200" i="1"/>
  <c r="BH200" i="1"/>
  <c r="BI200" i="1"/>
  <c r="BJ200" i="1"/>
  <c r="BK200" i="1"/>
  <c r="BL200" i="1"/>
  <c r="BM200" i="1"/>
  <c r="BN200" i="1"/>
  <c r="AV201" i="1"/>
  <c r="AW201" i="1"/>
  <c r="AX201" i="1"/>
  <c r="AY201" i="1"/>
  <c r="AZ201" i="1"/>
  <c r="BA201" i="1"/>
  <c r="BB201" i="1"/>
  <c r="BC201" i="1"/>
  <c r="BD201" i="1"/>
  <c r="BE201" i="1"/>
  <c r="BF201" i="1"/>
  <c r="BG201" i="1"/>
  <c r="BH201" i="1"/>
  <c r="BI201" i="1"/>
  <c r="BJ201" i="1"/>
  <c r="BK201" i="1"/>
  <c r="BL201" i="1"/>
  <c r="BM201" i="1"/>
  <c r="BN201" i="1"/>
  <c r="AV202" i="1"/>
  <c r="AW202" i="1"/>
  <c r="AX202" i="1"/>
  <c r="AY202" i="1"/>
  <c r="AZ202" i="1"/>
  <c r="BA202" i="1"/>
  <c r="BB202" i="1"/>
  <c r="BC202" i="1"/>
  <c r="BD202" i="1"/>
  <c r="BE202" i="1"/>
  <c r="BF202" i="1"/>
  <c r="BG202" i="1"/>
  <c r="BH202" i="1"/>
  <c r="BI202" i="1"/>
  <c r="BJ202" i="1"/>
  <c r="BK202" i="1"/>
  <c r="BL202" i="1"/>
  <c r="BM202" i="1"/>
  <c r="BN202" i="1"/>
  <c r="AV203" i="1"/>
  <c r="AW203" i="1"/>
  <c r="AX203" i="1"/>
  <c r="AY203" i="1"/>
  <c r="AZ203" i="1"/>
  <c r="BA203" i="1"/>
  <c r="BB203" i="1"/>
  <c r="BC203" i="1"/>
  <c r="BD203" i="1"/>
  <c r="BE203" i="1"/>
  <c r="BF203" i="1"/>
  <c r="BG203" i="1"/>
  <c r="BH203" i="1"/>
  <c r="BI203" i="1"/>
  <c r="BJ203" i="1"/>
  <c r="BK203" i="1"/>
  <c r="BL203" i="1"/>
  <c r="BM203" i="1"/>
  <c r="BN203" i="1"/>
  <c r="AV204" i="1"/>
  <c r="AW204" i="1"/>
  <c r="AX204" i="1"/>
  <c r="AY204" i="1"/>
  <c r="AZ204" i="1"/>
  <c r="BA204" i="1"/>
  <c r="BB204" i="1"/>
  <c r="BC204" i="1"/>
  <c r="BD204" i="1"/>
  <c r="BE204" i="1"/>
  <c r="BF204" i="1"/>
  <c r="BG204" i="1"/>
  <c r="BH204" i="1"/>
  <c r="BI204" i="1"/>
  <c r="BJ204" i="1"/>
  <c r="BK204" i="1"/>
  <c r="BL204" i="1"/>
  <c r="BM204" i="1"/>
  <c r="BN204" i="1"/>
  <c r="AV205" i="1"/>
  <c r="AW205" i="1"/>
  <c r="AX205" i="1"/>
  <c r="AY205" i="1"/>
  <c r="AZ205" i="1"/>
  <c r="BA205" i="1"/>
  <c r="BB205" i="1"/>
  <c r="BC205" i="1"/>
  <c r="BD205" i="1"/>
  <c r="BE205" i="1"/>
  <c r="BF205" i="1"/>
  <c r="BG205" i="1"/>
  <c r="BH205" i="1"/>
  <c r="BI205" i="1"/>
  <c r="BJ205" i="1"/>
  <c r="BK205" i="1"/>
  <c r="BL205" i="1"/>
  <c r="BM205" i="1"/>
  <c r="BN205" i="1"/>
  <c r="AV206" i="1"/>
  <c r="AW206" i="1"/>
  <c r="AX206" i="1"/>
  <c r="AY206" i="1"/>
  <c r="AZ206" i="1"/>
  <c r="BA206" i="1"/>
  <c r="BB206" i="1"/>
  <c r="BC206" i="1"/>
  <c r="BD206" i="1"/>
  <c r="BE206" i="1"/>
  <c r="BF206" i="1"/>
  <c r="BG206" i="1"/>
  <c r="BH206" i="1"/>
  <c r="BI206" i="1"/>
  <c r="BJ206" i="1"/>
  <c r="BK206" i="1"/>
  <c r="BL206" i="1"/>
  <c r="BM206" i="1"/>
  <c r="BN206" i="1"/>
  <c r="AV207" i="1"/>
  <c r="AW207" i="1"/>
  <c r="AX207" i="1"/>
  <c r="AY207" i="1"/>
  <c r="AZ207" i="1"/>
  <c r="BA207" i="1"/>
  <c r="BB207" i="1"/>
  <c r="BC207" i="1"/>
  <c r="BD207" i="1"/>
  <c r="BE207" i="1"/>
  <c r="BF207" i="1"/>
  <c r="BG207" i="1"/>
  <c r="BH207" i="1"/>
  <c r="BI207" i="1"/>
  <c r="BJ207" i="1"/>
  <c r="BK207" i="1"/>
  <c r="BL207" i="1"/>
  <c r="BM207" i="1"/>
  <c r="BN207" i="1"/>
  <c r="AV208" i="1"/>
  <c r="AW208" i="1"/>
  <c r="AX208" i="1"/>
  <c r="AY208" i="1"/>
  <c r="AZ208" i="1"/>
  <c r="BA208" i="1"/>
  <c r="BB208" i="1"/>
  <c r="BC208" i="1"/>
  <c r="BD208" i="1"/>
  <c r="BE208" i="1"/>
  <c r="BF208" i="1"/>
  <c r="BG208" i="1"/>
  <c r="BH208" i="1"/>
  <c r="BI208" i="1"/>
  <c r="BJ208" i="1"/>
  <c r="BK208" i="1"/>
  <c r="BL208" i="1"/>
  <c r="BM208" i="1"/>
  <c r="BN208" i="1"/>
  <c r="AV209" i="1"/>
  <c r="AW209" i="1"/>
  <c r="AX209" i="1"/>
  <c r="AY209" i="1"/>
  <c r="AZ209" i="1"/>
  <c r="BA209" i="1"/>
  <c r="BB209" i="1"/>
  <c r="BC209" i="1"/>
  <c r="BD209" i="1"/>
  <c r="BE209" i="1"/>
  <c r="BF209" i="1"/>
  <c r="BG209" i="1"/>
  <c r="BH209" i="1"/>
  <c r="BI209" i="1"/>
  <c r="BJ209" i="1"/>
  <c r="BK209" i="1"/>
  <c r="BL209" i="1"/>
  <c r="BM209" i="1"/>
  <c r="BN209" i="1"/>
  <c r="AV210" i="1"/>
  <c r="AW210" i="1"/>
  <c r="AX210" i="1"/>
  <c r="AY210" i="1"/>
  <c r="AZ210" i="1"/>
  <c r="BA210" i="1"/>
  <c r="BB210" i="1"/>
  <c r="BC210" i="1"/>
  <c r="BD210" i="1"/>
  <c r="BE210" i="1"/>
  <c r="BF210" i="1"/>
  <c r="BG210" i="1"/>
  <c r="BH210" i="1"/>
  <c r="BI210" i="1"/>
  <c r="BJ210" i="1"/>
  <c r="BK210" i="1"/>
  <c r="BL210" i="1"/>
  <c r="BM210" i="1"/>
  <c r="BN210" i="1"/>
  <c r="AV211" i="1"/>
  <c r="AW211" i="1"/>
  <c r="AX211" i="1"/>
  <c r="AY211" i="1"/>
  <c r="AZ211" i="1"/>
  <c r="BA211" i="1"/>
  <c r="BB211" i="1"/>
  <c r="BC211" i="1"/>
  <c r="BD211" i="1"/>
  <c r="BE211" i="1"/>
  <c r="BF211" i="1"/>
  <c r="BG211" i="1"/>
  <c r="BH211" i="1"/>
  <c r="BI211" i="1"/>
  <c r="BJ211" i="1"/>
  <c r="BK211" i="1"/>
  <c r="BL211" i="1"/>
  <c r="BM211" i="1"/>
  <c r="BN211" i="1"/>
  <c r="AV212" i="1"/>
  <c r="AW212" i="1"/>
  <c r="AX212" i="1"/>
  <c r="AY212" i="1"/>
  <c r="AZ212" i="1"/>
  <c r="BA212" i="1"/>
  <c r="BB212" i="1"/>
  <c r="BC212" i="1"/>
  <c r="BD212" i="1"/>
  <c r="BE212" i="1"/>
  <c r="BF212" i="1"/>
  <c r="BG212" i="1"/>
  <c r="BH212" i="1"/>
  <c r="BI212" i="1"/>
  <c r="BJ212" i="1"/>
  <c r="BK212" i="1"/>
  <c r="BL212" i="1"/>
  <c r="BM212" i="1"/>
  <c r="BN212" i="1"/>
  <c r="AV213" i="1"/>
  <c r="AW213" i="1"/>
  <c r="AX213" i="1"/>
  <c r="AY213" i="1"/>
  <c r="AZ213" i="1"/>
  <c r="BA213" i="1"/>
  <c r="BB213" i="1"/>
  <c r="BC213" i="1"/>
  <c r="BD213" i="1"/>
  <c r="BE213" i="1"/>
  <c r="BF213" i="1"/>
  <c r="BG213" i="1"/>
  <c r="BH213" i="1"/>
  <c r="BI213" i="1"/>
  <c r="BJ213" i="1"/>
  <c r="BK213" i="1"/>
  <c r="BL213" i="1"/>
  <c r="BM213" i="1"/>
  <c r="BN213" i="1"/>
  <c r="AV214" i="1"/>
  <c r="AW214" i="1"/>
  <c r="AX214" i="1"/>
  <c r="AY214" i="1"/>
  <c r="AZ214" i="1"/>
  <c r="BA214" i="1"/>
  <c r="BB214" i="1"/>
  <c r="BC214" i="1"/>
  <c r="BD214" i="1"/>
  <c r="BE214" i="1"/>
  <c r="BF214" i="1"/>
  <c r="BG214" i="1"/>
  <c r="BH214" i="1"/>
  <c r="BI214" i="1"/>
  <c r="BJ214" i="1"/>
  <c r="BK214" i="1"/>
  <c r="BL214" i="1"/>
  <c r="BM214" i="1"/>
  <c r="BN214" i="1"/>
  <c r="AV215" i="1"/>
  <c r="AW215" i="1"/>
  <c r="AX215" i="1"/>
  <c r="AY215" i="1"/>
  <c r="AZ215" i="1"/>
  <c r="BA215" i="1"/>
  <c r="BB215" i="1"/>
  <c r="BC215" i="1"/>
  <c r="BD215" i="1"/>
  <c r="BE215" i="1"/>
  <c r="BF215" i="1"/>
  <c r="BG215" i="1"/>
  <c r="BH215" i="1"/>
  <c r="BI215" i="1"/>
  <c r="BJ215" i="1"/>
  <c r="BK215" i="1"/>
  <c r="BL215" i="1"/>
  <c r="BM215" i="1"/>
  <c r="BN215" i="1"/>
  <c r="AV216" i="1"/>
  <c r="AW216" i="1"/>
  <c r="AX216" i="1"/>
  <c r="AY216" i="1"/>
  <c r="AZ216" i="1"/>
  <c r="BA216" i="1"/>
  <c r="BB216" i="1"/>
  <c r="BC216" i="1"/>
  <c r="BD216" i="1"/>
  <c r="BE216" i="1"/>
  <c r="BF216" i="1"/>
  <c r="BG216" i="1"/>
  <c r="BH216" i="1"/>
  <c r="BI216" i="1"/>
  <c r="BJ216" i="1"/>
  <c r="BK216" i="1"/>
  <c r="BL216" i="1"/>
  <c r="BM216" i="1"/>
  <c r="BN216" i="1"/>
  <c r="AV217" i="1"/>
  <c r="AW217" i="1"/>
  <c r="AX217" i="1"/>
  <c r="AY217" i="1"/>
  <c r="AZ217" i="1"/>
  <c r="BA217" i="1"/>
  <c r="BB217" i="1"/>
  <c r="BC217" i="1"/>
  <c r="BD217" i="1"/>
  <c r="BE217" i="1"/>
  <c r="BF217" i="1"/>
  <c r="BG217" i="1"/>
  <c r="BH217" i="1"/>
  <c r="BI217" i="1"/>
  <c r="BJ217" i="1"/>
  <c r="BK217" i="1"/>
  <c r="BL217" i="1"/>
  <c r="BM217" i="1"/>
  <c r="BN217" i="1"/>
  <c r="AV218" i="1"/>
  <c r="AW218" i="1"/>
  <c r="AX218" i="1"/>
  <c r="AY218" i="1"/>
  <c r="AZ218" i="1"/>
  <c r="BA218" i="1"/>
  <c r="BB218" i="1"/>
  <c r="BC218" i="1"/>
  <c r="BD218" i="1"/>
  <c r="BE218" i="1"/>
  <c r="BF218" i="1"/>
  <c r="BG218" i="1"/>
  <c r="BH218" i="1"/>
  <c r="BI218" i="1"/>
  <c r="BJ218" i="1"/>
  <c r="BK218" i="1"/>
  <c r="BL218" i="1"/>
  <c r="BM218" i="1"/>
  <c r="BN218" i="1"/>
  <c r="AV219" i="1"/>
  <c r="AW219" i="1"/>
  <c r="AX219" i="1"/>
  <c r="AY219" i="1"/>
  <c r="AZ219" i="1"/>
  <c r="BA219" i="1"/>
  <c r="BB219" i="1"/>
  <c r="BC219" i="1"/>
  <c r="BD219" i="1"/>
  <c r="BE219" i="1"/>
  <c r="BF219" i="1"/>
  <c r="BG219" i="1"/>
  <c r="BH219" i="1"/>
  <c r="BI219" i="1"/>
  <c r="BJ219" i="1"/>
  <c r="BK219" i="1"/>
  <c r="BL219" i="1"/>
  <c r="BM219" i="1"/>
  <c r="BN219" i="1"/>
  <c r="AV220" i="1"/>
  <c r="AW220" i="1"/>
  <c r="AX220" i="1"/>
  <c r="AY220" i="1"/>
  <c r="AZ220" i="1"/>
  <c r="BA220" i="1"/>
  <c r="BB220" i="1"/>
  <c r="BC220" i="1"/>
  <c r="BD220" i="1"/>
  <c r="BE220" i="1"/>
  <c r="BF220" i="1"/>
  <c r="BG220" i="1"/>
  <c r="BH220" i="1"/>
  <c r="BI220" i="1"/>
  <c r="BJ220" i="1"/>
  <c r="BK220" i="1"/>
  <c r="BL220" i="1"/>
  <c r="BM220" i="1"/>
  <c r="BN220" i="1"/>
  <c r="AV221" i="1"/>
  <c r="AW221" i="1"/>
  <c r="AX221" i="1"/>
  <c r="AY221" i="1"/>
  <c r="AZ221" i="1"/>
  <c r="BA221" i="1"/>
  <c r="BB221" i="1"/>
  <c r="BC221" i="1"/>
  <c r="BD221" i="1"/>
  <c r="BE221" i="1"/>
  <c r="BF221" i="1"/>
  <c r="BG221" i="1"/>
  <c r="BH221" i="1"/>
  <c r="BI221" i="1"/>
  <c r="BJ221" i="1"/>
  <c r="BK221" i="1"/>
  <c r="BL221" i="1"/>
  <c r="BM221" i="1"/>
  <c r="BN221" i="1"/>
  <c r="AV222" i="1"/>
  <c r="AW222" i="1"/>
  <c r="AX222" i="1"/>
  <c r="AY222" i="1"/>
  <c r="AZ222" i="1"/>
  <c r="BA222" i="1"/>
  <c r="BB222" i="1"/>
  <c r="BC222" i="1"/>
  <c r="BD222" i="1"/>
  <c r="BE222" i="1"/>
  <c r="BF222" i="1"/>
  <c r="BG222" i="1"/>
  <c r="BH222" i="1"/>
  <c r="BI222" i="1"/>
  <c r="BJ222" i="1"/>
  <c r="BK222" i="1"/>
  <c r="BL222" i="1"/>
  <c r="BM222" i="1"/>
  <c r="BN222" i="1"/>
  <c r="AV223" i="1"/>
  <c r="AW223" i="1"/>
  <c r="AX223" i="1"/>
  <c r="AY223" i="1"/>
  <c r="AZ223" i="1"/>
  <c r="BA223" i="1"/>
  <c r="BB223" i="1"/>
  <c r="BC223" i="1"/>
  <c r="BD223" i="1"/>
  <c r="BE223" i="1"/>
  <c r="BF223" i="1"/>
  <c r="BG223" i="1"/>
  <c r="BH223" i="1"/>
  <c r="BI223" i="1"/>
  <c r="BJ223" i="1"/>
  <c r="BK223" i="1"/>
  <c r="BL223" i="1"/>
  <c r="BM223" i="1"/>
  <c r="BN223" i="1"/>
  <c r="AV224" i="1"/>
  <c r="AW224" i="1"/>
  <c r="AX224" i="1"/>
  <c r="AY224" i="1"/>
  <c r="AZ224" i="1"/>
  <c r="BA224" i="1"/>
  <c r="BB224" i="1"/>
  <c r="BC224" i="1"/>
  <c r="BD224" i="1"/>
  <c r="BE224" i="1"/>
  <c r="BF224" i="1"/>
  <c r="BG224" i="1"/>
  <c r="BH224" i="1"/>
  <c r="BI224" i="1"/>
  <c r="BJ224" i="1"/>
  <c r="BK224" i="1"/>
  <c r="BL224" i="1"/>
  <c r="BM224" i="1"/>
  <c r="BN224" i="1"/>
  <c r="AV225" i="1"/>
  <c r="AW225" i="1"/>
  <c r="AX225" i="1"/>
  <c r="AY225" i="1"/>
  <c r="AZ225" i="1"/>
  <c r="BA225" i="1"/>
  <c r="BB225" i="1"/>
  <c r="BC225" i="1"/>
  <c r="BD225" i="1"/>
  <c r="BE225" i="1"/>
  <c r="BF225" i="1"/>
  <c r="BG225" i="1"/>
  <c r="BH225" i="1"/>
  <c r="BI225" i="1"/>
  <c r="BJ225" i="1"/>
  <c r="BK225" i="1"/>
  <c r="BL225" i="1"/>
  <c r="BM225" i="1"/>
  <c r="BN225" i="1"/>
  <c r="AV226" i="1"/>
  <c r="AW226" i="1"/>
  <c r="AX226" i="1"/>
  <c r="AY226" i="1"/>
  <c r="AZ226" i="1"/>
  <c r="BA226" i="1"/>
  <c r="BB226" i="1"/>
  <c r="BC226" i="1"/>
  <c r="BD226" i="1"/>
  <c r="BE226" i="1"/>
  <c r="BF226" i="1"/>
  <c r="BG226" i="1"/>
  <c r="BH226" i="1"/>
  <c r="BI226" i="1"/>
  <c r="BJ226" i="1"/>
  <c r="BK226" i="1"/>
  <c r="BL226" i="1"/>
  <c r="BM226" i="1"/>
  <c r="BN226" i="1"/>
  <c r="AV227" i="1"/>
  <c r="AW227" i="1"/>
  <c r="AX227" i="1"/>
  <c r="AY227" i="1"/>
  <c r="AZ227" i="1"/>
  <c r="BA227" i="1"/>
  <c r="BB227" i="1"/>
  <c r="BC227" i="1"/>
  <c r="BD227" i="1"/>
  <c r="BE227" i="1"/>
  <c r="BF227" i="1"/>
  <c r="BG227" i="1"/>
  <c r="BH227" i="1"/>
  <c r="BI227" i="1"/>
  <c r="BJ227" i="1"/>
  <c r="BK227" i="1"/>
  <c r="BL227" i="1"/>
  <c r="BM227" i="1"/>
  <c r="BN227" i="1"/>
  <c r="AV228" i="1"/>
  <c r="AW228" i="1"/>
  <c r="AX228" i="1"/>
  <c r="AY228" i="1"/>
  <c r="AZ228" i="1"/>
  <c r="BA228" i="1"/>
  <c r="BB228" i="1"/>
  <c r="BC228" i="1"/>
  <c r="BD228" i="1"/>
  <c r="BE228" i="1"/>
  <c r="BF228" i="1"/>
  <c r="BG228" i="1"/>
  <c r="BH228" i="1"/>
  <c r="BI228" i="1"/>
  <c r="BJ228" i="1"/>
  <c r="BK228" i="1"/>
  <c r="BL228" i="1"/>
  <c r="BM228" i="1"/>
  <c r="BN228" i="1"/>
  <c r="AV229" i="1"/>
  <c r="AW229" i="1"/>
  <c r="AX229" i="1"/>
  <c r="AY229" i="1"/>
  <c r="AZ229" i="1"/>
  <c r="BA229" i="1"/>
  <c r="BB229" i="1"/>
  <c r="BC229" i="1"/>
  <c r="BD229" i="1"/>
  <c r="BE229" i="1"/>
  <c r="BF229" i="1"/>
  <c r="BG229" i="1"/>
  <c r="BH229" i="1"/>
  <c r="BI229" i="1"/>
  <c r="BJ229" i="1"/>
  <c r="BK229" i="1"/>
  <c r="BL229" i="1"/>
  <c r="BM229" i="1"/>
  <c r="BN229" i="1"/>
  <c r="AV230" i="1"/>
  <c r="AW230" i="1"/>
  <c r="AX230" i="1"/>
  <c r="AY230" i="1"/>
  <c r="AZ230" i="1"/>
  <c r="BA230" i="1"/>
  <c r="BB230" i="1"/>
  <c r="BC230" i="1"/>
  <c r="BD230" i="1"/>
  <c r="BE230" i="1"/>
  <c r="BF230" i="1"/>
  <c r="BG230" i="1"/>
  <c r="BH230" i="1"/>
  <c r="BI230" i="1"/>
  <c r="BJ230" i="1"/>
  <c r="BK230" i="1"/>
  <c r="BL230" i="1"/>
  <c r="BM230" i="1"/>
  <c r="BN230" i="1"/>
  <c r="AV231" i="1"/>
  <c r="AW231" i="1"/>
  <c r="AX231" i="1"/>
  <c r="AY231" i="1"/>
  <c r="AZ231" i="1"/>
  <c r="BA231" i="1"/>
  <c r="BB231" i="1"/>
  <c r="BC231" i="1"/>
  <c r="BD231" i="1"/>
  <c r="BE231" i="1"/>
  <c r="BF231" i="1"/>
  <c r="BG231" i="1"/>
  <c r="BH231" i="1"/>
  <c r="BI231" i="1"/>
  <c r="BJ231" i="1"/>
  <c r="BK231" i="1"/>
  <c r="BL231" i="1"/>
  <c r="BM231" i="1"/>
  <c r="BN231" i="1"/>
  <c r="AV232" i="1"/>
  <c r="AW232" i="1"/>
  <c r="AX232" i="1"/>
  <c r="AY232" i="1"/>
  <c r="AZ232" i="1"/>
  <c r="BA232" i="1"/>
  <c r="BB232" i="1"/>
  <c r="BC232" i="1"/>
  <c r="BD232" i="1"/>
  <c r="BE232" i="1"/>
  <c r="BF232" i="1"/>
  <c r="BG232" i="1"/>
  <c r="BH232" i="1"/>
  <c r="BI232" i="1"/>
  <c r="BJ232" i="1"/>
  <c r="BK232" i="1"/>
  <c r="BL232" i="1"/>
  <c r="BM232" i="1"/>
  <c r="BN232" i="1"/>
  <c r="AV233" i="1"/>
  <c r="AW233" i="1"/>
  <c r="AX233" i="1"/>
  <c r="AY233" i="1"/>
  <c r="AZ233" i="1"/>
  <c r="BA233" i="1"/>
  <c r="BB233" i="1"/>
  <c r="BC233" i="1"/>
  <c r="BD233" i="1"/>
  <c r="BE233" i="1"/>
  <c r="BF233" i="1"/>
  <c r="BG233" i="1"/>
  <c r="BH233" i="1"/>
  <c r="BI233" i="1"/>
  <c r="BJ233" i="1"/>
  <c r="BK233" i="1"/>
  <c r="BL233" i="1"/>
  <c r="BM233" i="1"/>
  <c r="BN233" i="1"/>
  <c r="AV234" i="1"/>
  <c r="AW234" i="1"/>
  <c r="AX234" i="1"/>
  <c r="AY234" i="1"/>
  <c r="AZ234" i="1"/>
  <c r="BA234" i="1"/>
  <c r="BB234" i="1"/>
  <c r="BC234" i="1"/>
  <c r="BD234" i="1"/>
  <c r="BE234" i="1"/>
  <c r="BF234" i="1"/>
  <c r="BG234" i="1"/>
  <c r="BH234" i="1"/>
  <c r="BI234" i="1"/>
  <c r="BJ234" i="1"/>
  <c r="BK234" i="1"/>
  <c r="BL234" i="1"/>
  <c r="BM234" i="1"/>
  <c r="BN234" i="1"/>
  <c r="AV235" i="1"/>
  <c r="AW235" i="1"/>
  <c r="AX235" i="1"/>
  <c r="AY235" i="1"/>
  <c r="AZ235" i="1"/>
  <c r="BA235" i="1"/>
  <c r="BB235" i="1"/>
  <c r="BC235" i="1"/>
  <c r="BD235" i="1"/>
  <c r="BE235" i="1"/>
  <c r="BF235" i="1"/>
  <c r="BG235" i="1"/>
  <c r="BH235" i="1"/>
  <c r="BI235" i="1"/>
  <c r="BJ235" i="1"/>
  <c r="BK235" i="1"/>
  <c r="BL235" i="1"/>
  <c r="BM235" i="1"/>
  <c r="BN235" i="1"/>
  <c r="AV236" i="1"/>
  <c r="AW236" i="1"/>
  <c r="AX236" i="1"/>
  <c r="AY236" i="1"/>
  <c r="AZ236" i="1"/>
  <c r="BA236" i="1"/>
  <c r="BB236" i="1"/>
  <c r="BC236" i="1"/>
  <c r="BD236" i="1"/>
  <c r="BE236" i="1"/>
  <c r="BF236" i="1"/>
  <c r="BG236" i="1"/>
  <c r="BH236" i="1"/>
  <c r="BI236" i="1"/>
  <c r="BJ236" i="1"/>
  <c r="BK236" i="1"/>
  <c r="BL236" i="1"/>
  <c r="BM236" i="1"/>
  <c r="BN236" i="1"/>
  <c r="AV237" i="1"/>
  <c r="AW237" i="1"/>
  <c r="AX237" i="1"/>
  <c r="AY237" i="1"/>
  <c r="AZ237" i="1"/>
  <c r="BA237" i="1"/>
  <c r="BB237" i="1"/>
  <c r="BC237" i="1"/>
  <c r="BD237" i="1"/>
  <c r="BE237" i="1"/>
  <c r="BF237" i="1"/>
  <c r="BG237" i="1"/>
  <c r="BH237" i="1"/>
  <c r="BI237" i="1"/>
  <c r="BJ237" i="1"/>
  <c r="BK237" i="1"/>
  <c r="BL237" i="1"/>
  <c r="BM237" i="1"/>
  <c r="BN237" i="1"/>
  <c r="AV238" i="1"/>
  <c r="AW238" i="1"/>
  <c r="AX238" i="1"/>
  <c r="AY238" i="1"/>
  <c r="AZ238" i="1"/>
  <c r="BA238" i="1"/>
  <c r="BB238" i="1"/>
  <c r="BC238" i="1"/>
  <c r="BD238" i="1"/>
  <c r="BE238" i="1"/>
  <c r="BF238" i="1"/>
  <c r="BG238" i="1"/>
  <c r="BH238" i="1"/>
  <c r="BI238" i="1"/>
  <c r="BJ238" i="1"/>
  <c r="BK238" i="1"/>
  <c r="BL238" i="1"/>
  <c r="BM238" i="1"/>
  <c r="BN238" i="1"/>
  <c r="AV239" i="1"/>
  <c r="AW239" i="1"/>
  <c r="AX239" i="1"/>
  <c r="AY239" i="1"/>
  <c r="AZ239" i="1"/>
  <c r="BA239" i="1"/>
  <c r="BB239" i="1"/>
  <c r="BC239" i="1"/>
  <c r="BD239" i="1"/>
  <c r="BE239" i="1"/>
  <c r="BF239" i="1"/>
  <c r="BG239" i="1"/>
  <c r="BH239" i="1"/>
  <c r="BI239" i="1"/>
  <c r="BJ239" i="1"/>
  <c r="BK239" i="1"/>
  <c r="BL239" i="1"/>
  <c r="BM239" i="1"/>
  <c r="BN239" i="1"/>
  <c r="AV240" i="1"/>
  <c r="AW240" i="1"/>
  <c r="AX240" i="1"/>
  <c r="AY240" i="1"/>
  <c r="AZ240" i="1"/>
  <c r="BA240" i="1"/>
  <c r="BB240" i="1"/>
  <c r="BC240" i="1"/>
  <c r="BD240" i="1"/>
  <c r="BE240" i="1"/>
  <c r="BF240" i="1"/>
  <c r="BG240" i="1"/>
  <c r="BH240" i="1"/>
  <c r="BI240" i="1"/>
  <c r="BJ240" i="1"/>
  <c r="BK240" i="1"/>
  <c r="BL240" i="1"/>
  <c r="BM240" i="1"/>
  <c r="BN240" i="1"/>
  <c r="AV241" i="1"/>
  <c r="AW241" i="1"/>
  <c r="AX241" i="1"/>
  <c r="AY241" i="1"/>
  <c r="AZ241" i="1"/>
  <c r="BA241" i="1"/>
  <c r="BB241" i="1"/>
  <c r="BC241" i="1"/>
  <c r="BD241" i="1"/>
  <c r="BE241" i="1"/>
  <c r="BF241" i="1"/>
  <c r="BG241" i="1"/>
  <c r="BH241" i="1"/>
  <c r="BI241" i="1"/>
  <c r="BJ241" i="1"/>
  <c r="BK241" i="1"/>
  <c r="BL241" i="1"/>
  <c r="BM241" i="1"/>
  <c r="BN241" i="1"/>
  <c r="AV242" i="1"/>
  <c r="AW242" i="1"/>
  <c r="AX242" i="1"/>
  <c r="AY242" i="1"/>
  <c r="AZ242" i="1"/>
  <c r="BA242" i="1"/>
  <c r="BB242" i="1"/>
  <c r="BC242" i="1"/>
  <c r="BD242" i="1"/>
  <c r="BE242" i="1"/>
  <c r="BF242" i="1"/>
  <c r="BG242" i="1"/>
  <c r="BH242" i="1"/>
  <c r="BI242" i="1"/>
  <c r="BJ242" i="1"/>
  <c r="BK242" i="1"/>
  <c r="BL242" i="1"/>
  <c r="BM242" i="1"/>
  <c r="BN242" i="1"/>
  <c r="AV243" i="1"/>
  <c r="AW243" i="1"/>
  <c r="AX243" i="1"/>
  <c r="AY243" i="1"/>
  <c r="AZ243" i="1"/>
  <c r="BA243" i="1"/>
  <c r="BB243" i="1"/>
  <c r="BC243" i="1"/>
  <c r="BD243" i="1"/>
  <c r="BE243" i="1"/>
  <c r="BF243" i="1"/>
  <c r="BG243" i="1"/>
  <c r="BH243" i="1"/>
  <c r="BI243" i="1"/>
  <c r="BJ243" i="1"/>
  <c r="BK243" i="1"/>
  <c r="BL243" i="1"/>
  <c r="BM243" i="1"/>
  <c r="BN243" i="1"/>
  <c r="AV244" i="1"/>
  <c r="AW244" i="1"/>
  <c r="AX244" i="1"/>
  <c r="AY244" i="1"/>
  <c r="AZ244" i="1"/>
  <c r="BA244" i="1"/>
  <c r="BB244" i="1"/>
  <c r="BC244" i="1"/>
  <c r="BD244" i="1"/>
  <c r="BE244" i="1"/>
  <c r="BF244" i="1"/>
  <c r="BG244" i="1"/>
  <c r="BH244" i="1"/>
  <c r="BI244" i="1"/>
  <c r="BJ244" i="1"/>
  <c r="BK244" i="1"/>
  <c r="BL244" i="1"/>
  <c r="BM244" i="1"/>
  <c r="BN244" i="1"/>
  <c r="AV245" i="1"/>
  <c r="AW245" i="1"/>
  <c r="AX245" i="1"/>
  <c r="AY245" i="1"/>
  <c r="AZ245" i="1"/>
  <c r="BA245" i="1"/>
  <c r="BB245" i="1"/>
  <c r="BC245" i="1"/>
  <c r="BD245" i="1"/>
  <c r="BE245" i="1"/>
  <c r="BF245" i="1"/>
  <c r="BG245" i="1"/>
  <c r="BH245" i="1"/>
  <c r="BI245" i="1"/>
  <c r="BJ245" i="1"/>
  <c r="BK245" i="1"/>
  <c r="BL245" i="1"/>
  <c r="BM245" i="1"/>
  <c r="BN245" i="1"/>
  <c r="AV246" i="1"/>
  <c r="AW246" i="1"/>
  <c r="AX246" i="1"/>
  <c r="AY246" i="1"/>
  <c r="AZ246" i="1"/>
  <c r="BA246" i="1"/>
  <c r="BB246" i="1"/>
  <c r="BC246" i="1"/>
  <c r="BD246" i="1"/>
  <c r="BE246" i="1"/>
  <c r="BF246" i="1"/>
  <c r="BG246" i="1"/>
  <c r="BH246" i="1"/>
  <c r="BI246" i="1"/>
  <c r="BJ246" i="1"/>
  <c r="BK246" i="1"/>
  <c r="BL246" i="1"/>
  <c r="BM246" i="1"/>
  <c r="BN246" i="1"/>
  <c r="AV247" i="1"/>
  <c r="AW247" i="1"/>
  <c r="AX247" i="1"/>
  <c r="AY247" i="1"/>
  <c r="AZ247" i="1"/>
  <c r="BA247" i="1"/>
  <c r="BB247" i="1"/>
  <c r="BC247" i="1"/>
  <c r="BD247" i="1"/>
  <c r="BE247" i="1"/>
  <c r="BF247" i="1"/>
  <c r="BG247" i="1"/>
  <c r="BH247" i="1"/>
  <c r="BI247" i="1"/>
  <c r="BJ247" i="1"/>
  <c r="BK247" i="1"/>
  <c r="BL247" i="1"/>
  <c r="BM247" i="1"/>
  <c r="BN247" i="1"/>
  <c r="AV248" i="1"/>
  <c r="AW248" i="1"/>
  <c r="AX248" i="1"/>
  <c r="AY248" i="1"/>
  <c r="AZ248" i="1"/>
  <c r="BA248" i="1"/>
  <c r="BB248" i="1"/>
  <c r="BC248" i="1"/>
  <c r="BD248" i="1"/>
  <c r="BE248" i="1"/>
  <c r="BF248" i="1"/>
  <c r="BG248" i="1"/>
  <c r="BH248" i="1"/>
  <c r="BI248" i="1"/>
  <c r="BJ248" i="1"/>
  <c r="BK248" i="1"/>
  <c r="BL248" i="1"/>
  <c r="BM248" i="1"/>
  <c r="BN248" i="1"/>
  <c r="AV249" i="1"/>
  <c r="AW249" i="1"/>
  <c r="AX249" i="1"/>
  <c r="AY249" i="1"/>
  <c r="AZ249" i="1"/>
  <c r="BA249" i="1"/>
  <c r="BB249" i="1"/>
  <c r="BC249" i="1"/>
  <c r="BD249" i="1"/>
  <c r="BE249" i="1"/>
  <c r="BF249" i="1"/>
  <c r="BG249" i="1"/>
  <c r="BH249" i="1"/>
  <c r="BI249" i="1"/>
  <c r="BJ249" i="1"/>
  <c r="BK249" i="1"/>
  <c r="BL249" i="1"/>
  <c r="BM249" i="1"/>
  <c r="BN249" i="1"/>
  <c r="AV250" i="1"/>
  <c r="AW250" i="1"/>
  <c r="AX250" i="1"/>
  <c r="AY250" i="1"/>
  <c r="AZ250" i="1"/>
  <c r="BA250" i="1"/>
  <c r="BB250" i="1"/>
  <c r="BC250" i="1"/>
  <c r="BD250" i="1"/>
  <c r="BE250" i="1"/>
  <c r="BF250" i="1"/>
  <c r="BG250" i="1"/>
  <c r="BH250" i="1"/>
  <c r="BI250" i="1"/>
  <c r="BJ250" i="1"/>
  <c r="BK250" i="1"/>
  <c r="BL250" i="1"/>
  <c r="BM250" i="1"/>
  <c r="BN250" i="1"/>
  <c r="AV251" i="1"/>
  <c r="AW251" i="1"/>
  <c r="AX251" i="1"/>
  <c r="AY251" i="1"/>
  <c r="AZ251" i="1"/>
  <c r="BA251" i="1"/>
  <c r="BB251" i="1"/>
  <c r="BC251" i="1"/>
  <c r="BD251" i="1"/>
  <c r="BE251" i="1"/>
  <c r="BF251" i="1"/>
  <c r="BG251" i="1"/>
  <c r="BH251" i="1"/>
  <c r="BI251" i="1"/>
  <c r="BJ251" i="1"/>
  <c r="BK251" i="1"/>
  <c r="BL251" i="1"/>
  <c r="BM251" i="1"/>
  <c r="BN251" i="1"/>
  <c r="AV252" i="1"/>
  <c r="AW252" i="1"/>
  <c r="AX252" i="1"/>
  <c r="AY252" i="1"/>
  <c r="AZ252" i="1"/>
  <c r="BA252" i="1"/>
  <c r="BB252" i="1"/>
  <c r="BC252" i="1"/>
  <c r="BD252" i="1"/>
  <c r="BE252" i="1"/>
  <c r="BF252" i="1"/>
  <c r="BG252" i="1"/>
  <c r="BH252" i="1"/>
  <c r="BI252" i="1"/>
  <c r="BJ252" i="1"/>
  <c r="BK252" i="1"/>
  <c r="BL252" i="1"/>
  <c r="BM252" i="1"/>
  <c r="BN252" i="1"/>
  <c r="AV253" i="1"/>
  <c r="AW253" i="1"/>
  <c r="AX253" i="1"/>
  <c r="AY253" i="1"/>
  <c r="AZ253" i="1"/>
  <c r="BA253" i="1"/>
  <c r="BB253" i="1"/>
  <c r="BC253" i="1"/>
  <c r="BD253" i="1"/>
  <c r="BE253" i="1"/>
  <c r="BF253" i="1"/>
  <c r="BG253" i="1"/>
  <c r="BH253" i="1"/>
  <c r="BI253" i="1"/>
  <c r="BJ253" i="1"/>
  <c r="BK253" i="1"/>
  <c r="BL253" i="1"/>
  <c r="BM253" i="1"/>
  <c r="BN253" i="1"/>
  <c r="AV254" i="1"/>
  <c r="AW254" i="1"/>
  <c r="AX254" i="1"/>
  <c r="AY254" i="1"/>
  <c r="AZ254" i="1"/>
  <c r="BA254" i="1"/>
  <c r="BB254" i="1"/>
  <c r="BC254" i="1"/>
  <c r="BD254" i="1"/>
  <c r="BE254" i="1"/>
  <c r="BF254" i="1"/>
  <c r="BG254" i="1"/>
  <c r="BH254" i="1"/>
  <c r="BI254" i="1"/>
  <c r="BJ254" i="1"/>
  <c r="BK254" i="1"/>
  <c r="BL254" i="1"/>
  <c r="BM254" i="1"/>
  <c r="BN254" i="1"/>
  <c r="AV255" i="1"/>
  <c r="AW255" i="1"/>
  <c r="AX255" i="1"/>
  <c r="AY255" i="1"/>
  <c r="AZ255" i="1"/>
  <c r="BA255" i="1"/>
  <c r="BB255" i="1"/>
  <c r="BC255" i="1"/>
  <c r="BD255" i="1"/>
  <c r="BE255" i="1"/>
  <c r="BF255" i="1"/>
  <c r="BG255" i="1"/>
  <c r="BH255" i="1"/>
  <c r="BI255" i="1"/>
  <c r="BJ255" i="1"/>
  <c r="BK255" i="1"/>
  <c r="BL255" i="1"/>
  <c r="BM255" i="1"/>
  <c r="BN255" i="1"/>
  <c r="AV256" i="1"/>
  <c r="AW256" i="1"/>
  <c r="AX256" i="1"/>
  <c r="AY256" i="1"/>
  <c r="AZ256" i="1"/>
  <c r="BA256" i="1"/>
  <c r="BB256" i="1"/>
  <c r="BC256" i="1"/>
  <c r="BD256" i="1"/>
  <c r="BE256" i="1"/>
  <c r="BF256" i="1"/>
  <c r="BG256" i="1"/>
  <c r="BH256" i="1"/>
  <c r="BI256" i="1"/>
  <c r="BJ256" i="1"/>
  <c r="BK256" i="1"/>
  <c r="BL256" i="1"/>
  <c r="BM256" i="1"/>
  <c r="BN256" i="1"/>
  <c r="AV257" i="1"/>
  <c r="AW257" i="1"/>
  <c r="AX257" i="1"/>
  <c r="AY257" i="1"/>
  <c r="AZ257" i="1"/>
  <c r="BA257" i="1"/>
  <c r="BB257" i="1"/>
  <c r="BC257" i="1"/>
  <c r="BD257" i="1"/>
  <c r="BE257" i="1"/>
  <c r="BF257" i="1"/>
  <c r="BG257" i="1"/>
  <c r="BH257" i="1"/>
  <c r="BI257" i="1"/>
  <c r="BJ257" i="1"/>
  <c r="BK257" i="1"/>
  <c r="BL257" i="1"/>
  <c r="BM257" i="1"/>
  <c r="BN257" i="1"/>
  <c r="AV258" i="1"/>
  <c r="AW258" i="1"/>
  <c r="AX258" i="1"/>
  <c r="AY258" i="1"/>
  <c r="AZ258" i="1"/>
  <c r="BA258" i="1"/>
  <c r="BB258" i="1"/>
  <c r="BC258" i="1"/>
  <c r="BD258" i="1"/>
  <c r="BE258" i="1"/>
  <c r="BF258" i="1"/>
  <c r="BG258" i="1"/>
  <c r="BH258" i="1"/>
  <c r="BI258" i="1"/>
  <c r="BJ258" i="1"/>
  <c r="BK258" i="1"/>
  <c r="BL258" i="1"/>
  <c r="BM258" i="1"/>
  <c r="BN258" i="1"/>
  <c r="AV259" i="1"/>
  <c r="AW259" i="1"/>
  <c r="AX259" i="1"/>
  <c r="AY259" i="1"/>
  <c r="AZ259" i="1"/>
  <c r="BA259" i="1"/>
  <c r="BB259" i="1"/>
  <c r="BC259" i="1"/>
  <c r="BD259" i="1"/>
  <c r="BE259" i="1"/>
  <c r="BF259" i="1"/>
  <c r="BG259" i="1"/>
  <c r="BH259" i="1"/>
  <c r="BI259" i="1"/>
  <c r="BJ259" i="1"/>
  <c r="BK259" i="1"/>
  <c r="BL259" i="1"/>
  <c r="BM259" i="1"/>
  <c r="BN259" i="1"/>
  <c r="AV260" i="1"/>
  <c r="AW260" i="1"/>
  <c r="AX260" i="1"/>
  <c r="AY260" i="1"/>
  <c r="AZ260" i="1"/>
  <c r="BA260" i="1"/>
  <c r="BB260" i="1"/>
  <c r="BC260" i="1"/>
  <c r="BD260" i="1"/>
  <c r="BE260" i="1"/>
  <c r="BF260" i="1"/>
  <c r="BG260" i="1"/>
  <c r="BH260" i="1"/>
  <c r="BI260" i="1"/>
  <c r="BJ260" i="1"/>
  <c r="BK260" i="1"/>
  <c r="BL260" i="1"/>
  <c r="BM260" i="1"/>
  <c r="BN260" i="1"/>
  <c r="AV261" i="1"/>
  <c r="AW261" i="1"/>
  <c r="AX261" i="1"/>
  <c r="AY261" i="1"/>
  <c r="AZ261" i="1"/>
  <c r="BA261" i="1"/>
  <c r="BB261" i="1"/>
  <c r="BC261" i="1"/>
  <c r="BD261" i="1"/>
  <c r="BE261" i="1"/>
  <c r="BF261" i="1"/>
  <c r="BG261" i="1"/>
  <c r="BH261" i="1"/>
  <c r="BI261" i="1"/>
  <c r="BJ261" i="1"/>
  <c r="BK261" i="1"/>
  <c r="BL261" i="1"/>
  <c r="BM261" i="1"/>
  <c r="BN261" i="1"/>
  <c r="AV262" i="1"/>
  <c r="AW262" i="1"/>
  <c r="AX262" i="1"/>
  <c r="AY262" i="1"/>
  <c r="AZ262" i="1"/>
  <c r="BA262" i="1"/>
  <c r="BB262" i="1"/>
  <c r="BC262" i="1"/>
  <c r="BD262" i="1"/>
  <c r="BE262" i="1"/>
  <c r="BF262" i="1"/>
  <c r="BG262" i="1"/>
  <c r="BH262" i="1"/>
  <c r="BI262" i="1"/>
  <c r="BJ262" i="1"/>
  <c r="BK262" i="1"/>
  <c r="BL262" i="1"/>
  <c r="BM262" i="1"/>
  <c r="BN262" i="1"/>
  <c r="AV263" i="1"/>
  <c r="AW263" i="1"/>
  <c r="AX263" i="1"/>
  <c r="AY263" i="1"/>
  <c r="AZ263" i="1"/>
  <c r="BA263" i="1"/>
  <c r="BB263" i="1"/>
  <c r="BC263" i="1"/>
  <c r="BD263" i="1"/>
  <c r="BE263" i="1"/>
  <c r="BF263" i="1"/>
  <c r="BG263" i="1"/>
  <c r="BH263" i="1"/>
  <c r="BI263" i="1"/>
  <c r="BJ263" i="1"/>
  <c r="BK263" i="1"/>
  <c r="BL263" i="1"/>
  <c r="BM263" i="1"/>
  <c r="BN263" i="1"/>
  <c r="AV264" i="1"/>
  <c r="AW264" i="1"/>
  <c r="AX264" i="1"/>
  <c r="AY264" i="1"/>
  <c r="AZ264" i="1"/>
  <c r="BA264" i="1"/>
  <c r="BB264" i="1"/>
  <c r="BC264" i="1"/>
  <c r="BD264" i="1"/>
  <c r="BE264" i="1"/>
  <c r="BF264" i="1"/>
  <c r="BG264" i="1"/>
  <c r="BH264" i="1"/>
  <c r="BI264" i="1"/>
  <c r="BJ264" i="1"/>
  <c r="BK264" i="1"/>
  <c r="BL264" i="1"/>
  <c r="BM264" i="1"/>
  <c r="BN264" i="1"/>
  <c r="AV265" i="1"/>
  <c r="AW265" i="1"/>
  <c r="AX265" i="1"/>
  <c r="AY265" i="1"/>
  <c r="AZ265" i="1"/>
  <c r="BA265" i="1"/>
  <c r="BB265" i="1"/>
  <c r="BC265" i="1"/>
  <c r="BD265" i="1"/>
  <c r="BE265" i="1"/>
  <c r="BF265" i="1"/>
  <c r="BG265" i="1"/>
  <c r="BH265" i="1"/>
  <c r="BI265" i="1"/>
  <c r="BJ265" i="1"/>
  <c r="BK265" i="1"/>
  <c r="BL265" i="1"/>
  <c r="BM265" i="1"/>
  <c r="BN265" i="1"/>
  <c r="AV266" i="1"/>
  <c r="AW266" i="1"/>
  <c r="AX266" i="1"/>
  <c r="AY266" i="1"/>
  <c r="AZ266" i="1"/>
  <c r="BA266" i="1"/>
  <c r="BB266" i="1"/>
  <c r="BC266" i="1"/>
  <c r="BD266" i="1"/>
  <c r="BE266" i="1"/>
  <c r="BF266" i="1"/>
  <c r="BG266" i="1"/>
  <c r="BH266" i="1"/>
  <c r="BI266" i="1"/>
  <c r="BJ266" i="1"/>
  <c r="BK266" i="1"/>
  <c r="BL266" i="1"/>
  <c r="BM266" i="1"/>
  <c r="BN266" i="1"/>
  <c r="AV267" i="1"/>
  <c r="AW267" i="1"/>
  <c r="AX267" i="1"/>
  <c r="AY267" i="1"/>
  <c r="AZ267" i="1"/>
  <c r="BA267" i="1"/>
  <c r="BB267" i="1"/>
  <c r="BC267" i="1"/>
  <c r="BD267" i="1"/>
  <c r="BE267" i="1"/>
  <c r="BF267" i="1"/>
  <c r="BG267" i="1"/>
  <c r="BH267" i="1"/>
  <c r="BI267" i="1"/>
  <c r="BJ267" i="1"/>
  <c r="BK267" i="1"/>
  <c r="BL267" i="1"/>
  <c r="BM267" i="1"/>
  <c r="BN267" i="1"/>
  <c r="AV268" i="1"/>
  <c r="AW268" i="1"/>
  <c r="AX268" i="1"/>
  <c r="AY268" i="1"/>
  <c r="AZ268" i="1"/>
  <c r="BA268" i="1"/>
  <c r="BB268" i="1"/>
  <c r="BC268" i="1"/>
  <c r="BD268" i="1"/>
  <c r="BE268" i="1"/>
  <c r="BF268" i="1"/>
  <c r="BG268" i="1"/>
  <c r="BH268" i="1"/>
  <c r="BI268" i="1"/>
  <c r="BJ268" i="1"/>
  <c r="BK268" i="1"/>
  <c r="BL268" i="1"/>
  <c r="BM268" i="1"/>
  <c r="BN268" i="1"/>
  <c r="AV269" i="1"/>
  <c r="AW269" i="1"/>
  <c r="AX269" i="1"/>
  <c r="AY269" i="1"/>
  <c r="AZ269" i="1"/>
  <c r="BA269" i="1"/>
  <c r="BB269" i="1"/>
  <c r="BC269" i="1"/>
  <c r="BD269" i="1"/>
  <c r="BE269" i="1"/>
  <c r="BF269" i="1"/>
  <c r="BG269" i="1"/>
  <c r="BH269" i="1"/>
  <c r="BI269" i="1"/>
  <c r="BJ269" i="1"/>
  <c r="BK269" i="1"/>
  <c r="BL269" i="1"/>
  <c r="BM269" i="1"/>
  <c r="BN269" i="1"/>
  <c r="AV270" i="1"/>
  <c r="AW270" i="1"/>
  <c r="AX270" i="1"/>
  <c r="AY270" i="1"/>
  <c r="AZ270" i="1"/>
  <c r="BA270" i="1"/>
  <c r="BB270" i="1"/>
  <c r="BC270" i="1"/>
  <c r="BD270" i="1"/>
  <c r="BE270" i="1"/>
  <c r="BF270" i="1"/>
  <c r="BG270" i="1"/>
  <c r="BH270" i="1"/>
  <c r="BI270" i="1"/>
  <c r="BJ270" i="1"/>
  <c r="BK270" i="1"/>
  <c r="BL270" i="1"/>
  <c r="BM270" i="1"/>
  <c r="BN270" i="1"/>
  <c r="AV271" i="1"/>
  <c r="AW271" i="1"/>
  <c r="AX271" i="1"/>
  <c r="AY271" i="1"/>
  <c r="AZ271" i="1"/>
  <c r="BA271" i="1"/>
  <c r="BB271" i="1"/>
  <c r="BC271" i="1"/>
  <c r="BD271" i="1"/>
  <c r="BE271" i="1"/>
  <c r="BF271" i="1"/>
  <c r="BG271" i="1"/>
  <c r="BH271" i="1"/>
  <c r="BI271" i="1"/>
  <c r="BJ271" i="1"/>
  <c r="BK271" i="1"/>
  <c r="BL271" i="1"/>
  <c r="BM271" i="1"/>
  <c r="BN271" i="1"/>
  <c r="AV272" i="1"/>
  <c r="AW272" i="1"/>
  <c r="AX272" i="1"/>
  <c r="AY272" i="1"/>
  <c r="AZ272" i="1"/>
  <c r="BA272" i="1"/>
  <c r="BB272" i="1"/>
  <c r="BC272" i="1"/>
  <c r="BD272" i="1"/>
  <c r="BE272" i="1"/>
  <c r="BF272" i="1"/>
  <c r="BG272" i="1"/>
  <c r="BH272" i="1"/>
  <c r="BI272" i="1"/>
  <c r="BJ272" i="1"/>
  <c r="BK272" i="1"/>
  <c r="BL272" i="1"/>
  <c r="BM272" i="1"/>
  <c r="BN272" i="1"/>
  <c r="AV273" i="1"/>
  <c r="AW273" i="1"/>
  <c r="AX273" i="1"/>
  <c r="AY273" i="1"/>
  <c r="AZ273" i="1"/>
  <c r="BA273" i="1"/>
  <c r="BB273" i="1"/>
  <c r="BC273" i="1"/>
  <c r="BD273" i="1"/>
  <c r="BE273" i="1"/>
  <c r="BF273" i="1"/>
  <c r="BG273" i="1"/>
  <c r="BH273" i="1"/>
  <c r="BI273" i="1"/>
  <c r="BJ273" i="1"/>
  <c r="BK273" i="1"/>
  <c r="BL273" i="1"/>
  <c r="BM273" i="1"/>
  <c r="BN273" i="1"/>
  <c r="AV274" i="1"/>
  <c r="AW274" i="1"/>
  <c r="AX274" i="1"/>
  <c r="AY274" i="1"/>
  <c r="AZ274" i="1"/>
  <c r="BA274" i="1"/>
  <c r="BB274" i="1"/>
  <c r="BC274" i="1"/>
  <c r="BD274" i="1"/>
  <c r="BE274" i="1"/>
  <c r="BF274" i="1"/>
  <c r="BG274" i="1"/>
  <c r="BH274" i="1"/>
  <c r="BI274" i="1"/>
  <c r="BJ274" i="1"/>
  <c r="BK274" i="1"/>
  <c r="BL274" i="1"/>
  <c r="BM274" i="1"/>
  <c r="BN274" i="1"/>
  <c r="AV275" i="1"/>
  <c r="AW275" i="1"/>
  <c r="AX275" i="1"/>
  <c r="AY275" i="1"/>
  <c r="AZ275" i="1"/>
  <c r="BA275" i="1"/>
  <c r="BB275" i="1"/>
  <c r="BC275" i="1"/>
  <c r="BD275" i="1"/>
  <c r="BE275" i="1"/>
  <c r="BF275" i="1"/>
  <c r="BG275" i="1"/>
  <c r="BH275" i="1"/>
  <c r="BI275" i="1"/>
  <c r="BJ275" i="1"/>
  <c r="BK275" i="1"/>
  <c r="BL275" i="1"/>
  <c r="BM275" i="1"/>
  <c r="BN275" i="1"/>
  <c r="AV276" i="1"/>
  <c r="AW276" i="1"/>
  <c r="AX276" i="1"/>
  <c r="AY276" i="1"/>
  <c r="AZ276" i="1"/>
  <c r="BA276" i="1"/>
  <c r="BB276" i="1"/>
  <c r="BC276" i="1"/>
  <c r="BD276" i="1"/>
  <c r="BE276" i="1"/>
  <c r="BF276" i="1"/>
  <c r="BG276" i="1"/>
  <c r="BH276" i="1"/>
  <c r="BI276" i="1"/>
  <c r="BJ276" i="1"/>
  <c r="BK276" i="1"/>
  <c r="BL276" i="1"/>
  <c r="BM276" i="1"/>
  <c r="BN276" i="1"/>
  <c r="AV277" i="1"/>
  <c r="AW277" i="1"/>
  <c r="AX277" i="1"/>
  <c r="AY277" i="1"/>
  <c r="AZ277" i="1"/>
  <c r="BA277" i="1"/>
  <c r="BB277" i="1"/>
  <c r="BC277" i="1"/>
  <c r="BD277" i="1"/>
  <c r="BE277" i="1"/>
  <c r="BF277" i="1"/>
  <c r="BG277" i="1"/>
  <c r="BH277" i="1"/>
  <c r="BI277" i="1"/>
  <c r="BJ277" i="1"/>
  <c r="BK277" i="1"/>
  <c r="BL277" i="1"/>
  <c r="BM277" i="1"/>
  <c r="BN277" i="1"/>
  <c r="AV278" i="1"/>
  <c r="AW278" i="1"/>
  <c r="AX278" i="1"/>
  <c r="AY278" i="1"/>
  <c r="AZ278" i="1"/>
  <c r="BA278" i="1"/>
  <c r="BB278" i="1"/>
  <c r="BC278" i="1"/>
  <c r="BD278" i="1"/>
  <c r="BE278" i="1"/>
  <c r="BF278" i="1"/>
  <c r="BG278" i="1"/>
  <c r="BH278" i="1"/>
  <c r="BI278" i="1"/>
  <c r="BJ278" i="1"/>
  <c r="BK278" i="1"/>
  <c r="BL278" i="1"/>
  <c r="BM278" i="1"/>
  <c r="BN278" i="1"/>
  <c r="AV279" i="1"/>
  <c r="AW279" i="1"/>
  <c r="AX279" i="1"/>
  <c r="AY279" i="1"/>
  <c r="AZ279" i="1"/>
  <c r="BA279" i="1"/>
  <c r="BB279" i="1"/>
  <c r="BC279" i="1"/>
  <c r="BD279" i="1"/>
  <c r="BE279" i="1"/>
  <c r="BF279" i="1"/>
  <c r="BG279" i="1"/>
  <c r="BH279" i="1"/>
  <c r="BI279" i="1"/>
  <c r="BJ279" i="1"/>
  <c r="BK279" i="1"/>
  <c r="BL279" i="1"/>
  <c r="BM279" i="1"/>
  <c r="BN279" i="1"/>
  <c r="AV280" i="1"/>
  <c r="AW280" i="1"/>
  <c r="AX280" i="1"/>
  <c r="AY280" i="1"/>
  <c r="AZ280" i="1"/>
  <c r="BA280" i="1"/>
  <c r="BB280" i="1"/>
  <c r="BC280" i="1"/>
  <c r="BD280" i="1"/>
  <c r="BE280" i="1"/>
  <c r="BF280" i="1"/>
  <c r="BG280" i="1"/>
  <c r="BH280" i="1"/>
  <c r="BI280" i="1"/>
  <c r="BJ280" i="1"/>
  <c r="BK280" i="1"/>
  <c r="BL280" i="1"/>
  <c r="BM280" i="1"/>
  <c r="BN280" i="1"/>
  <c r="AV281" i="1"/>
  <c r="AW281" i="1"/>
  <c r="AX281" i="1"/>
  <c r="AY281" i="1"/>
  <c r="AZ281" i="1"/>
  <c r="BA281" i="1"/>
  <c r="BB281" i="1"/>
  <c r="BC281" i="1"/>
  <c r="BD281" i="1"/>
  <c r="BE281" i="1"/>
  <c r="BF281" i="1"/>
  <c r="BG281" i="1"/>
  <c r="BH281" i="1"/>
  <c r="BI281" i="1"/>
  <c r="BJ281" i="1"/>
  <c r="BK281" i="1"/>
  <c r="BL281" i="1"/>
  <c r="BM281" i="1"/>
  <c r="BN281" i="1"/>
  <c r="AV282" i="1"/>
  <c r="AW282" i="1"/>
  <c r="AX282" i="1"/>
  <c r="AY282" i="1"/>
  <c r="AZ282" i="1"/>
  <c r="BA282" i="1"/>
  <c r="BB282" i="1"/>
  <c r="BC282" i="1"/>
  <c r="BD282" i="1"/>
  <c r="BE282" i="1"/>
  <c r="BF282" i="1"/>
  <c r="BG282" i="1"/>
  <c r="BH282" i="1"/>
  <c r="BI282" i="1"/>
  <c r="BJ282" i="1"/>
  <c r="BK282" i="1"/>
  <c r="BL282" i="1"/>
  <c r="BM282" i="1"/>
  <c r="BN282" i="1"/>
  <c r="AV283" i="1"/>
  <c r="AW283" i="1"/>
  <c r="AX283" i="1"/>
  <c r="AY283" i="1"/>
  <c r="AZ283" i="1"/>
  <c r="BA283" i="1"/>
  <c r="BB283" i="1"/>
  <c r="BC283" i="1"/>
  <c r="BD283" i="1"/>
  <c r="BE283" i="1"/>
  <c r="BF283" i="1"/>
  <c r="BG283" i="1"/>
  <c r="BH283" i="1"/>
  <c r="BI283" i="1"/>
  <c r="BJ283" i="1"/>
  <c r="BK283" i="1"/>
  <c r="BL283" i="1"/>
  <c r="BM283" i="1"/>
  <c r="BN283" i="1"/>
  <c r="AV284" i="1"/>
  <c r="AW284" i="1"/>
  <c r="AX284" i="1"/>
  <c r="AY284" i="1"/>
  <c r="AZ284" i="1"/>
  <c r="BA284" i="1"/>
  <c r="BB284" i="1"/>
  <c r="BC284" i="1"/>
  <c r="BD284" i="1"/>
  <c r="BE284" i="1"/>
  <c r="BF284" i="1"/>
  <c r="BG284" i="1"/>
  <c r="BH284" i="1"/>
  <c r="BI284" i="1"/>
  <c r="BJ284" i="1"/>
  <c r="BK284" i="1"/>
  <c r="BL284" i="1"/>
  <c r="BM284" i="1"/>
  <c r="BN284" i="1"/>
  <c r="AV285" i="1"/>
  <c r="AW285" i="1"/>
  <c r="AX285" i="1"/>
  <c r="AY285" i="1"/>
  <c r="AZ285" i="1"/>
  <c r="BA285" i="1"/>
  <c r="BB285" i="1"/>
  <c r="BC285" i="1"/>
  <c r="BD285" i="1"/>
  <c r="BE285" i="1"/>
  <c r="BF285" i="1"/>
  <c r="BG285" i="1"/>
  <c r="BH285" i="1"/>
  <c r="BI285" i="1"/>
  <c r="BJ285" i="1"/>
  <c r="BK285" i="1"/>
  <c r="BL285" i="1"/>
  <c r="BM285" i="1"/>
  <c r="BN285" i="1"/>
  <c r="AV286" i="1"/>
  <c r="AW286" i="1"/>
  <c r="AX286" i="1"/>
  <c r="AY286" i="1"/>
  <c r="AZ286" i="1"/>
  <c r="BA286" i="1"/>
  <c r="BB286" i="1"/>
  <c r="BC286" i="1"/>
  <c r="BD286" i="1"/>
  <c r="BE286" i="1"/>
  <c r="BF286" i="1"/>
  <c r="BG286" i="1"/>
  <c r="BH286" i="1"/>
  <c r="BI286" i="1"/>
  <c r="BJ286" i="1"/>
  <c r="BK286" i="1"/>
  <c r="BL286" i="1"/>
  <c r="BM286" i="1"/>
  <c r="BN286" i="1"/>
  <c r="AV287" i="1"/>
  <c r="AW287" i="1"/>
  <c r="AX287" i="1"/>
  <c r="AY287" i="1"/>
  <c r="AZ287" i="1"/>
  <c r="BA287" i="1"/>
  <c r="BB287" i="1"/>
  <c r="BC287" i="1"/>
  <c r="BD287" i="1"/>
  <c r="BE287" i="1"/>
  <c r="BF287" i="1"/>
  <c r="BG287" i="1"/>
  <c r="BH287" i="1"/>
  <c r="BI287" i="1"/>
  <c r="BJ287" i="1"/>
  <c r="BK287" i="1"/>
  <c r="BL287" i="1"/>
  <c r="BM287" i="1"/>
  <c r="BN287" i="1"/>
  <c r="AV288" i="1"/>
  <c r="AW288" i="1"/>
  <c r="AX288" i="1"/>
  <c r="AY288" i="1"/>
  <c r="AZ288" i="1"/>
  <c r="BA288" i="1"/>
  <c r="BB288" i="1"/>
  <c r="BC288" i="1"/>
  <c r="BD288" i="1"/>
  <c r="BE288" i="1"/>
  <c r="BF288" i="1"/>
  <c r="BG288" i="1"/>
  <c r="BH288" i="1"/>
  <c r="BI288" i="1"/>
  <c r="BJ288" i="1"/>
  <c r="BK288" i="1"/>
  <c r="BL288" i="1"/>
  <c r="BM288" i="1"/>
  <c r="BN288" i="1"/>
  <c r="AV289" i="1"/>
  <c r="AW289" i="1"/>
  <c r="AX289" i="1"/>
  <c r="AY289" i="1"/>
  <c r="AZ289" i="1"/>
  <c r="BA289" i="1"/>
  <c r="BB289" i="1"/>
  <c r="BC289" i="1"/>
  <c r="BD289" i="1"/>
  <c r="BE289" i="1"/>
  <c r="BF289" i="1"/>
  <c r="BG289" i="1"/>
  <c r="BH289" i="1"/>
  <c r="BI289" i="1"/>
  <c r="BJ289" i="1"/>
  <c r="BK289" i="1"/>
  <c r="BL289" i="1"/>
  <c r="BM289" i="1"/>
  <c r="BN289" i="1"/>
  <c r="AV290" i="1"/>
  <c r="AW290" i="1"/>
  <c r="AX290" i="1"/>
  <c r="AY290" i="1"/>
  <c r="AZ290" i="1"/>
  <c r="BA290" i="1"/>
  <c r="BB290" i="1"/>
  <c r="BC290" i="1"/>
  <c r="BD290" i="1"/>
  <c r="BE290" i="1"/>
  <c r="BF290" i="1"/>
  <c r="BG290" i="1"/>
  <c r="BH290" i="1"/>
  <c r="BI290" i="1"/>
  <c r="BJ290" i="1"/>
  <c r="BK290" i="1"/>
  <c r="BL290" i="1"/>
  <c r="BM290" i="1"/>
  <c r="BN290" i="1"/>
  <c r="AV291" i="1"/>
  <c r="AW291" i="1"/>
  <c r="AX291" i="1"/>
  <c r="AY291" i="1"/>
  <c r="AZ291" i="1"/>
  <c r="BA291" i="1"/>
  <c r="BB291" i="1"/>
  <c r="BC291" i="1"/>
  <c r="BD291" i="1"/>
  <c r="BE291" i="1"/>
  <c r="BF291" i="1"/>
  <c r="BG291" i="1"/>
  <c r="BH291" i="1"/>
  <c r="BI291" i="1"/>
  <c r="BJ291" i="1"/>
  <c r="BK291" i="1"/>
  <c r="BL291" i="1"/>
  <c r="BM291" i="1"/>
  <c r="BN291" i="1"/>
  <c r="AV292" i="1"/>
  <c r="AW292" i="1"/>
  <c r="AX292" i="1"/>
  <c r="AY292" i="1"/>
  <c r="AZ292" i="1"/>
  <c r="BA292" i="1"/>
  <c r="BB292" i="1"/>
  <c r="BC292" i="1"/>
  <c r="BD292" i="1"/>
  <c r="BE292" i="1"/>
  <c r="BF292" i="1"/>
  <c r="BG292" i="1"/>
  <c r="BH292" i="1"/>
  <c r="BI292" i="1"/>
  <c r="BJ292" i="1"/>
  <c r="BK292" i="1"/>
  <c r="BL292" i="1"/>
  <c r="BM292" i="1"/>
  <c r="BN292" i="1"/>
  <c r="AV293" i="1"/>
  <c r="AW293" i="1"/>
  <c r="AX293" i="1"/>
  <c r="AY293" i="1"/>
  <c r="AZ293" i="1"/>
  <c r="BA293" i="1"/>
  <c r="BB293" i="1"/>
  <c r="BC293" i="1"/>
  <c r="BD293" i="1"/>
  <c r="BE293" i="1"/>
  <c r="BF293" i="1"/>
  <c r="BG293" i="1"/>
  <c r="BH293" i="1"/>
  <c r="BI293" i="1"/>
  <c r="BJ293" i="1"/>
  <c r="BK293" i="1"/>
  <c r="BL293" i="1"/>
  <c r="BM293" i="1"/>
  <c r="BN293" i="1"/>
  <c r="AV294" i="1"/>
  <c r="AW294" i="1"/>
  <c r="AX294" i="1"/>
  <c r="AY294" i="1"/>
  <c r="AZ294" i="1"/>
  <c r="BA294" i="1"/>
  <c r="BB294" i="1"/>
  <c r="BC294" i="1"/>
  <c r="BD294" i="1"/>
  <c r="BE294" i="1"/>
  <c r="BF294" i="1"/>
  <c r="BG294" i="1"/>
  <c r="BH294" i="1"/>
  <c r="BI294" i="1"/>
  <c r="BJ294" i="1"/>
  <c r="BK294" i="1"/>
  <c r="BL294" i="1"/>
  <c r="BM294" i="1"/>
  <c r="BN294" i="1"/>
  <c r="AV295" i="1"/>
  <c r="AW295" i="1"/>
  <c r="AX295" i="1"/>
  <c r="AY295" i="1"/>
  <c r="AZ295" i="1"/>
  <c r="BA295" i="1"/>
  <c r="BB295" i="1"/>
  <c r="BC295" i="1"/>
  <c r="BD295" i="1"/>
  <c r="BE295" i="1"/>
  <c r="BF295" i="1"/>
  <c r="BG295" i="1"/>
  <c r="BH295" i="1"/>
  <c r="BI295" i="1"/>
  <c r="BJ295" i="1"/>
  <c r="BK295" i="1"/>
  <c r="BL295" i="1"/>
  <c r="BM295" i="1"/>
  <c r="BN295" i="1"/>
  <c r="AV296" i="1"/>
  <c r="AW296" i="1"/>
  <c r="AX296" i="1"/>
  <c r="AY296" i="1"/>
  <c r="AZ296" i="1"/>
  <c r="BA296" i="1"/>
  <c r="BB296" i="1"/>
  <c r="BC296" i="1"/>
  <c r="BD296" i="1"/>
  <c r="BE296" i="1"/>
  <c r="BF296" i="1"/>
  <c r="BG296" i="1"/>
  <c r="BH296" i="1"/>
  <c r="BI296" i="1"/>
  <c r="BJ296" i="1"/>
  <c r="BK296" i="1"/>
  <c r="BL296" i="1"/>
  <c r="BM296" i="1"/>
  <c r="BN296" i="1"/>
  <c r="AV297" i="1"/>
  <c r="AW297" i="1"/>
  <c r="AX297" i="1"/>
  <c r="AY297" i="1"/>
  <c r="AZ297" i="1"/>
  <c r="BA297" i="1"/>
  <c r="BB297" i="1"/>
  <c r="BC297" i="1"/>
  <c r="BD297" i="1"/>
  <c r="BE297" i="1"/>
  <c r="BF297" i="1"/>
  <c r="BG297" i="1"/>
  <c r="BH297" i="1"/>
  <c r="BI297" i="1"/>
  <c r="BJ297" i="1"/>
  <c r="BK297" i="1"/>
  <c r="BL297" i="1"/>
  <c r="BM297" i="1"/>
  <c r="BN297" i="1"/>
  <c r="AV298" i="1"/>
  <c r="AW298" i="1"/>
  <c r="AX298" i="1"/>
  <c r="AY298" i="1"/>
  <c r="AZ298" i="1"/>
  <c r="BA298" i="1"/>
  <c r="BB298" i="1"/>
  <c r="BC298" i="1"/>
  <c r="BD298" i="1"/>
  <c r="BE298" i="1"/>
  <c r="BF298" i="1"/>
  <c r="BG298" i="1"/>
  <c r="BH298" i="1"/>
  <c r="BI298" i="1"/>
  <c r="BJ298" i="1"/>
  <c r="BK298" i="1"/>
  <c r="BL298" i="1"/>
  <c r="BM298" i="1"/>
  <c r="BN298" i="1"/>
  <c r="AV299" i="1"/>
  <c r="AW299" i="1"/>
  <c r="AX299" i="1"/>
  <c r="AY299" i="1"/>
  <c r="AZ299" i="1"/>
  <c r="BA299" i="1"/>
  <c r="BB299" i="1"/>
  <c r="BC299" i="1"/>
  <c r="BD299" i="1"/>
  <c r="BE299" i="1"/>
  <c r="BF299" i="1"/>
  <c r="BG299" i="1"/>
  <c r="BH299" i="1"/>
  <c r="BI299" i="1"/>
  <c r="BJ299" i="1"/>
  <c r="BK299" i="1"/>
  <c r="BL299" i="1"/>
  <c r="BM299" i="1"/>
  <c r="BN299" i="1"/>
  <c r="AV300" i="1"/>
  <c r="AW300" i="1"/>
  <c r="AX300" i="1"/>
  <c r="AY300" i="1"/>
  <c r="AZ300" i="1"/>
  <c r="BA300" i="1"/>
  <c r="BB300" i="1"/>
  <c r="BC300" i="1"/>
  <c r="BD300" i="1"/>
  <c r="BE300" i="1"/>
  <c r="BF300" i="1"/>
  <c r="BG300" i="1"/>
  <c r="BH300" i="1"/>
  <c r="BI300" i="1"/>
  <c r="BJ300" i="1"/>
  <c r="BK300" i="1"/>
  <c r="BL300" i="1"/>
  <c r="BM300" i="1"/>
  <c r="BN300" i="1"/>
  <c r="AV301" i="1"/>
  <c r="AW301" i="1"/>
  <c r="AX301" i="1"/>
  <c r="AY301" i="1"/>
  <c r="AZ301" i="1"/>
  <c r="BA301" i="1"/>
  <c r="BB301" i="1"/>
  <c r="BC301" i="1"/>
  <c r="BD301" i="1"/>
  <c r="BE301" i="1"/>
  <c r="BF301" i="1"/>
  <c r="BG301" i="1"/>
  <c r="BH301" i="1"/>
  <c r="BI301" i="1"/>
  <c r="BJ301" i="1"/>
  <c r="BK301" i="1"/>
  <c r="BL301" i="1"/>
  <c r="BM301" i="1"/>
  <c r="BN301" i="1"/>
  <c r="AV302" i="1"/>
  <c r="AW302" i="1"/>
  <c r="AX302" i="1"/>
  <c r="AY302" i="1"/>
  <c r="AZ302" i="1"/>
  <c r="BA302" i="1"/>
  <c r="BB302" i="1"/>
  <c r="BC302" i="1"/>
  <c r="BD302" i="1"/>
  <c r="BE302" i="1"/>
  <c r="BF302" i="1"/>
  <c r="BG302" i="1"/>
  <c r="BH302" i="1"/>
  <c r="BI302" i="1"/>
  <c r="BJ302" i="1"/>
  <c r="BK302" i="1"/>
  <c r="BL302" i="1"/>
  <c r="BM302" i="1"/>
  <c r="BN302" i="1"/>
  <c r="AV303" i="1"/>
  <c r="AW303" i="1"/>
  <c r="AX303" i="1"/>
  <c r="AY303" i="1"/>
  <c r="AZ303" i="1"/>
  <c r="BA303" i="1"/>
  <c r="BB303" i="1"/>
  <c r="BC303" i="1"/>
  <c r="BD303" i="1"/>
  <c r="BE303" i="1"/>
  <c r="BF303" i="1"/>
  <c r="BG303" i="1"/>
  <c r="BH303" i="1"/>
  <c r="BI303" i="1"/>
  <c r="BJ303" i="1"/>
  <c r="BK303" i="1"/>
  <c r="BL303" i="1"/>
  <c r="BM303" i="1"/>
  <c r="BN303" i="1"/>
  <c r="AV304" i="1"/>
  <c r="AW304" i="1"/>
  <c r="AX304" i="1"/>
  <c r="AY304" i="1"/>
  <c r="AZ304" i="1"/>
  <c r="BA304" i="1"/>
  <c r="BB304" i="1"/>
  <c r="BC304" i="1"/>
  <c r="BD304" i="1"/>
  <c r="BE304" i="1"/>
  <c r="BF304" i="1"/>
  <c r="BG304" i="1"/>
  <c r="BH304" i="1"/>
  <c r="BI304" i="1"/>
  <c r="BJ304" i="1"/>
  <c r="BK304" i="1"/>
  <c r="BL304" i="1"/>
  <c r="BM304" i="1"/>
  <c r="BN304" i="1"/>
  <c r="AV305" i="1"/>
  <c r="AW305" i="1"/>
  <c r="AX305" i="1"/>
  <c r="AY305" i="1"/>
  <c r="AZ305" i="1"/>
  <c r="BA305" i="1"/>
  <c r="BB305" i="1"/>
  <c r="BC305" i="1"/>
  <c r="BD305" i="1"/>
  <c r="BE305" i="1"/>
  <c r="BF305" i="1"/>
  <c r="BG305" i="1"/>
  <c r="BH305" i="1"/>
  <c r="BI305" i="1"/>
  <c r="BJ305" i="1"/>
  <c r="BK305" i="1"/>
  <c r="BL305" i="1"/>
  <c r="BM305" i="1"/>
  <c r="BN305" i="1"/>
  <c r="AV306" i="1"/>
  <c r="AW306" i="1"/>
  <c r="AX306" i="1"/>
  <c r="AY306" i="1"/>
  <c r="AZ306" i="1"/>
  <c r="BA306" i="1"/>
  <c r="BB306" i="1"/>
  <c r="BC306" i="1"/>
  <c r="BD306" i="1"/>
  <c r="BE306" i="1"/>
  <c r="BF306" i="1"/>
  <c r="BG306" i="1"/>
  <c r="BH306" i="1"/>
  <c r="BI306" i="1"/>
  <c r="BJ306" i="1"/>
  <c r="BK306" i="1"/>
  <c r="BL306" i="1"/>
  <c r="BM306" i="1"/>
  <c r="BN306" i="1"/>
  <c r="AV307" i="1"/>
  <c r="AW307" i="1"/>
  <c r="AX307" i="1"/>
  <c r="AY307" i="1"/>
  <c r="AZ307" i="1"/>
  <c r="BA307" i="1"/>
  <c r="BB307" i="1"/>
  <c r="BC307" i="1"/>
  <c r="BD307" i="1"/>
  <c r="BE307" i="1"/>
  <c r="BF307" i="1"/>
  <c r="BG307" i="1"/>
  <c r="BH307" i="1"/>
  <c r="BI307" i="1"/>
  <c r="BJ307" i="1"/>
  <c r="BK307" i="1"/>
  <c r="BL307" i="1"/>
  <c r="BM307" i="1"/>
  <c r="BN307" i="1"/>
  <c r="AV308" i="1"/>
  <c r="AW308" i="1"/>
  <c r="AX308" i="1"/>
  <c r="AY308" i="1"/>
  <c r="AZ308" i="1"/>
  <c r="BA308" i="1"/>
  <c r="BB308" i="1"/>
  <c r="BC308" i="1"/>
  <c r="BD308" i="1"/>
  <c r="BE308" i="1"/>
  <c r="BF308" i="1"/>
  <c r="BG308" i="1"/>
  <c r="BH308" i="1"/>
  <c r="BI308" i="1"/>
  <c r="BJ308" i="1"/>
  <c r="BK308" i="1"/>
  <c r="BL308" i="1"/>
  <c r="BM308" i="1"/>
  <c r="BN308" i="1"/>
  <c r="AV309" i="1"/>
  <c r="AW309" i="1"/>
  <c r="AX309" i="1"/>
  <c r="AY309" i="1"/>
  <c r="AZ309" i="1"/>
  <c r="BA309" i="1"/>
  <c r="BB309" i="1"/>
  <c r="BC309" i="1"/>
  <c r="BD309" i="1"/>
  <c r="BE309" i="1"/>
  <c r="BF309" i="1"/>
  <c r="BG309" i="1"/>
  <c r="BH309" i="1"/>
  <c r="BI309" i="1"/>
  <c r="BJ309" i="1"/>
  <c r="BK309" i="1"/>
  <c r="BL309" i="1"/>
  <c r="BM309" i="1"/>
  <c r="BN309" i="1"/>
  <c r="AV310" i="1"/>
  <c r="AW310" i="1"/>
  <c r="AX310" i="1"/>
  <c r="AY310" i="1"/>
  <c r="AZ310" i="1"/>
  <c r="BA310" i="1"/>
  <c r="BB310" i="1"/>
  <c r="BC310" i="1"/>
  <c r="BD310" i="1"/>
  <c r="BE310" i="1"/>
  <c r="BF310" i="1"/>
  <c r="BG310" i="1"/>
  <c r="BH310" i="1"/>
  <c r="BI310" i="1"/>
  <c r="BJ310" i="1"/>
  <c r="BK310" i="1"/>
  <c r="BL310" i="1"/>
  <c r="BM310" i="1"/>
  <c r="BN310" i="1"/>
  <c r="AV311" i="1"/>
  <c r="AW311" i="1"/>
  <c r="AX311" i="1"/>
  <c r="AY311" i="1"/>
  <c r="AZ311" i="1"/>
  <c r="BA311" i="1"/>
  <c r="BB311" i="1"/>
  <c r="BC311" i="1"/>
  <c r="BD311" i="1"/>
  <c r="BE311" i="1"/>
  <c r="BF311" i="1"/>
  <c r="BG311" i="1"/>
  <c r="BH311" i="1"/>
  <c r="BI311" i="1"/>
  <c r="BJ311" i="1"/>
  <c r="BK311" i="1"/>
  <c r="BL311" i="1"/>
  <c r="BM311" i="1"/>
  <c r="BN311" i="1"/>
  <c r="AV312" i="1"/>
  <c r="AW312" i="1"/>
  <c r="AX312" i="1"/>
  <c r="AY312" i="1"/>
  <c r="AZ312" i="1"/>
  <c r="BA312" i="1"/>
  <c r="BB312" i="1"/>
  <c r="BC312" i="1"/>
  <c r="BD312" i="1"/>
  <c r="BE312" i="1"/>
  <c r="BF312" i="1"/>
  <c r="BG312" i="1"/>
  <c r="BH312" i="1"/>
  <c r="BI312" i="1"/>
  <c r="BJ312" i="1"/>
  <c r="BK312" i="1"/>
  <c r="BL312" i="1"/>
  <c r="BM312" i="1"/>
  <c r="BN312" i="1"/>
  <c r="AV313" i="1"/>
  <c r="AW313" i="1"/>
  <c r="AX313" i="1"/>
  <c r="AY313" i="1"/>
  <c r="AZ313" i="1"/>
  <c r="BA313" i="1"/>
  <c r="BB313" i="1"/>
  <c r="BC313" i="1"/>
  <c r="BD313" i="1"/>
  <c r="BE313" i="1"/>
  <c r="BF313" i="1"/>
  <c r="BG313" i="1"/>
  <c r="BH313" i="1"/>
  <c r="BI313" i="1"/>
  <c r="BJ313" i="1"/>
  <c r="BK313" i="1"/>
  <c r="BL313" i="1"/>
  <c r="BM313" i="1"/>
  <c r="BN313" i="1"/>
  <c r="AV314" i="1"/>
  <c r="AW314" i="1"/>
  <c r="AX314" i="1"/>
  <c r="AY314" i="1"/>
  <c r="AZ314" i="1"/>
  <c r="BA314" i="1"/>
  <c r="BB314" i="1"/>
  <c r="BC314" i="1"/>
  <c r="BD314" i="1"/>
  <c r="BE314" i="1"/>
  <c r="BF314" i="1"/>
  <c r="BG314" i="1"/>
  <c r="BH314" i="1"/>
  <c r="BI314" i="1"/>
  <c r="BJ314" i="1"/>
  <c r="BK314" i="1"/>
  <c r="BL314" i="1"/>
  <c r="BM314" i="1"/>
  <c r="BN314" i="1"/>
  <c r="AV315" i="1"/>
  <c r="AW315" i="1"/>
  <c r="AX315" i="1"/>
  <c r="AY315" i="1"/>
  <c r="AZ315" i="1"/>
  <c r="BA315" i="1"/>
  <c r="BB315" i="1"/>
  <c r="BC315" i="1"/>
  <c r="BD315" i="1"/>
  <c r="BE315" i="1"/>
  <c r="BF315" i="1"/>
  <c r="BG315" i="1"/>
  <c r="BH315" i="1"/>
  <c r="BI315" i="1"/>
  <c r="BJ315" i="1"/>
  <c r="BK315" i="1"/>
  <c r="BL315" i="1"/>
  <c r="BM315" i="1"/>
  <c r="BN315" i="1"/>
  <c r="AV316" i="1"/>
  <c r="AW316" i="1"/>
  <c r="AX316" i="1"/>
  <c r="AY316" i="1"/>
  <c r="AZ316" i="1"/>
  <c r="BA316" i="1"/>
  <c r="BB316" i="1"/>
  <c r="BC316" i="1"/>
  <c r="BD316" i="1"/>
  <c r="BE316" i="1"/>
  <c r="BF316" i="1"/>
  <c r="BG316" i="1"/>
  <c r="BH316" i="1"/>
  <c r="BI316" i="1"/>
  <c r="BJ316" i="1"/>
  <c r="BK316" i="1"/>
  <c r="BL316" i="1"/>
  <c r="BM316" i="1"/>
  <c r="BN316" i="1"/>
  <c r="AV317" i="1"/>
  <c r="AW317" i="1"/>
  <c r="AX317" i="1"/>
  <c r="AY317" i="1"/>
  <c r="AZ317" i="1"/>
  <c r="BA317" i="1"/>
  <c r="BB317" i="1"/>
  <c r="BC317" i="1"/>
  <c r="BD317" i="1"/>
  <c r="BE317" i="1"/>
  <c r="BF317" i="1"/>
  <c r="BG317" i="1"/>
  <c r="BH317" i="1"/>
  <c r="BI317" i="1"/>
  <c r="BJ317" i="1"/>
  <c r="BK317" i="1"/>
  <c r="BL317" i="1"/>
  <c r="BM317" i="1"/>
  <c r="BN317" i="1"/>
  <c r="AV318" i="1"/>
  <c r="AW318" i="1"/>
  <c r="AX318" i="1"/>
  <c r="AY318" i="1"/>
  <c r="AZ318" i="1"/>
  <c r="BA318" i="1"/>
  <c r="BB318" i="1"/>
  <c r="BC318" i="1"/>
  <c r="BD318" i="1"/>
  <c r="BE318" i="1"/>
  <c r="BF318" i="1"/>
  <c r="BG318" i="1"/>
  <c r="BH318" i="1"/>
  <c r="BI318" i="1"/>
  <c r="BJ318" i="1"/>
  <c r="BK318" i="1"/>
  <c r="BL318" i="1"/>
  <c r="BM318" i="1"/>
  <c r="BN318" i="1"/>
  <c r="AV319" i="1"/>
  <c r="AW319" i="1"/>
  <c r="AX319" i="1"/>
  <c r="AY319" i="1"/>
  <c r="AZ319" i="1"/>
  <c r="BA319" i="1"/>
  <c r="BB319" i="1"/>
  <c r="BC319" i="1"/>
  <c r="BD319" i="1"/>
  <c r="BE319" i="1"/>
  <c r="BF319" i="1"/>
  <c r="BG319" i="1"/>
  <c r="BH319" i="1"/>
  <c r="BI319" i="1"/>
  <c r="BJ319" i="1"/>
  <c r="BK319" i="1"/>
  <c r="BL319" i="1"/>
  <c r="BM319" i="1"/>
  <c r="BN319" i="1"/>
  <c r="AV320" i="1"/>
  <c r="AW320" i="1"/>
  <c r="AX320" i="1"/>
  <c r="AY320" i="1"/>
  <c r="AZ320" i="1"/>
  <c r="BA320" i="1"/>
  <c r="BB320" i="1"/>
  <c r="BC320" i="1"/>
  <c r="BD320" i="1"/>
  <c r="BE320" i="1"/>
  <c r="BF320" i="1"/>
  <c r="BG320" i="1"/>
  <c r="BH320" i="1"/>
  <c r="BI320" i="1"/>
  <c r="BJ320" i="1"/>
  <c r="BK320" i="1"/>
  <c r="BL320" i="1"/>
  <c r="BM320" i="1"/>
  <c r="BN320" i="1"/>
  <c r="AV321" i="1"/>
  <c r="AW321" i="1"/>
  <c r="AX321" i="1"/>
  <c r="AY321" i="1"/>
  <c r="AZ321" i="1"/>
  <c r="BA321" i="1"/>
  <c r="BB321" i="1"/>
  <c r="BC321" i="1"/>
  <c r="BD321" i="1"/>
  <c r="BE321" i="1"/>
  <c r="BF321" i="1"/>
  <c r="BG321" i="1"/>
  <c r="BH321" i="1"/>
  <c r="BI321" i="1"/>
  <c r="BJ321" i="1"/>
  <c r="BK321" i="1"/>
  <c r="BL321" i="1"/>
  <c r="BM321" i="1"/>
  <c r="BN321" i="1"/>
  <c r="AV322" i="1"/>
  <c r="AW322" i="1"/>
  <c r="AX322" i="1"/>
  <c r="AY322" i="1"/>
  <c r="AZ322" i="1"/>
  <c r="BA322" i="1"/>
  <c r="BB322" i="1"/>
  <c r="BC322" i="1"/>
  <c r="BD322" i="1"/>
  <c r="BE322" i="1"/>
  <c r="BF322" i="1"/>
  <c r="BG322" i="1"/>
  <c r="BH322" i="1"/>
  <c r="BI322" i="1"/>
  <c r="BJ322" i="1"/>
  <c r="BK322" i="1"/>
  <c r="BL322" i="1"/>
  <c r="BM322" i="1"/>
  <c r="BN322" i="1"/>
  <c r="AV323" i="1"/>
  <c r="AW323" i="1"/>
  <c r="AX323" i="1"/>
  <c r="AY323" i="1"/>
  <c r="AZ323" i="1"/>
  <c r="BA323" i="1"/>
  <c r="BB323" i="1"/>
  <c r="BC323" i="1"/>
  <c r="BD323" i="1"/>
  <c r="BE323" i="1"/>
  <c r="BF323" i="1"/>
  <c r="BG323" i="1"/>
  <c r="BH323" i="1"/>
  <c r="BI323" i="1"/>
  <c r="BJ323" i="1"/>
  <c r="BK323" i="1"/>
  <c r="BL323" i="1"/>
  <c r="BM323" i="1"/>
  <c r="BN323" i="1"/>
  <c r="AV324" i="1"/>
  <c r="AW324" i="1"/>
  <c r="AX324" i="1"/>
  <c r="AY324" i="1"/>
  <c r="AZ324" i="1"/>
  <c r="BA324" i="1"/>
  <c r="BB324" i="1"/>
  <c r="BC324" i="1"/>
  <c r="BD324" i="1"/>
  <c r="BE324" i="1"/>
  <c r="BF324" i="1"/>
  <c r="BG324" i="1"/>
  <c r="BH324" i="1"/>
  <c r="BI324" i="1"/>
  <c r="BJ324" i="1"/>
  <c r="BK324" i="1"/>
  <c r="BL324" i="1"/>
  <c r="BM324" i="1"/>
  <c r="BN324" i="1"/>
  <c r="AV325" i="1"/>
  <c r="AW325" i="1"/>
  <c r="AX325" i="1"/>
  <c r="AY325" i="1"/>
  <c r="AZ325" i="1"/>
  <c r="BA325" i="1"/>
  <c r="BB325" i="1"/>
  <c r="BC325" i="1"/>
  <c r="BD325" i="1"/>
  <c r="BE325" i="1"/>
  <c r="BF325" i="1"/>
  <c r="BG325" i="1"/>
  <c r="BH325" i="1"/>
  <c r="BI325" i="1"/>
  <c r="BJ325" i="1"/>
  <c r="BK325" i="1"/>
  <c r="BL325" i="1"/>
  <c r="BM325" i="1"/>
  <c r="BN325" i="1"/>
  <c r="AV326" i="1"/>
  <c r="AW326" i="1"/>
  <c r="AX326" i="1"/>
  <c r="AY326" i="1"/>
  <c r="AZ326" i="1"/>
  <c r="BA326" i="1"/>
  <c r="BB326" i="1"/>
  <c r="BC326" i="1"/>
  <c r="BD326" i="1"/>
  <c r="BE326" i="1"/>
  <c r="BF326" i="1"/>
  <c r="BG326" i="1"/>
  <c r="BH326" i="1"/>
  <c r="BI326" i="1"/>
  <c r="BJ326" i="1"/>
  <c r="BK326" i="1"/>
  <c r="BL326" i="1"/>
  <c r="BM326" i="1"/>
  <c r="BN326" i="1"/>
  <c r="AV327" i="1"/>
  <c r="AW327" i="1"/>
  <c r="AX327" i="1"/>
  <c r="AY327" i="1"/>
  <c r="AZ327" i="1"/>
  <c r="BA327" i="1"/>
  <c r="BB327" i="1"/>
  <c r="BC327" i="1"/>
  <c r="BD327" i="1"/>
  <c r="BE327" i="1"/>
  <c r="BF327" i="1"/>
  <c r="BG327" i="1"/>
  <c r="BH327" i="1"/>
  <c r="BI327" i="1"/>
  <c r="BJ327" i="1"/>
  <c r="BK327" i="1"/>
  <c r="BL327" i="1"/>
  <c r="BM327" i="1"/>
  <c r="BN327" i="1"/>
  <c r="AV328" i="1"/>
  <c r="AW328" i="1"/>
  <c r="AX328" i="1"/>
  <c r="AY328" i="1"/>
  <c r="AZ328" i="1"/>
  <c r="BA328" i="1"/>
  <c r="BB328" i="1"/>
  <c r="BC328" i="1"/>
  <c r="BD328" i="1"/>
  <c r="BE328" i="1"/>
  <c r="BF328" i="1"/>
  <c r="BG328" i="1"/>
  <c r="BH328" i="1"/>
  <c r="BI328" i="1"/>
  <c r="BJ328" i="1"/>
  <c r="BK328" i="1"/>
  <c r="BL328" i="1"/>
  <c r="BM328" i="1"/>
  <c r="BN328" i="1"/>
  <c r="AV329" i="1"/>
  <c r="AW329" i="1"/>
  <c r="AX329" i="1"/>
  <c r="AY329" i="1"/>
  <c r="AZ329" i="1"/>
  <c r="BA329" i="1"/>
  <c r="BB329" i="1"/>
  <c r="BC329" i="1"/>
  <c r="BD329" i="1"/>
  <c r="BE329" i="1"/>
  <c r="BF329" i="1"/>
  <c r="BG329" i="1"/>
  <c r="BH329" i="1"/>
  <c r="BI329" i="1"/>
  <c r="BJ329" i="1"/>
  <c r="BK329" i="1"/>
  <c r="BL329" i="1"/>
  <c r="BM329" i="1"/>
  <c r="BN329" i="1"/>
  <c r="AV330" i="1"/>
  <c r="AW330" i="1"/>
  <c r="AX330" i="1"/>
  <c r="AY330" i="1"/>
  <c r="AZ330" i="1"/>
  <c r="BA330" i="1"/>
  <c r="BB330" i="1"/>
  <c r="BC330" i="1"/>
  <c r="BD330" i="1"/>
  <c r="BE330" i="1"/>
  <c r="BF330" i="1"/>
  <c r="BG330" i="1"/>
  <c r="BH330" i="1"/>
  <c r="BI330" i="1"/>
  <c r="BJ330" i="1"/>
  <c r="BK330" i="1"/>
  <c r="BL330" i="1"/>
  <c r="BM330" i="1"/>
  <c r="BN330" i="1"/>
  <c r="AV331" i="1"/>
  <c r="AW331" i="1"/>
  <c r="AX331" i="1"/>
  <c r="AY331" i="1"/>
  <c r="AZ331" i="1"/>
  <c r="BA331" i="1"/>
  <c r="BB331" i="1"/>
  <c r="BC331" i="1"/>
  <c r="BD331" i="1"/>
  <c r="BE331" i="1"/>
  <c r="BF331" i="1"/>
  <c r="BG331" i="1"/>
  <c r="BH331" i="1"/>
  <c r="BI331" i="1"/>
  <c r="BJ331" i="1"/>
  <c r="BK331" i="1"/>
  <c r="BL331" i="1"/>
  <c r="BM331" i="1"/>
  <c r="BN331" i="1"/>
  <c r="AV332" i="1"/>
  <c r="AW332" i="1"/>
  <c r="AX332" i="1"/>
  <c r="AY332" i="1"/>
  <c r="AZ332" i="1"/>
  <c r="BA332" i="1"/>
  <c r="BB332" i="1"/>
  <c r="BC332" i="1"/>
  <c r="BD332" i="1"/>
  <c r="BE332" i="1"/>
  <c r="BF332" i="1"/>
  <c r="BG332" i="1"/>
  <c r="BH332" i="1"/>
  <c r="BI332" i="1"/>
  <c r="BJ332" i="1"/>
  <c r="BK332" i="1"/>
  <c r="BL332" i="1"/>
  <c r="BM332" i="1"/>
  <c r="BN332" i="1"/>
  <c r="AV333" i="1"/>
  <c r="AW333" i="1"/>
  <c r="AX333" i="1"/>
  <c r="AY333" i="1"/>
  <c r="AZ333" i="1"/>
  <c r="BA333" i="1"/>
  <c r="BB333" i="1"/>
  <c r="BC333" i="1"/>
  <c r="BD333" i="1"/>
  <c r="BE333" i="1"/>
  <c r="BF333" i="1"/>
  <c r="BG333" i="1"/>
  <c r="BH333" i="1"/>
  <c r="BI333" i="1"/>
  <c r="BJ333" i="1"/>
  <c r="BK333" i="1"/>
  <c r="BL333" i="1"/>
  <c r="BM333" i="1"/>
  <c r="BN333" i="1"/>
  <c r="AV334" i="1"/>
  <c r="AW334" i="1"/>
  <c r="AX334" i="1"/>
  <c r="AY334" i="1"/>
  <c r="AZ334" i="1"/>
  <c r="BA334" i="1"/>
  <c r="BB334" i="1"/>
  <c r="BC334" i="1"/>
  <c r="BD334" i="1"/>
  <c r="BE334" i="1"/>
  <c r="BF334" i="1"/>
  <c r="BG334" i="1"/>
  <c r="BH334" i="1"/>
  <c r="BI334" i="1"/>
  <c r="BJ334" i="1"/>
  <c r="BK334" i="1"/>
  <c r="BL334" i="1"/>
  <c r="BM334" i="1"/>
  <c r="BN334" i="1"/>
  <c r="AV335" i="1"/>
  <c r="AW335" i="1"/>
  <c r="AX335" i="1"/>
  <c r="AY335" i="1"/>
  <c r="AZ335" i="1"/>
  <c r="BA335" i="1"/>
  <c r="BB335" i="1"/>
  <c r="BC335" i="1"/>
  <c r="BD335" i="1"/>
  <c r="BE335" i="1"/>
  <c r="BF335" i="1"/>
  <c r="BG335" i="1"/>
  <c r="BH335" i="1"/>
  <c r="BI335" i="1"/>
  <c r="BJ335" i="1"/>
  <c r="BK335" i="1"/>
  <c r="BL335" i="1"/>
  <c r="BM335" i="1"/>
  <c r="BN335" i="1"/>
  <c r="AV336" i="1"/>
  <c r="AW336" i="1"/>
  <c r="AX336" i="1"/>
  <c r="AY336" i="1"/>
  <c r="AZ336" i="1"/>
  <c r="BA336" i="1"/>
  <c r="BB336" i="1"/>
  <c r="BC336" i="1"/>
  <c r="BD336" i="1"/>
  <c r="BE336" i="1"/>
  <c r="BF336" i="1"/>
  <c r="BG336" i="1"/>
  <c r="BH336" i="1"/>
  <c r="BI336" i="1"/>
  <c r="BJ336" i="1"/>
  <c r="BK336" i="1"/>
  <c r="BL336" i="1"/>
  <c r="BM336" i="1"/>
  <c r="BN336" i="1"/>
  <c r="AV337" i="1"/>
  <c r="AW337" i="1"/>
  <c r="AX337" i="1"/>
  <c r="AY337" i="1"/>
  <c r="AZ337" i="1"/>
  <c r="BA337" i="1"/>
  <c r="BB337" i="1"/>
  <c r="BC337" i="1"/>
  <c r="BD337" i="1"/>
  <c r="BE337" i="1"/>
  <c r="BF337" i="1"/>
  <c r="BG337" i="1"/>
  <c r="BH337" i="1"/>
  <c r="BI337" i="1"/>
  <c r="BJ337" i="1"/>
  <c r="BK337" i="1"/>
  <c r="BL337" i="1"/>
  <c r="BM337" i="1"/>
  <c r="BN337" i="1"/>
  <c r="AV338" i="1"/>
  <c r="AW338" i="1"/>
  <c r="AX338" i="1"/>
  <c r="AY338" i="1"/>
  <c r="AZ338" i="1"/>
  <c r="BA338" i="1"/>
  <c r="BB338" i="1"/>
  <c r="BC338" i="1"/>
  <c r="BD338" i="1"/>
  <c r="BE338" i="1"/>
  <c r="BF338" i="1"/>
  <c r="BG338" i="1"/>
  <c r="BH338" i="1"/>
  <c r="BI338" i="1"/>
  <c r="BJ338" i="1"/>
  <c r="BK338" i="1"/>
  <c r="BL338" i="1"/>
  <c r="BM338" i="1"/>
  <c r="BN338" i="1"/>
  <c r="AV339" i="1"/>
  <c r="AW339" i="1"/>
  <c r="AX339" i="1"/>
  <c r="AY339" i="1"/>
  <c r="AZ339" i="1"/>
  <c r="BA339" i="1"/>
  <c r="BB339" i="1"/>
  <c r="BC339" i="1"/>
  <c r="BD339" i="1"/>
  <c r="BE339" i="1"/>
  <c r="BF339" i="1"/>
  <c r="BG339" i="1"/>
  <c r="BH339" i="1"/>
  <c r="BI339" i="1"/>
  <c r="BJ339" i="1"/>
  <c r="BK339" i="1"/>
  <c r="BL339" i="1"/>
  <c r="BM339" i="1"/>
  <c r="BN339" i="1"/>
  <c r="AV340" i="1"/>
  <c r="AW340" i="1"/>
  <c r="AX340" i="1"/>
  <c r="AY340" i="1"/>
  <c r="AZ340" i="1"/>
  <c r="BA340" i="1"/>
  <c r="BB340" i="1"/>
  <c r="BC340" i="1"/>
  <c r="BD340" i="1"/>
  <c r="BE340" i="1"/>
  <c r="BF340" i="1"/>
  <c r="BG340" i="1"/>
  <c r="BH340" i="1"/>
  <c r="BI340" i="1"/>
  <c r="BJ340" i="1"/>
  <c r="BK340" i="1"/>
  <c r="BL340" i="1"/>
  <c r="BM340" i="1"/>
  <c r="BN340" i="1"/>
  <c r="AV341" i="1"/>
  <c r="AW341" i="1"/>
  <c r="AX341" i="1"/>
  <c r="AY341" i="1"/>
  <c r="AZ341" i="1"/>
  <c r="BA341" i="1"/>
  <c r="BB341" i="1"/>
  <c r="BC341" i="1"/>
  <c r="BD341" i="1"/>
  <c r="BE341" i="1"/>
  <c r="BF341" i="1"/>
  <c r="BG341" i="1"/>
  <c r="BH341" i="1"/>
  <c r="BI341" i="1"/>
  <c r="BJ341" i="1"/>
  <c r="BK341" i="1"/>
  <c r="BL341" i="1"/>
  <c r="BM341" i="1"/>
  <c r="BN341" i="1"/>
  <c r="AV342" i="1"/>
  <c r="AW342" i="1"/>
  <c r="AX342" i="1"/>
  <c r="AY342" i="1"/>
  <c r="AZ342" i="1"/>
  <c r="BA342" i="1"/>
  <c r="BB342" i="1"/>
  <c r="BC342" i="1"/>
  <c r="BD342" i="1"/>
  <c r="BE342" i="1"/>
  <c r="BF342" i="1"/>
  <c r="BG342" i="1"/>
  <c r="BH342" i="1"/>
  <c r="BI342" i="1"/>
  <c r="BJ342" i="1"/>
  <c r="BK342" i="1"/>
  <c r="BL342" i="1"/>
  <c r="BM342" i="1"/>
  <c r="BN342" i="1"/>
  <c r="AV343" i="1"/>
  <c r="AW343" i="1"/>
  <c r="AX343" i="1"/>
  <c r="AY343" i="1"/>
  <c r="AZ343" i="1"/>
  <c r="BA343" i="1"/>
  <c r="BB343" i="1"/>
  <c r="BC343" i="1"/>
  <c r="BD343" i="1"/>
  <c r="BE343" i="1"/>
  <c r="BF343" i="1"/>
  <c r="BG343" i="1"/>
  <c r="BH343" i="1"/>
  <c r="BI343" i="1"/>
  <c r="BJ343" i="1"/>
  <c r="BK343" i="1"/>
  <c r="BL343" i="1"/>
  <c r="BM343" i="1"/>
  <c r="BN343" i="1"/>
  <c r="AV344" i="1"/>
  <c r="AW344" i="1"/>
  <c r="AX344" i="1"/>
  <c r="AY344" i="1"/>
  <c r="AZ344" i="1"/>
  <c r="BA344" i="1"/>
  <c r="BB344" i="1"/>
  <c r="BC344" i="1"/>
  <c r="BD344" i="1"/>
  <c r="BE344" i="1"/>
  <c r="BF344" i="1"/>
  <c r="BG344" i="1"/>
  <c r="BH344" i="1"/>
  <c r="BI344" i="1"/>
  <c r="BJ344" i="1"/>
  <c r="BK344" i="1"/>
  <c r="BL344" i="1"/>
  <c r="BM344" i="1"/>
  <c r="BN344" i="1"/>
  <c r="AV345" i="1"/>
  <c r="AW345" i="1"/>
  <c r="AX345" i="1"/>
  <c r="AY345" i="1"/>
  <c r="AZ345" i="1"/>
  <c r="BA345" i="1"/>
  <c r="BB345" i="1"/>
  <c r="BC345" i="1"/>
  <c r="BD345" i="1"/>
  <c r="BE345" i="1"/>
  <c r="BF345" i="1"/>
  <c r="BG345" i="1"/>
  <c r="BH345" i="1"/>
  <c r="BI345" i="1"/>
  <c r="BJ345" i="1"/>
  <c r="BK345" i="1"/>
  <c r="BL345" i="1"/>
  <c r="BM345" i="1"/>
  <c r="BN345" i="1"/>
  <c r="AV346" i="1"/>
  <c r="AW346" i="1"/>
  <c r="AX346" i="1"/>
  <c r="AY346" i="1"/>
  <c r="AZ346" i="1"/>
  <c r="BA346" i="1"/>
  <c r="BB346" i="1"/>
  <c r="BC346" i="1"/>
  <c r="BD346" i="1"/>
  <c r="BE346" i="1"/>
  <c r="BF346" i="1"/>
  <c r="BG346" i="1"/>
  <c r="BH346" i="1"/>
  <c r="BI346" i="1"/>
  <c r="BJ346" i="1"/>
  <c r="BK346" i="1"/>
  <c r="BL346" i="1"/>
  <c r="BM346" i="1"/>
  <c r="BN346" i="1"/>
  <c r="AV347" i="1"/>
  <c r="AW347" i="1"/>
  <c r="AX347" i="1"/>
  <c r="AY347" i="1"/>
  <c r="AZ347" i="1"/>
  <c r="BA347" i="1"/>
  <c r="BB347" i="1"/>
  <c r="BC347" i="1"/>
  <c r="BD347" i="1"/>
  <c r="BE347" i="1"/>
  <c r="BF347" i="1"/>
  <c r="BG347" i="1"/>
  <c r="BH347" i="1"/>
  <c r="BI347" i="1"/>
  <c r="BJ347" i="1"/>
  <c r="BK347" i="1"/>
  <c r="BL347" i="1"/>
  <c r="BM347" i="1"/>
  <c r="BN347" i="1"/>
  <c r="AV348" i="1"/>
  <c r="AW348" i="1"/>
  <c r="AX348" i="1"/>
  <c r="AY348" i="1"/>
  <c r="AZ348" i="1"/>
  <c r="BA348" i="1"/>
  <c r="BB348" i="1"/>
  <c r="BC348" i="1"/>
  <c r="BD348" i="1"/>
  <c r="BE348" i="1"/>
  <c r="BF348" i="1"/>
  <c r="BG348" i="1"/>
  <c r="BH348" i="1"/>
  <c r="BI348" i="1"/>
  <c r="BJ348" i="1"/>
  <c r="BK348" i="1"/>
  <c r="BL348" i="1"/>
  <c r="BM348" i="1"/>
  <c r="BN348" i="1"/>
  <c r="AV349" i="1"/>
  <c r="AW349" i="1"/>
  <c r="AX349" i="1"/>
  <c r="AY349" i="1"/>
  <c r="AZ349" i="1"/>
  <c r="BA349" i="1"/>
  <c r="BB349" i="1"/>
  <c r="BC349" i="1"/>
  <c r="BD349" i="1"/>
  <c r="BE349" i="1"/>
  <c r="BF349" i="1"/>
  <c r="BG349" i="1"/>
  <c r="BH349" i="1"/>
  <c r="BI349" i="1"/>
  <c r="BJ349" i="1"/>
  <c r="BK349" i="1"/>
  <c r="BL349" i="1"/>
  <c r="BM349" i="1"/>
  <c r="BN349" i="1"/>
  <c r="AV350" i="1"/>
  <c r="AW350" i="1"/>
  <c r="AX350" i="1"/>
  <c r="AY350" i="1"/>
  <c r="AZ350" i="1"/>
  <c r="BA350" i="1"/>
  <c r="BB350" i="1"/>
  <c r="BC350" i="1"/>
  <c r="BD350" i="1"/>
  <c r="BE350" i="1"/>
  <c r="BF350" i="1"/>
  <c r="BG350" i="1"/>
  <c r="BH350" i="1"/>
  <c r="BI350" i="1"/>
  <c r="BJ350" i="1"/>
  <c r="BK350" i="1"/>
  <c r="BL350" i="1"/>
  <c r="BM350" i="1"/>
  <c r="BN350" i="1"/>
  <c r="AV351" i="1"/>
  <c r="AW351" i="1"/>
  <c r="AX351" i="1"/>
  <c r="AY351" i="1"/>
  <c r="AZ351" i="1"/>
  <c r="BA351" i="1"/>
  <c r="BB351" i="1"/>
  <c r="BC351" i="1"/>
  <c r="BD351" i="1"/>
  <c r="BE351" i="1"/>
  <c r="BF351" i="1"/>
  <c r="BG351" i="1"/>
  <c r="BH351" i="1"/>
  <c r="BI351" i="1"/>
  <c r="BJ351" i="1"/>
  <c r="BK351" i="1"/>
  <c r="BL351" i="1"/>
  <c r="BM351" i="1"/>
  <c r="BN351" i="1"/>
  <c r="AV352" i="1"/>
  <c r="AW352" i="1"/>
  <c r="AX352" i="1"/>
  <c r="AY352" i="1"/>
  <c r="AZ352" i="1"/>
  <c r="BA352" i="1"/>
  <c r="BB352" i="1"/>
  <c r="BC352" i="1"/>
  <c r="BD352" i="1"/>
  <c r="BE352" i="1"/>
  <c r="BF352" i="1"/>
  <c r="BG352" i="1"/>
  <c r="BH352" i="1"/>
  <c r="BI352" i="1"/>
  <c r="BJ352" i="1"/>
  <c r="BK352" i="1"/>
  <c r="BL352" i="1"/>
  <c r="BM352" i="1"/>
  <c r="BN352" i="1"/>
  <c r="AV353" i="1"/>
  <c r="AW353" i="1"/>
  <c r="AX353" i="1"/>
  <c r="AY353" i="1"/>
  <c r="AZ353" i="1"/>
  <c r="BA353" i="1"/>
  <c r="BB353" i="1"/>
  <c r="BC353" i="1"/>
  <c r="BD353" i="1"/>
  <c r="BE353" i="1"/>
  <c r="BF353" i="1"/>
  <c r="BG353" i="1"/>
  <c r="BH353" i="1"/>
  <c r="BI353" i="1"/>
  <c r="BJ353" i="1"/>
  <c r="BK353" i="1"/>
  <c r="BL353" i="1"/>
  <c r="BM353" i="1"/>
  <c r="BN353" i="1"/>
  <c r="AV354" i="1"/>
  <c r="AW354" i="1"/>
  <c r="AX354" i="1"/>
  <c r="AY354" i="1"/>
  <c r="AZ354" i="1"/>
  <c r="BA354" i="1"/>
  <c r="BB354" i="1"/>
  <c r="BC354" i="1"/>
  <c r="BD354" i="1"/>
  <c r="BE354" i="1"/>
  <c r="BF354" i="1"/>
  <c r="BG354" i="1"/>
  <c r="BH354" i="1"/>
  <c r="BI354" i="1"/>
  <c r="BJ354" i="1"/>
  <c r="BK354" i="1"/>
  <c r="BL354" i="1"/>
  <c r="BM354" i="1"/>
  <c r="BN354" i="1"/>
  <c r="AV355" i="1"/>
  <c r="AW355" i="1"/>
  <c r="AX355" i="1"/>
  <c r="AY355" i="1"/>
  <c r="AZ355" i="1"/>
  <c r="BA355" i="1"/>
  <c r="BB355" i="1"/>
  <c r="BC355" i="1"/>
  <c r="BD355" i="1"/>
  <c r="BE355" i="1"/>
  <c r="BF355" i="1"/>
  <c r="BG355" i="1"/>
  <c r="BH355" i="1"/>
  <c r="BI355" i="1"/>
  <c r="BJ355" i="1"/>
  <c r="BK355" i="1"/>
  <c r="BL355" i="1"/>
  <c r="BM355" i="1"/>
  <c r="BN355" i="1"/>
  <c r="AV356" i="1"/>
  <c r="AW356" i="1"/>
  <c r="AX356" i="1"/>
  <c r="AY356" i="1"/>
  <c r="AZ356" i="1"/>
  <c r="BA356" i="1"/>
  <c r="BB356" i="1"/>
  <c r="BC356" i="1"/>
  <c r="BD356" i="1"/>
  <c r="BE356" i="1"/>
  <c r="BF356" i="1"/>
  <c r="BG356" i="1"/>
  <c r="BH356" i="1"/>
  <c r="BI356" i="1"/>
  <c r="BJ356" i="1"/>
  <c r="BK356" i="1"/>
  <c r="BL356" i="1"/>
  <c r="BM356" i="1"/>
  <c r="BN356" i="1"/>
  <c r="AV357" i="1"/>
  <c r="AW357" i="1"/>
  <c r="AX357" i="1"/>
  <c r="AY357" i="1"/>
  <c r="AZ357" i="1"/>
  <c r="BA357" i="1"/>
  <c r="BB357" i="1"/>
  <c r="BC357" i="1"/>
  <c r="BD357" i="1"/>
  <c r="BE357" i="1"/>
  <c r="BF357" i="1"/>
  <c r="BG357" i="1"/>
  <c r="BH357" i="1"/>
  <c r="BI357" i="1"/>
  <c r="BJ357" i="1"/>
  <c r="BK357" i="1"/>
  <c r="BL357" i="1"/>
  <c r="BM357" i="1"/>
  <c r="BN357" i="1"/>
  <c r="AV358" i="1"/>
  <c r="AW358" i="1"/>
  <c r="AX358" i="1"/>
  <c r="AY358" i="1"/>
  <c r="AZ358" i="1"/>
  <c r="BA358" i="1"/>
  <c r="BB358" i="1"/>
  <c r="BC358" i="1"/>
  <c r="BD358" i="1"/>
  <c r="BE358" i="1"/>
  <c r="BF358" i="1"/>
  <c r="BG358" i="1"/>
  <c r="BH358" i="1"/>
  <c r="BI358" i="1"/>
  <c r="BJ358" i="1"/>
  <c r="BK358" i="1"/>
  <c r="BL358" i="1"/>
  <c r="BM358" i="1"/>
  <c r="BN358" i="1"/>
  <c r="AV359" i="1"/>
  <c r="AW359" i="1"/>
  <c r="AX359" i="1"/>
  <c r="AY359" i="1"/>
  <c r="AZ359" i="1"/>
  <c r="BA359" i="1"/>
  <c r="BB359" i="1"/>
  <c r="BC359" i="1"/>
  <c r="BD359" i="1"/>
  <c r="BE359" i="1"/>
  <c r="BF359" i="1"/>
  <c r="BG359" i="1"/>
  <c r="BH359" i="1"/>
  <c r="BI359" i="1"/>
  <c r="BJ359" i="1"/>
  <c r="BK359" i="1"/>
  <c r="BL359" i="1"/>
  <c r="BM359" i="1"/>
  <c r="BN359" i="1"/>
  <c r="AV360" i="1"/>
  <c r="AW360" i="1"/>
  <c r="AX360" i="1"/>
  <c r="AY360" i="1"/>
  <c r="AZ360" i="1"/>
  <c r="BA360" i="1"/>
  <c r="BB360" i="1"/>
  <c r="BC360" i="1"/>
  <c r="BD360" i="1"/>
  <c r="BE360" i="1"/>
  <c r="BF360" i="1"/>
  <c r="BG360" i="1"/>
  <c r="BH360" i="1"/>
  <c r="BI360" i="1"/>
  <c r="BJ360" i="1"/>
  <c r="BK360" i="1"/>
  <c r="BL360" i="1"/>
  <c r="BM360" i="1"/>
  <c r="BN360" i="1"/>
  <c r="AV361" i="1"/>
  <c r="AW361" i="1"/>
  <c r="AX361" i="1"/>
  <c r="AY361" i="1"/>
  <c r="AZ361" i="1"/>
  <c r="BA361" i="1"/>
  <c r="BB361" i="1"/>
  <c r="BC361" i="1"/>
  <c r="BD361" i="1"/>
  <c r="BE361" i="1"/>
  <c r="BF361" i="1"/>
  <c r="BG361" i="1"/>
  <c r="BH361" i="1"/>
  <c r="BI361" i="1"/>
  <c r="BJ361" i="1"/>
  <c r="BK361" i="1"/>
  <c r="BL361" i="1"/>
  <c r="BM361" i="1"/>
  <c r="BN361" i="1"/>
  <c r="AV362" i="1"/>
  <c r="AW362" i="1"/>
  <c r="AX362" i="1"/>
  <c r="AY362" i="1"/>
  <c r="AZ362" i="1"/>
  <c r="BA362" i="1"/>
  <c r="BB362" i="1"/>
  <c r="BC362" i="1"/>
  <c r="BD362" i="1"/>
  <c r="BE362" i="1"/>
  <c r="BF362" i="1"/>
  <c r="BG362" i="1"/>
  <c r="BH362" i="1"/>
  <c r="BI362" i="1"/>
  <c r="BJ362" i="1"/>
  <c r="BK362" i="1"/>
  <c r="BL362" i="1"/>
  <c r="BM362" i="1"/>
  <c r="BN362" i="1"/>
  <c r="AV363" i="1"/>
  <c r="AW363" i="1"/>
  <c r="AX363" i="1"/>
  <c r="AY363" i="1"/>
  <c r="AZ363" i="1"/>
  <c r="BA363" i="1"/>
  <c r="BB363" i="1"/>
  <c r="BC363" i="1"/>
  <c r="BD363" i="1"/>
  <c r="BE363" i="1"/>
  <c r="BF363" i="1"/>
  <c r="BG363" i="1"/>
  <c r="BH363" i="1"/>
  <c r="BI363" i="1"/>
  <c r="BJ363" i="1"/>
  <c r="BK363" i="1"/>
  <c r="BL363" i="1"/>
  <c r="BM363" i="1"/>
  <c r="BN363" i="1"/>
  <c r="AV364" i="1"/>
  <c r="AW364" i="1"/>
  <c r="AX364" i="1"/>
  <c r="AY364" i="1"/>
  <c r="AZ364" i="1"/>
  <c r="BA364" i="1"/>
  <c r="BB364" i="1"/>
  <c r="BC364" i="1"/>
  <c r="BD364" i="1"/>
  <c r="BE364" i="1"/>
  <c r="BF364" i="1"/>
  <c r="BG364" i="1"/>
  <c r="BH364" i="1"/>
  <c r="BI364" i="1"/>
  <c r="BJ364" i="1"/>
  <c r="BK364" i="1"/>
  <c r="BL364" i="1"/>
  <c r="BM364" i="1"/>
  <c r="BN364" i="1"/>
  <c r="AV365" i="1"/>
  <c r="AW365" i="1"/>
  <c r="AX365" i="1"/>
  <c r="AY365" i="1"/>
  <c r="AZ365" i="1"/>
  <c r="BA365" i="1"/>
  <c r="BB365" i="1"/>
  <c r="BC365" i="1"/>
  <c r="BD365" i="1"/>
  <c r="BE365" i="1"/>
  <c r="BF365" i="1"/>
  <c r="BG365" i="1"/>
  <c r="BH365" i="1"/>
  <c r="BI365" i="1"/>
  <c r="BJ365" i="1"/>
  <c r="BK365" i="1"/>
  <c r="BL365" i="1"/>
  <c r="BM365" i="1"/>
  <c r="BN365" i="1"/>
  <c r="AV366" i="1"/>
  <c r="AW366" i="1"/>
  <c r="AX366" i="1"/>
  <c r="AY366" i="1"/>
  <c r="AZ366" i="1"/>
  <c r="BA366" i="1"/>
  <c r="BB366" i="1"/>
  <c r="BC366" i="1"/>
  <c r="BD366" i="1"/>
  <c r="BE366" i="1"/>
  <c r="BF366" i="1"/>
  <c r="BG366" i="1"/>
  <c r="BH366" i="1"/>
  <c r="BI366" i="1"/>
  <c r="BJ366" i="1"/>
  <c r="BK366" i="1"/>
  <c r="BL366" i="1"/>
  <c r="BM366" i="1"/>
  <c r="BN366" i="1"/>
  <c r="AV367" i="1"/>
  <c r="AW367" i="1"/>
  <c r="AX367" i="1"/>
  <c r="AY367" i="1"/>
  <c r="AZ367" i="1"/>
  <c r="BA367" i="1"/>
  <c r="BB367" i="1"/>
  <c r="BC367" i="1"/>
  <c r="BD367" i="1"/>
  <c r="BE367" i="1"/>
  <c r="BF367" i="1"/>
  <c r="BG367" i="1"/>
  <c r="BH367" i="1"/>
  <c r="BI367" i="1"/>
  <c r="BJ367" i="1"/>
  <c r="BK367" i="1"/>
  <c r="BL367" i="1"/>
  <c r="BM367" i="1"/>
  <c r="BN367" i="1"/>
  <c r="AV368" i="1"/>
  <c r="AW368" i="1"/>
  <c r="AX368" i="1"/>
  <c r="AY368" i="1"/>
  <c r="AZ368" i="1"/>
  <c r="BA368" i="1"/>
  <c r="BB368" i="1"/>
  <c r="BC368" i="1"/>
  <c r="BD368" i="1"/>
  <c r="BE368" i="1"/>
  <c r="BF368" i="1"/>
  <c r="BG368" i="1"/>
  <c r="BH368" i="1"/>
  <c r="BI368" i="1"/>
  <c r="BJ368" i="1"/>
  <c r="BK368" i="1"/>
  <c r="BL368" i="1"/>
  <c r="BM368" i="1"/>
  <c r="BN368" i="1"/>
  <c r="AV369" i="1"/>
  <c r="AW369" i="1"/>
  <c r="AX369" i="1"/>
  <c r="AY369" i="1"/>
  <c r="AZ369" i="1"/>
  <c r="BA369" i="1"/>
  <c r="BB369" i="1"/>
  <c r="BC369" i="1"/>
  <c r="BD369" i="1"/>
  <c r="BE369" i="1"/>
  <c r="BF369" i="1"/>
  <c r="BG369" i="1"/>
  <c r="BH369" i="1"/>
  <c r="BI369" i="1"/>
  <c r="BJ369" i="1"/>
  <c r="BK369" i="1"/>
  <c r="BL369" i="1"/>
  <c r="BM369" i="1"/>
  <c r="BN369" i="1"/>
  <c r="AV370" i="1"/>
  <c r="AW370" i="1"/>
  <c r="AX370" i="1"/>
  <c r="AY370" i="1"/>
  <c r="AZ370" i="1"/>
  <c r="BA370" i="1"/>
  <c r="BB370" i="1"/>
  <c r="BC370" i="1"/>
  <c r="BD370" i="1"/>
  <c r="BE370" i="1"/>
  <c r="BF370" i="1"/>
  <c r="BG370" i="1"/>
  <c r="BH370" i="1"/>
  <c r="BI370" i="1"/>
  <c r="BJ370" i="1"/>
  <c r="BK370" i="1"/>
  <c r="BL370" i="1"/>
  <c r="BM370" i="1"/>
  <c r="BN370" i="1"/>
  <c r="AV371" i="1"/>
  <c r="AW371" i="1"/>
  <c r="AX371" i="1"/>
  <c r="AY371" i="1"/>
  <c r="AZ371" i="1"/>
  <c r="BA371" i="1"/>
  <c r="BB371" i="1"/>
  <c r="BC371" i="1"/>
  <c r="BD371" i="1"/>
  <c r="BE371" i="1"/>
  <c r="BF371" i="1"/>
  <c r="BG371" i="1"/>
  <c r="BH371" i="1"/>
  <c r="BI371" i="1"/>
  <c r="BJ371" i="1"/>
  <c r="BK371" i="1"/>
  <c r="BL371" i="1"/>
  <c r="BM371" i="1"/>
  <c r="BN371" i="1"/>
  <c r="AV372" i="1"/>
  <c r="AW372" i="1"/>
  <c r="AX372" i="1"/>
  <c r="AY372" i="1"/>
  <c r="AZ372" i="1"/>
  <c r="BA372" i="1"/>
  <c r="BB372" i="1"/>
  <c r="BC372" i="1"/>
  <c r="BD372" i="1"/>
  <c r="BE372" i="1"/>
  <c r="BF372" i="1"/>
  <c r="BG372" i="1"/>
  <c r="BH372" i="1"/>
  <c r="BI372" i="1"/>
  <c r="BJ372" i="1"/>
  <c r="BK372" i="1"/>
  <c r="BL372" i="1"/>
  <c r="BM372" i="1"/>
  <c r="BN372" i="1"/>
  <c r="AV373" i="1"/>
  <c r="AW373" i="1"/>
  <c r="AX373" i="1"/>
  <c r="AY373" i="1"/>
  <c r="AZ373" i="1"/>
  <c r="BA373" i="1"/>
  <c r="BB373" i="1"/>
  <c r="BC373" i="1"/>
  <c r="BD373" i="1"/>
  <c r="BE373" i="1"/>
  <c r="BF373" i="1"/>
  <c r="BG373" i="1"/>
  <c r="BH373" i="1"/>
  <c r="BI373" i="1"/>
  <c r="BJ373" i="1"/>
  <c r="BK373" i="1"/>
  <c r="BL373" i="1"/>
  <c r="BM373" i="1"/>
  <c r="BN373" i="1"/>
  <c r="AV374" i="1"/>
  <c r="AW374" i="1"/>
  <c r="AX374" i="1"/>
  <c r="AY374" i="1"/>
  <c r="AZ374" i="1"/>
  <c r="BA374" i="1"/>
  <c r="BB374" i="1"/>
  <c r="BC374" i="1"/>
  <c r="BD374" i="1"/>
  <c r="BE374" i="1"/>
  <c r="BF374" i="1"/>
  <c r="BG374" i="1"/>
  <c r="BH374" i="1"/>
  <c r="BI374" i="1"/>
  <c r="BJ374" i="1"/>
  <c r="BK374" i="1"/>
  <c r="BL374" i="1"/>
  <c r="BM374" i="1"/>
  <c r="BN374" i="1"/>
  <c r="AV375" i="1"/>
  <c r="AW375" i="1"/>
  <c r="AX375" i="1"/>
  <c r="AY375" i="1"/>
  <c r="AZ375" i="1"/>
  <c r="BA375" i="1"/>
  <c r="BB375" i="1"/>
  <c r="BC375" i="1"/>
  <c r="BD375" i="1"/>
  <c r="BE375" i="1"/>
  <c r="BF375" i="1"/>
  <c r="BG375" i="1"/>
  <c r="BH375" i="1"/>
  <c r="BI375" i="1"/>
  <c r="BJ375" i="1"/>
  <c r="BK375" i="1"/>
  <c r="BL375" i="1"/>
  <c r="BM375" i="1"/>
  <c r="BN375" i="1"/>
  <c r="AV376" i="1"/>
  <c r="AW376" i="1"/>
  <c r="AX376" i="1"/>
  <c r="AY376" i="1"/>
  <c r="AZ376" i="1"/>
  <c r="BA376" i="1"/>
  <c r="BB376" i="1"/>
  <c r="BC376" i="1"/>
  <c r="BD376" i="1"/>
  <c r="BE376" i="1"/>
  <c r="BF376" i="1"/>
  <c r="BG376" i="1"/>
  <c r="BH376" i="1"/>
  <c r="BI376" i="1"/>
  <c r="BJ376" i="1"/>
  <c r="BK376" i="1"/>
  <c r="BL376" i="1"/>
  <c r="BM376" i="1"/>
  <c r="BN376" i="1"/>
  <c r="AV377" i="1"/>
  <c r="AW377" i="1"/>
  <c r="AX377" i="1"/>
  <c r="AY377" i="1"/>
  <c r="AZ377" i="1"/>
  <c r="BA377" i="1"/>
  <c r="BB377" i="1"/>
  <c r="BC377" i="1"/>
  <c r="BD377" i="1"/>
  <c r="BE377" i="1"/>
  <c r="BF377" i="1"/>
  <c r="BG377" i="1"/>
  <c r="BH377" i="1"/>
  <c r="BI377" i="1"/>
  <c r="BJ377" i="1"/>
  <c r="BK377" i="1"/>
  <c r="BL377" i="1"/>
  <c r="BM377" i="1"/>
  <c r="BN377" i="1"/>
  <c r="AV378" i="1"/>
  <c r="AW378" i="1"/>
  <c r="AX378" i="1"/>
  <c r="AY378" i="1"/>
  <c r="AZ378" i="1"/>
  <c r="BA378" i="1"/>
  <c r="BB378" i="1"/>
  <c r="BC378" i="1"/>
  <c r="BD378" i="1"/>
  <c r="BE378" i="1"/>
  <c r="BF378" i="1"/>
  <c r="BG378" i="1"/>
  <c r="BH378" i="1"/>
  <c r="BI378" i="1"/>
  <c r="BJ378" i="1"/>
  <c r="BK378" i="1"/>
  <c r="BL378" i="1"/>
  <c r="BM378" i="1"/>
  <c r="BN378" i="1"/>
  <c r="AV379" i="1"/>
  <c r="AW379" i="1"/>
  <c r="AX379" i="1"/>
  <c r="AY379" i="1"/>
  <c r="AZ379" i="1"/>
  <c r="BA379" i="1"/>
  <c r="BB379" i="1"/>
  <c r="BC379" i="1"/>
  <c r="BD379" i="1"/>
  <c r="BE379" i="1"/>
  <c r="BF379" i="1"/>
  <c r="BG379" i="1"/>
  <c r="BH379" i="1"/>
  <c r="BI379" i="1"/>
  <c r="BJ379" i="1"/>
  <c r="BK379" i="1"/>
  <c r="BL379" i="1"/>
  <c r="BM379" i="1"/>
  <c r="BN379" i="1"/>
  <c r="AV380" i="1"/>
  <c r="AW380" i="1"/>
  <c r="AX380" i="1"/>
  <c r="AY380" i="1"/>
  <c r="AZ380" i="1"/>
  <c r="BA380" i="1"/>
  <c r="BB380" i="1"/>
  <c r="BC380" i="1"/>
  <c r="BD380" i="1"/>
  <c r="BE380" i="1"/>
  <c r="BF380" i="1"/>
  <c r="BG380" i="1"/>
  <c r="BH380" i="1"/>
  <c r="BI380" i="1"/>
  <c r="BJ380" i="1"/>
  <c r="BK380" i="1"/>
  <c r="BL380" i="1"/>
  <c r="BM380" i="1"/>
  <c r="BN380" i="1"/>
  <c r="AV381" i="1"/>
  <c r="AW381" i="1"/>
  <c r="AX381" i="1"/>
  <c r="AY381" i="1"/>
  <c r="AZ381" i="1"/>
  <c r="BA381" i="1"/>
  <c r="BB381" i="1"/>
  <c r="BC381" i="1"/>
  <c r="BD381" i="1"/>
  <c r="BE381" i="1"/>
  <c r="BF381" i="1"/>
  <c r="BG381" i="1"/>
  <c r="BH381" i="1"/>
  <c r="BI381" i="1"/>
  <c r="BJ381" i="1"/>
  <c r="BK381" i="1"/>
  <c r="BL381" i="1"/>
  <c r="BM381" i="1"/>
  <c r="BN381" i="1"/>
  <c r="AV382" i="1"/>
  <c r="AW382" i="1"/>
  <c r="AX382" i="1"/>
  <c r="AY382" i="1"/>
  <c r="AZ382" i="1"/>
  <c r="BA382" i="1"/>
  <c r="BB382" i="1"/>
  <c r="BC382" i="1"/>
  <c r="BD382" i="1"/>
  <c r="BE382" i="1"/>
  <c r="BF382" i="1"/>
  <c r="BG382" i="1"/>
  <c r="BH382" i="1"/>
  <c r="BI382" i="1"/>
  <c r="BJ382" i="1"/>
  <c r="BK382" i="1"/>
  <c r="BL382" i="1"/>
  <c r="BM382" i="1"/>
  <c r="BN382" i="1"/>
  <c r="AV383" i="1"/>
  <c r="AW383" i="1"/>
  <c r="AX383" i="1"/>
  <c r="AY383" i="1"/>
  <c r="AZ383" i="1"/>
  <c r="BA383" i="1"/>
  <c r="BB383" i="1"/>
  <c r="BC383" i="1"/>
  <c r="BD383" i="1"/>
  <c r="BE383" i="1"/>
  <c r="BF383" i="1"/>
  <c r="BG383" i="1"/>
  <c r="BH383" i="1"/>
  <c r="BI383" i="1"/>
  <c r="BJ383" i="1"/>
  <c r="BK383" i="1"/>
  <c r="BL383" i="1"/>
  <c r="BM383" i="1"/>
  <c r="BN383" i="1"/>
  <c r="AV384" i="1"/>
  <c r="AW384" i="1"/>
  <c r="AX384" i="1"/>
  <c r="AY384" i="1"/>
  <c r="AZ384" i="1"/>
  <c r="BA384" i="1"/>
  <c r="BB384" i="1"/>
  <c r="BC384" i="1"/>
  <c r="BD384" i="1"/>
  <c r="BE384" i="1"/>
  <c r="BF384" i="1"/>
  <c r="BG384" i="1"/>
  <c r="BH384" i="1"/>
  <c r="BI384" i="1"/>
  <c r="BJ384" i="1"/>
  <c r="BK384" i="1"/>
  <c r="BL384" i="1"/>
  <c r="BM384" i="1"/>
  <c r="BN384" i="1"/>
  <c r="AV385" i="1"/>
  <c r="AW385" i="1"/>
  <c r="AX385" i="1"/>
  <c r="AY385" i="1"/>
  <c r="AZ385" i="1"/>
  <c r="BA385" i="1"/>
  <c r="BB385" i="1"/>
  <c r="BC385" i="1"/>
  <c r="BD385" i="1"/>
  <c r="BE385" i="1"/>
  <c r="BF385" i="1"/>
  <c r="BG385" i="1"/>
  <c r="BH385" i="1"/>
  <c r="BI385" i="1"/>
  <c r="BJ385" i="1"/>
  <c r="BK385" i="1"/>
  <c r="BL385" i="1"/>
  <c r="BM385" i="1"/>
  <c r="BN385" i="1"/>
  <c r="AV386" i="1"/>
  <c r="AW386" i="1"/>
  <c r="AX386" i="1"/>
  <c r="AY386" i="1"/>
  <c r="AZ386" i="1"/>
  <c r="BA386" i="1"/>
  <c r="BB386" i="1"/>
  <c r="BC386" i="1"/>
  <c r="BD386" i="1"/>
  <c r="BE386" i="1"/>
  <c r="BF386" i="1"/>
  <c r="BG386" i="1"/>
  <c r="BH386" i="1"/>
  <c r="BI386" i="1"/>
  <c r="BJ386" i="1"/>
  <c r="BK386" i="1"/>
  <c r="BL386" i="1"/>
  <c r="BM386" i="1"/>
  <c r="BN386" i="1"/>
  <c r="AV387" i="1"/>
  <c r="AW387" i="1"/>
  <c r="AX387" i="1"/>
  <c r="AY387" i="1"/>
  <c r="AZ387" i="1"/>
  <c r="BA387" i="1"/>
  <c r="BB387" i="1"/>
  <c r="BC387" i="1"/>
  <c r="BD387" i="1"/>
  <c r="BE387" i="1"/>
  <c r="BF387" i="1"/>
  <c r="BG387" i="1"/>
  <c r="BH387" i="1"/>
  <c r="BI387" i="1"/>
  <c r="BJ387" i="1"/>
  <c r="BK387" i="1"/>
  <c r="BL387" i="1"/>
  <c r="BM387" i="1"/>
  <c r="BN387" i="1"/>
  <c r="AV388" i="1"/>
  <c r="AW388" i="1"/>
  <c r="AX388" i="1"/>
  <c r="AY388" i="1"/>
  <c r="AZ388" i="1"/>
  <c r="BA388" i="1"/>
  <c r="BB388" i="1"/>
  <c r="BC388" i="1"/>
  <c r="BD388" i="1"/>
  <c r="BE388" i="1"/>
  <c r="BF388" i="1"/>
  <c r="BG388" i="1"/>
  <c r="BH388" i="1"/>
  <c r="BI388" i="1"/>
  <c r="BJ388" i="1"/>
  <c r="BK388" i="1"/>
  <c r="BL388" i="1"/>
  <c r="BM388" i="1"/>
  <c r="BN388" i="1"/>
  <c r="AV389" i="1"/>
  <c r="AW389" i="1"/>
  <c r="AX389" i="1"/>
  <c r="AY389" i="1"/>
  <c r="AZ389" i="1"/>
  <c r="BA389" i="1"/>
  <c r="BB389" i="1"/>
  <c r="BC389" i="1"/>
  <c r="BD389" i="1"/>
  <c r="BE389" i="1"/>
  <c r="BF389" i="1"/>
  <c r="BG389" i="1"/>
  <c r="BH389" i="1"/>
  <c r="BI389" i="1"/>
  <c r="BJ389" i="1"/>
  <c r="BK389" i="1"/>
  <c r="BL389" i="1"/>
  <c r="BM389" i="1"/>
  <c r="BN389" i="1"/>
  <c r="AV390" i="1"/>
  <c r="AW390" i="1"/>
  <c r="AX390" i="1"/>
  <c r="AY390" i="1"/>
  <c r="AZ390" i="1"/>
  <c r="BA390" i="1"/>
  <c r="BB390" i="1"/>
  <c r="BC390" i="1"/>
  <c r="BD390" i="1"/>
  <c r="BE390" i="1"/>
  <c r="BF390" i="1"/>
  <c r="BG390" i="1"/>
  <c r="BH390" i="1"/>
  <c r="BI390" i="1"/>
  <c r="BJ390" i="1"/>
  <c r="BK390" i="1"/>
  <c r="BL390" i="1"/>
  <c r="BM390" i="1"/>
  <c r="BN390" i="1"/>
  <c r="AV391" i="1"/>
  <c r="AW391" i="1"/>
  <c r="AX391" i="1"/>
  <c r="AY391" i="1"/>
  <c r="AZ391" i="1"/>
  <c r="BA391" i="1"/>
  <c r="BB391" i="1"/>
  <c r="BC391" i="1"/>
  <c r="BD391" i="1"/>
  <c r="BE391" i="1"/>
  <c r="BF391" i="1"/>
  <c r="BG391" i="1"/>
  <c r="BH391" i="1"/>
  <c r="BI391" i="1"/>
  <c r="BJ391" i="1"/>
  <c r="BK391" i="1"/>
  <c r="BL391" i="1"/>
  <c r="BM391" i="1"/>
  <c r="BN391" i="1"/>
  <c r="AV392" i="1"/>
  <c r="AW392" i="1"/>
  <c r="AX392" i="1"/>
  <c r="AY392" i="1"/>
  <c r="AZ392" i="1"/>
  <c r="BA392" i="1"/>
  <c r="BB392" i="1"/>
  <c r="BC392" i="1"/>
  <c r="BD392" i="1"/>
  <c r="BE392" i="1"/>
  <c r="BF392" i="1"/>
  <c r="BG392" i="1"/>
  <c r="BH392" i="1"/>
  <c r="BI392" i="1"/>
  <c r="BJ392" i="1"/>
  <c r="BK392" i="1"/>
  <c r="BL392" i="1"/>
  <c r="BM392" i="1"/>
  <c r="BN392" i="1"/>
  <c r="AV393" i="1"/>
  <c r="AW393" i="1"/>
  <c r="AX393" i="1"/>
  <c r="AY393" i="1"/>
  <c r="AZ393" i="1"/>
  <c r="BA393" i="1"/>
  <c r="BB393" i="1"/>
  <c r="BC393" i="1"/>
  <c r="BD393" i="1"/>
  <c r="BE393" i="1"/>
  <c r="BF393" i="1"/>
  <c r="BG393" i="1"/>
  <c r="BH393" i="1"/>
  <c r="BI393" i="1"/>
  <c r="BJ393" i="1"/>
  <c r="BK393" i="1"/>
  <c r="BL393" i="1"/>
  <c r="BM393" i="1"/>
  <c r="BN393" i="1"/>
  <c r="AV394" i="1"/>
  <c r="AW394" i="1"/>
  <c r="AX394" i="1"/>
  <c r="AY394" i="1"/>
  <c r="AZ394" i="1"/>
  <c r="BA394" i="1"/>
  <c r="BB394" i="1"/>
  <c r="BC394" i="1"/>
  <c r="BD394" i="1"/>
  <c r="BE394" i="1"/>
  <c r="BF394" i="1"/>
  <c r="BG394" i="1"/>
  <c r="BH394" i="1"/>
  <c r="BI394" i="1"/>
  <c r="BJ394" i="1"/>
  <c r="BK394" i="1"/>
  <c r="BL394" i="1"/>
  <c r="BM394" i="1"/>
  <c r="BN394" i="1"/>
  <c r="AV395" i="1"/>
  <c r="AW395" i="1"/>
  <c r="AX395" i="1"/>
  <c r="AY395" i="1"/>
  <c r="AZ395" i="1"/>
  <c r="BA395" i="1"/>
  <c r="BB395" i="1"/>
  <c r="BC395" i="1"/>
  <c r="BD395" i="1"/>
  <c r="BE395" i="1"/>
  <c r="BF395" i="1"/>
  <c r="BG395" i="1"/>
  <c r="BH395" i="1"/>
  <c r="BI395" i="1"/>
  <c r="BJ395" i="1"/>
  <c r="BK395" i="1"/>
  <c r="BL395" i="1"/>
  <c r="BM395" i="1"/>
  <c r="BN395" i="1"/>
  <c r="AV396" i="1"/>
  <c r="AW396" i="1"/>
  <c r="AX396" i="1"/>
  <c r="AY396" i="1"/>
  <c r="AZ396" i="1"/>
  <c r="BA396" i="1"/>
  <c r="BB396" i="1"/>
  <c r="BC396" i="1"/>
  <c r="BD396" i="1"/>
  <c r="BE396" i="1"/>
  <c r="BF396" i="1"/>
  <c r="BG396" i="1"/>
  <c r="BH396" i="1"/>
  <c r="BI396" i="1"/>
  <c r="BJ396" i="1"/>
  <c r="BK396" i="1"/>
  <c r="BL396" i="1"/>
  <c r="BM396" i="1"/>
  <c r="BN396" i="1"/>
  <c r="AV397" i="1"/>
  <c r="AW397" i="1"/>
  <c r="AX397" i="1"/>
  <c r="AY397" i="1"/>
  <c r="AZ397" i="1"/>
  <c r="BA397" i="1"/>
  <c r="BB397" i="1"/>
  <c r="BC397" i="1"/>
  <c r="BD397" i="1"/>
  <c r="BE397" i="1"/>
  <c r="BF397" i="1"/>
  <c r="BG397" i="1"/>
  <c r="BH397" i="1"/>
  <c r="BI397" i="1"/>
  <c r="BJ397" i="1"/>
  <c r="BK397" i="1"/>
  <c r="BL397" i="1"/>
  <c r="BM397" i="1"/>
  <c r="BN397" i="1"/>
  <c r="AV398" i="1"/>
  <c r="AW398" i="1"/>
  <c r="AX398" i="1"/>
  <c r="AY398" i="1"/>
  <c r="AZ398" i="1"/>
  <c r="BA398" i="1"/>
  <c r="BB398" i="1"/>
  <c r="BC398" i="1"/>
  <c r="BD398" i="1"/>
  <c r="BE398" i="1"/>
  <c r="BF398" i="1"/>
  <c r="BG398" i="1"/>
  <c r="BH398" i="1"/>
  <c r="BI398" i="1"/>
  <c r="BJ398" i="1"/>
  <c r="BK398" i="1"/>
  <c r="BL398" i="1"/>
  <c r="BM398" i="1"/>
  <c r="BN398" i="1"/>
  <c r="AV399" i="1"/>
  <c r="AW399" i="1"/>
  <c r="AX399" i="1"/>
  <c r="AY399" i="1"/>
  <c r="AZ399" i="1"/>
  <c r="BA399" i="1"/>
  <c r="BB399" i="1"/>
  <c r="BC399" i="1"/>
  <c r="BD399" i="1"/>
  <c r="BE399" i="1"/>
  <c r="BF399" i="1"/>
  <c r="BG399" i="1"/>
  <c r="BH399" i="1"/>
  <c r="BI399" i="1"/>
  <c r="BJ399" i="1"/>
  <c r="BK399" i="1"/>
  <c r="BL399" i="1"/>
  <c r="BM399" i="1"/>
  <c r="BN399" i="1"/>
  <c r="AV400" i="1"/>
  <c r="AW400" i="1"/>
  <c r="AX400" i="1"/>
  <c r="AY400" i="1"/>
  <c r="AZ400" i="1"/>
  <c r="BA400" i="1"/>
  <c r="BB400" i="1"/>
  <c r="BC400" i="1"/>
  <c r="BD400" i="1"/>
  <c r="BE400" i="1"/>
  <c r="BF400" i="1"/>
  <c r="BG400" i="1"/>
  <c r="BH400" i="1"/>
  <c r="BI400" i="1"/>
  <c r="BJ400" i="1"/>
  <c r="BK400" i="1"/>
  <c r="BL400" i="1"/>
  <c r="BM400" i="1"/>
  <c r="BN400" i="1"/>
  <c r="AV401" i="1"/>
  <c r="AW401" i="1"/>
  <c r="AX401" i="1"/>
  <c r="AY401" i="1"/>
  <c r="AZ401" i="1"/>
  <c r="BA401" i="1"/>
  <c r="BB401" i="1"/>
  <c r="BC401" i="1"/>
  <c r="BD401" i="1"/>
  <c r="BE401" i="1"/>
  <c r="BF401" i="1"/>
  <c r="BG401" i="1"/>
  <c r="BH401" i="1"/>
  <c r="BI401" i="1"/>
  <c r="BJ401" i="1"/>
  <c r="BK401" i="1"/>
  <c r="BL401" i="1"/>
  <c r="BM401" i="1"/>
  <c r="BN401" i="1"/>
  <c r="AV402" i="1"/>
  <c r="AW402" i="1"/>
  <c r="AX402" i="1"/>
  <c r="AY402" i="1"/>
  <c r="AZ402" i="1"/>
  <c r="BA402" i="1"/>
  <c r="BB402" i="1"/>
  <c r="BC402" i="1"/>
  <c r="BD402" i="1"/>
  <c r="BE402" i="1"/>
  <c r="BF402" i="1"/>
  <c r="BG402" i="1"/>
  <c r="BH402" i="1"/>
  <c r="BI402" i="1"/>
  <c r="BJ402" i="1"/>
  <c r="BK402" i="1"/>
  <c r="BL402" i="1"/>
  <c r="BM402" i="1"/>
  <c r="BN402" i="1"/>
  <c r="AV403" i="1"/>
  <c r="AW403" i="1"/>
  <c r="AX403" i="1"/>
  <c r="AY403" i="1"/>
  <c r="AZ403" i="1"/>
  <c r="BA403" i="1"/>
  <c r="BB403" i="1"/>
  <c r="BC403" i="1"/>
  <c r="BD403" i="1"/>
  <c r="BE403" i="1"/>
  <c r="BF403" i="1"/>
  <c r="BG403" i="1"/>
  <c r="BH403" i="1"/>
  <c r="BI403" i="1"/>
  <c r="BJ403" i="1"/>
  <c r="BK403" i="1"/>
  <c r="BL403" i="1"/>
  <c r="BM403" i="1"/>
  <c r="BN403" i="1"/>
  <c r="AV404" i="1"/>
  <c r="AW404" i="1"/>
  <c r="AX404" i="1"/>
  <c r="AY404" i="1"/>
  <c r="AZ404" i="1"/>
  <c r="BA404" i="1"/>
  <c r="BB404" i="1"/>
  <c r="BC404" i="1"/>
  <c r="BD404" i="1"/>
  <c r="BE404" i="1"/>
  <c r="BF404" i="1"/>
  <c r="BG404" i="1"/>
  <c r="BH404" i="1"/>
  <c r="BI404" i="1"/>
  <c r="BJ404" i="1"/>
  <c r="BK404" i="1"/>
  <c r="BL404" i="1"/>
  <c r="BM404" i="1"/>
  <c r="BN404" i="1"/>
  <c r="AV405" i="1"/>
  <c r="AW405" i="1"/>
  <c r="AX405" i="1"/>
  <c r="AY405" i="1"/>
  <c r="AZ405" i="1"/>
  <c r="BA405" i="1"/>
  <c r="BB405" i="1"/>
  <c r="BC405" i="1"/>
  <c r="BD405" i="1"/>
  <c r="BE405" i="1"/>
  <c r="BF405" i="1"/>
  <c r="BG405" i="1"/>
  <c r="BH405" i="1"/>
  <c r="BI405" i="1"/>
  <c r="BJ405" i="1"/>
  <c r="BK405" i="1"/>
  <c r="BL405" i="1"/>
  <c r="BM405" i="1"/>
  <c r="BN405" i="1"/>
  <c r="AV406" i="1"/>
  <c r="AW406" i="1"/>
  <c r="AX406" i="1"/>
  <c r="AY406" i="1"/>
  <c r="AZ406" i="1"/>
  <c r="BA406" i="1"/>
  <c r="BB406" i="1"/>
  <c r="BC406" i="1"/>
  <c r="BD406" i="1"/>
  <c r="BE406" i="1"/>
  <c r="BF406" i="1"/>
  <c r="BG406" i="1"/>
  <c r="BH406" i="1"/>
  <c r="BI406" i="1"/>
  <c r="BJ406" i="1"/>
  <c r="BK406" i="1"/>
  <c r="BL406" i="1"/>
  <c r="BM406" i="1"/>
  <c r="BN406" i="1"/>
  <c r="AV407" i="1"/>
  <c r="AW407" i="1"/>
  <c r="AX407" i="1"/>
  <c r="AY407" i="1"/>
  <c r="AZ407" i="1"/>
  <c r="BA407" i="1"/>
  <c r="BB407" i="1"/>
  <c r="BC407" i="1"/>
  <c r="BD407" i="1"/>
  <c r="BE407" i="1"/>
  <c r="BF407" i="1"/>
  <c r="BG407" i="1"/>
  <c r="BH407" i="1"/>
  <c r="BI407" i="1"/>
  <c r="BJ407" i="1"/>
  <c r="BK407" i="1"/>
  <c r="BL407" i="1"/>
  <c r="BM407" i="1"/>
  <c r="BN407" i="1"/>
  <c r="AV408" i="1"/>
  <c r="AW408" i="1"/>
  <c r="AX408" i="1"/>
  <c r="AY408" i="1"/>
  <c r="AZ408" i="1"/>
  <c r="BA408" i="1"/>
  <c r="BB408" i="1"/>
  <c r="BC408" i="1"/>
  <c r="BD408" i="1"/>
  <c r="BE408" i="1"/>
  <c r="BF408" i="1"/>
  <c r="BG408" i="1"/>
  <c r="BH408" i="1"/>
  <c r="BI408" i="1"/>
  <c r="BJ408" i="1"/>
  <c r="BK408" i="1"/>
  <c r="BL408" i="1"/>
  <c r="BM408" i="1"/>
  <c r="BN408" i="1"/>
  <c r="AV409" i="1"/>
  <c r="AW409" i="1"/>
  <c r="AX409" i="1"/>
  <c r="AY409" i="1"/>
  <c r="AZ409" i="1"/>
  <c r="BA409" i="1"/>
  <c r="BB409" i="1"/>
  <c r="BC409" i="1"/>
  <c r="BD409" i="1"/>
  <c r="BE409" i="1"/>
  <c r="BF409" i="1"/>
  <c r="BG409" i="1"/>
  <c r="BH409" i="1"/>
  <c r="BI409" i="1"/>
  <c r="BJ409" i="1"/>
  <c r="BK409" i="1"/>
  <c r="BL409" i="1"/>
  <c r="BM409" i="1"/>
  <c r="BN409" i="1"/>
  <c r="AV410" i="1"/>
  <c r="AW410" i="1"/>
  <c r="AX410" i="1"/>
  <c r="AY410" i="1"/>
  <c r="AZ410" i="1"/>
  <c r="BA410" i="1"/>
  <c r="BB410" i="1"/>
  <c r="BC410" i="1"/>
  <c r="BD410" i="1"/>
  <c r="BE410" i="1"/>
  <c r="BF410" i="1"/>
  <c r="BG410" i="1"/>
  <c r="BH410" i="1"/>
  <c r="BI410" i="1"/>
  <c r="BJ410" i="1"/>
  <c r="BK410" i="1"/>
  <c r="BL410" i="1"/>
  <c r="BM410" i="1"/>
  <c r="BN410" i="1"/>
  <c r="AV411" i="1"/>
  <c r="AW411" i="1"/>
  <c r="AX411" i="1"/>
  <c r="AY411" i="1"/>
  <c r="AZ411" i="1"/>
  <c r="BA411" i="1"/>
  <c r="BB411" i="1"/>
  <c r="BC411" i="1"/>
  <c r="BD411" i="1"/>
  <c r="BE411" i="1"/>
  <c r="BF411" i="1"/>
  <c r="BG411" i="1"/>
  <c r="BH411" i="1"/>
  <c r="BI411" i="1"/>
  <c r="BJ411" i="1"/>
  <c r="BK411" i="1"/>
  <c r="BL411" i="1"/>
  <c r="BM411" i="1"/>
  <c r="BN411" i="1"/>
  <c r="AV412" i="1"/>
  <c r="AW412" i="1"/>
  <c r="AX412" i="1"/>
  <c r="AY412" i="1"/>
  <c r="AZ412" i="1"/>
  <c r="BA412" i="1"/>
  <c r="BB412" i="1"/>
  <c r="BC412" i="1"/>
  <c r="BD412" i="1"/>
  <c r="BE412" i="1"/>
  <c r="BF412" i="1"/>
  <c r="BG412" i="1"/>
  <c r="BH412" i="1"/>
  <c r="BI412" i="1"/>
  <c r="BJ412" i="1"/>
  <c r="BK412" i="1"/>
  <c r="BL412" i="1"/>
  <c r="BM412" i="1"/>
  <c r="BN412" i="1"/>
  <c r="AV413" i="1"/>
  <c r="AW413" i="1"/>
  <c r="AX413" i="1"/>
  <c r="AY413" i="1"/>
  <c r="AZ413" i="1"/>
  <c r="BA413" i="1"/>
  <c r="BB413" i="1"/>
  <c r="BC413" i="1"/>
  <c r="BD413" i="1"/>
  <c r="BE413" i="1"/>
  <c r="BF413" i="1"/>
  <c r="BG413" i="1"/>
  <c r="BH413" i="1"/>
  <c r="BI413" i="1"/>
  <c r="BJ413" i="1"/>
  <c r="BK413" i="1"/>
  <c r="BL413" i="1"/>
  <c r="BM413" i="1"/>
  <c r="BN413" i="1"/>
  <c r="AV414" i="1"/>
  <c r="AW414" i="1"/>
  <c r="AX414" i="1"/>
  <c r="AY414" i="1"/>
  <c r="AZ414" i="1"/>
  <c r="BA414" i="1"/>
  <c r="BB414" i="1"/>
  <c r="BC414" i="1"/>
  <c r="BD414" i="1"/>
  <c r="BE414" i="1"/>
  <c r="BF414" i="1"/>
  <c r="BG414" i="1"/>
  <c r="BH414" i="1"/>
  <c r="BI414" i="1"/>
  <c r="BJ414" i="1"/>
  <c r="BK414" i="1"/>
  <c r="BL414" i="1"/>
  <c r="BM414" i="1"/>
  <c r="BN414" i="1"/>
  <c r="AV415" i="1"/>
  <c r="AW415" i="1"/>
  <c r="AX415" i="1"/>
  <c r="AY415" i="1"/>
  <c r="AZ415" i="1"/>
  <c r="BA415" i="1"/>
  <c r="BB415" i="1"/>
  <c r="BC415" i="1"/>
  <c r="BD415" i="1"/>
  <c r="BE415" i="1"/>
  <c r="BF415" i="1"/>
  <c r="BG415" i="1"/>
  <c r="BH415" i="1"/>
  <c r="BI415" i="1"/>
  <c r="BJ415" i="1"/>
  <c r="BK415" i="1"/>
  <c r="BL415" i="1"/>
  <c r="BM415" i="1"/>
  <c r="BN415" i="1"/>
  <c r="AV416" i="1"/>
  <c r="AW416" i="1"/>
  <c r="AX416" i="1"/>
  <c r="AY416" i="1"/>
  <c r="AZ416" i="1"/>
  <c r="BA416" i="1"/>
  <c r="BB416" i="1"/>
  <c r="BC416" i="1"/>
  <c r="BD416" i="1"/>
  <c r="BE416" i="1"/>
  <c r="BF416" i="1"/>
  <c r="BG416" i="1"/>
  <c r="BH416" i="1"/>
  <c r="BI416" i="1"/>
  <c r="BJ416" i="1"/>
  <c r="BK416" i="1"/>
  <c r="BL416" i="1"/>
  <c r="BM416" i="1"/>
  <c r="BN416" i="1"/>
  <c r="AV417" i="1"/>
  <c r="AW417" i="1"/>
  <c r="AX417" i="1"/>
  <c r="AY417" i="1"/>
  <c r="AZ417" i="1"/>
  <c r="BA417" i="1"/>
  <c r="BB417" i="1"/>
  <c r="BC417" i="1"/>
  <c r="BD417" i="1"/>
  <c r="BE417" i="1"/>
  <c r="BF417" i="1"/>
  <c r="BG417" i="1"/>
  <c r="BH417" i="1"/>
  <c r="BI417" i="1"/>
  <c r="BJ417" i="1"/>
  <c r="BK417" i="1"/>
  <c r="BL417" i="1"/>
  <c r="BM417" i="1"/>
  <c r="BN417" i="1"/>
  <c r="AV418" i="1"/>
  <c r="AW418" i="1"/>
  <c r="AX418" i="1"/>
  <c r="AY418" i="1"/>
  <c r="AZ418" i="1"/>
  <c r="BA418" i="1"/>
  <c r="BB418" i="1"/>
  <c r="BC418" i="1"/>
  <c r="BD418" i="1"/>
  <c r="BE418" i="1"/>
  <c r="BF418" i="1"/>
  <c r="BG418" i="1"/>
  <c r="BH418" i="1"/>
  <c r="BI418" i="1"/>
  <c r="BJ418" i="1"/>
  <c r="BK418" i="1"/>
  <c r="BL418" i="1"/>
  <c r="BM418" i="1"/>
  <c r="BN418" i="1"/>
  <c r="AV419" i="1"/>
  <c r="AW419" i="1"/>
  <c r="AX419" i="1"/>
  <c r="AY419" i="1"/>
  <c r="AZ419" i="1"/>
  <c r="BA419" i="1"/>
  <c r="BB419" i="1"/>
  <c r="BC419" i="1"/>
  <c r="BD419" i="1"/>
  <c r="BE419" i="1"/>
  <c r="BF419" i="1"/>
  <c r="BG419" i="1"/>
  <c r="BH419" i="1"/>
  <c r="BI419" i="1"/>
  <c r="BJ419" i="1"/>
  <c r="BK419" i="1"/>
  <c r="BL419" i="1"/>
  <c r="BM419" i="1"/>
  <c r="BN419" i="1"/>
  <c r="AV420" i="1"/>
  <c r="AW420" i="1"/>
  <c r="AX420" i="1"/>
  <c r="AY420" i="1"/>
  <c r="AZ420" i="1"/>
  <c r="BA420" i="1"/>
  <c r="BB420" i="1"/>
  <c r="BC420" i="1"/>
  <c r="BD420" i="1"/>
  <c r="BE420" i="1"/>
  <c r="BF420" i="1"/>
  <c r="BG420" i="1"/>
  <c r="BH420" i="1"/>
  <c r="BI420" i="1"/>
  <c r="BJ420" i="1"/>
  <c r="BK420" i="1"/>
  <c r="BL420" i="1"/>
  <c r="BM420" i="1"/>
  <c r="BN420" i="1"/>
  <c r="AV421" i="1"/>
  <c r="AW421" i="1"/>
  <c r="AX421" i="1"/>
  <c r="AY421" i="1"/>
  <c r="AZ421" i="1"/>
  <c r="BA421" i="1"/>
  <c r="BB421" i="1"/>
  <c r="BC421" i="1"/>
  <c r="BD421" i="1"/>
  <c r="BE421" i="1"/>
  <c r="BF421" i="1"/>
  <c r="BG421" i="1"/>
  <c r="BH421" i="1"/>
  <c r="BI421" i="1"/>
  <c r="BJ421" i="1"/>
  <c r="BK421" i="1"/>
  <c r="BL421" i="1"/>
  <c r="BM421" i="1"/>
  <c r="BN421" i="1"/>
  <c r="AV422" i="1"/>
  <c r="AW422" i="1"/>
  <c r="AX422" i="1"/>
  <c r="AY422" i="1"/>
  <c r="AZ422" i="1"/>
  <c r="BA422" i="1"/>
  <c r="BB422" i="1"/>
  <c r="BC422" i="1"/>
  <c r="BD422" i="1"/>
  <c r="BE422" i="1"/>
  <c r="BF422" i="1"/>
  <c r="BG422" i="1"/>
  <c r="BH422" i="1"/>
  <c r="BI422" i="1"/>
  <c r="BJ422" i="1"/>
  <c r="BK422" i="1"/>
  <c r="BL422" i="1"/>
  <c r="BM422" i="1"/>
  <c r="BN422" i="1"/>
  <c r="AV423" i="1"/>
  <c r="AW423" i="1"/>
  <c r="AX423" i="1"/>
  <c r="AY423" i="1"/>
  <c r="AZ423" i="1"/>
  <c r="BA423" i="1"/>
  <c r="BB423" i="1"/>
  <c r="BC423" i="1"/>
  <c r="BD423" i="1"/>
  <c r="BE423" i="1"/>
  <c r="BF423" i="1"/>
  <c r="BG423" i="1"/>
  <c r="BH423" i="1"/>
  <c r="BI423" i="1"/>
  <c r="BJ423" i="1"/>
  <c r="BK423" i="1"/>
  <c r="BL423" i="1"/>
  <c r="BM423" i="1"/>
  <c r="BN423" i="1"/>
  <c r="AV424" i="1"/>
  <c r="AW424" i="1"/>
  <c r="AX424" i="1"/>
  <c r="AY424" i="1"/>
  <c r="AZ424" i="1"/>
  <c r="BA424" i="1"/>
  <c r="BB424" i="1"/>
  <c r="BC424" i="1"/>
  <c r="BD424" i="1"/>
  <c r="BE424" i="1"/>
  <c r="BF424" i="1"/>
  <c r="BG424" i="1"/>
  <c r="BH424" i="1"/>
  <c r="BI424" i="1"/>
  <c r="BJ424" i="1"/>
  <c r="BK424" i="1"/>
  <c r="BL424" i="1"/>
  <c r="BM424" i="1"/>
  <c r="BN424" i="1"/>
  <c r="AV425" i="1"/>
  <c r="AW425" i="1"/>
  <c r="AX425" i="1"/>
  <c r="AY425" i="1"/>
  <c r="AZ425" i="1"/>
  <c r="BA425" i="1"/>
  <c r="BB425" i="1"/>
  <c r="BC425" i="1"/>
  <c r="BD425" i="1"/>
  <c r="BE425" i="1"/>
  <c r="BF425" i="1"/>
  <c r="BG425" i="1"/>
  <c r="BH425" i="1"/>
  <c r="BI425" i="1"/>
  <c r="BJ425" i="1"/>
  <c r="BK425" i="1"/>
  <c r="BL425" i="1"/>
  <c r="BM425" i="1"/>
  <c r="BN425" i="1"/>
  <c r="AV426" i="1"/>
  <c r="AW426" i="1"/>
  <c r="AX426" i="1"/>
  <c r="AY426" i="1"/>
  <c r="AZ426" i="1"/>
  <c r="BA426" i="1"/>
  <c r="BB426" i="1"/>
  <c r="BC426" i="1"/>
  <c r="BD426" i="1"/>
  <c r="BE426" i="1"/>
  <c r="BF426" i="1"/>
  <c r="BG426" i="1"/>
  <c r="BH426" i="1"/>
  <c r="BI426" i="1"/>
  <c r="BJ426" i="1"/>
  <c r="BK426" i="1"/>
  <c r="BL426" i="1"/>
  <c r="BM426" i="1"/>
  <c r="BN426" i="1"/>
  <c r="AV427" i="1"/>
  <c r="AW427" i="1"/>
  <c r="AX427" i="1"/>
  <c r="AY427" i="1"/>
  <c r="AZ427" i="1"/>
  <c r="BA427" i="1"/>
  <c r="BB427" i="1"/>
  <c r="BC427" i="1"/>
  <c r="BD427" i="1"/>
  <c r="BE427" i="1"/>
  <c r="BF427" i="1"/>
  <c r="BG427" i="1"/>
  <c r="BH427" i="1"/>
  <c r="BI427" i="1"/>
  <c r="BJ427" i="1"/>
  <c r="BK427" i="1"/>
  <c r="BL427" i="1"/>
  <c r="BM427" i="1"/>
  <c r="BN427" i="1"/>
  <c r="AV428" i="1"/>
  <c r="AW428" i="1"/>
  <c r="AX428" i="1"/>
  <c r="AY428" i="1"/>
  <c r="AZ428" i="1"/>
  <c r="BA428" i="1"/>
  <c r="BB428" i="1"/>
  <c r="BC428" i="1"/>
  <c r="BD428" i="1"/>
  <c r="BE428" i="1"/>
  <c r="BF428" i="1"/>
  <c r="BG428" i="1"/>
  <c r="BH428" i="1"/>
  <c r="BI428" i="1"/>
  <c r="BJ428" i="1"/>
  <c r="BK428" i="1"/>
  <c r="BL428" i="1"/>
  <c r="BM428" i="1"/>
  <c r="BN428" i="1"/>
  <c r="AV429" i="1"/>
  <c r="AW429" i="1"/>
  <c r="AX429" i="1"/>
  <c r="AY429" i="1"/>
  <c r="AZ429" i="1"/>
  <c r="BA429" i="1"/>
  <c r="BB429" i="1"/>
  <c r="BC429" i="1"/>
  <c r="BD429" i="1"/>
  <c r="BE429" i="1"/>
  <c r="BF429" i="1"/>
  <c r="BG429" i="1"/>
  <c r="BH429" i="1"/>
  <c r="BI429" i="1"/>
  <c r="BJ429" i="1"/>
  <c r="BK429" i="1"/>
  <c r="BL429" i="1"/>
  <c r="BM429" i="1"/>
  <c r="BN429" i="1"/>
  <c r="AV430" i="1"/>
  <c r="AW430" i="1"/>
  <c r="AX430" i="1"/>
  <c r="AY430" i="1"/>
  <c r="AZ430" i="1"/>
  <c r="BA430" i="1"/>
  <c r="BB430" i="1"/>
  <c r="BC430" i="1"/>
  <c r="BD430" i="1"/>
  <c r="BE430" i="1"/>
  <c r="BF430" i="1"/>
  <c r="BG430" i="1"/>
  <c r="BH430" i="1"/>
  <c r="BI430" i="1"/>
  <c r="BJ430" i="1"/>
  <c r="BK430" i="1"/>
  <c r="BL430" i="1"/>
  <c r="BM430" i="1"/>
  <c r="BN430" i="1"/>
  <c r="BA8" i="1"/>
  <c r="BB8" i="1"/>
  <c r="BC8" i="1"/>
  <c r="BD8" i="1"/>
  <c r="BE8" i="1"/>
  <c r="BF8" i="1"/>
  <c r="BG8" i="1"/>
  <c r="BH8" i="1"/>
  <c r="BI8" i="1"/>
  <c r="BJ8" i="1"/>
  <c r="BK8" i="1"/>
  <c r="BL8" i="1"/>
  <c r="BM8" i="1"/>
  <c r="BN8" i="1"/>
  <c r="AV8" i="1"/>
  <c r="AW8" i="1"/>
  <c r="AX8" i="1"/>
  <c r="AY8" i="1"/>
  <c r="AZ8" i="1"/>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N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N247"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O2" i="5" s="1"/>
  <c r="N73" i="1" l="1"/>
  <c r="L434" i="1"/>
  <c r="K434" i="1"/>
  <c r="J434" i="1"/>
  <c r="L433" i="1"/>
  <c r="K433" i="1"/>
  <c r="J433" i="1"/>
  <c r="L432" i="1"/>
  <c r="K432" i="1"/>
  <c r="J432"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T357" i="1"/>
  <c r="N357" i="1"/>
  <c r="M357" i="1"/>
  <c r="N356" i="1"/>
  <c r="M356" i="1"/>
  <c r="T355" i="1"/>
  <c r="N355" i="1"/>
  <c r="M355" i="1"/>
  <c r="N354" i="1"/>
  <c r="M354" i="1"/>
  <c r="N353" i="1"/>
  <c r="M353" i="1"/>
  <c r="N352" i="1"/>
  <c r="M352" i="1"/>
  <c r="N351" i="1"/>
  <c r="M351" i="1"/>
  <c r="N350" i="1"/>
  <c r="M350" i="1"/>
  <c r="N349" i="1"/>
  <c r="M349" i="1"/>
  <c r="N348" i="1"/>
  <c r="M348" i="1"/>
  <c r="T347" i="1"/>
  <c r="N347" i="1"/>
  <c r="M347" i="1"/>
  <c r="T346" i="1"/>
  <c r="N346" i="1"/>
  <c r="M346" i="1"/>
  <c r="N345" i="1"/>
  <c r="M345" i="1"/>
  <c r="N344" i="1"/>
  <c r="M344" i="1"/>
  <c r="T343" i="1"/>
  <c r="N343" i="1"/>
  <c r="M343" i="1"/>
  <c r="T342" i="1"/>
  <c r="N342" i="1"/>
  <c r="M342" i="1"/>
  <c r="N341" i="1"/>
  <c r="M341" i="1"/>
  <c r="N340" i="1"/>
  <c r="M340" i="1"/>
  <c r="N339" i="1"/>
  <c r="M339" i="1"/>
  <c r="N338" i="1"/>
  <c r="M338" i="1"/>
  <c r="T337"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L6" i="1"/>
  <c r="K6" i="1"/>
  <c r="J6" i="1"/>
  <c r="L3" i="1"/>
  <c r="K3" i="1"/>
  <c r="J3" i="1"/>
  <c r="N432" i="1" l="1"/>
</calcChain>
</file>

<file path=xl/sharedStrings.xml><?xml version="1.0" encoding="utf-8"?>
<sst xmlns="http://schemas.openxmlformats.org/spreadsheetml/2006/main" count="14073" uniqueCount="4206">
  <si>
    <t>SMR</t>
  </si>
  <si>
    <t>ACM</t>
  </si>
  <si>
    <t>מדבקות מודפסות באופקים</t>
  </si>
  <si>
    <t>PROJECT PLAN</t>
  </si>
  <si>
    <t>DC עד שנתיים</t>
  </si>
  <si>
    <t xml:space="preserve"> </t>
  </si>
  <si>
    <t>QTY BOM</t>
  </si>
  <si>
    <t>ETA</t>
  </si>
  <si>
    <t>STOCK</t>
  </si>
  <si>
    <t>SMR Quantity</t>
  </si>
  <si>
    <t>אלטרנטיבי</t>
  </si>
  <si>
    <t>לא רלוונטי</t>
  </si>
  <si>
    <t>ACM Quantity</t>
  </si>
  <si>
    <t>#</t>
  </si>
  <si>
    <t>PN_ID</t>
  </si>
  <si>
    <t>REV</t>
  </si>
  <si>
    <t>CATALOG</t>
  </si>
  <si>
    <t>DESCRIPTION</t>
  </si>
  <si>
    <t>FFF</t>
  </si>
  <si>
    <t>UOM</t>
  </si>
  <si>
    <t>SUG_MLAI</t>
  </si>
  <si>
    <t>ORIG_QTY</t>
  </si>
  <si>
    <t>6930B621-002</t>
  </si>
  <si>
    <t>1038B870-001</t>
  </si>
  <si>
    <t>1038B880-001</t>
  </si>
  <si>
    <t>sum</t>
  </si>
  <si>
    <t xml:space="preserve">SUM NET QTY </t>
  </si>
  <si>
    <t>manufacturer</t>
  </si>
  <si>
    <t>SUPPLIER</t>
  </si>
  <si>
    <t xml:space="preserve">UNIT PRICE </t>
  </si>
  <si>
    <t>CUR</t>
  </si>
  <si>
    <t>LT</t>
  </si>
  <si>
    <t>שם ספק</t>
  </si>
  <si>
    <t>MOQ</t>
  </si>
  <si>
    <t xml:space="preserve">MPQ </t>
  </si>
  <si>
    <t>שם נציג הספק</t>
  </si>
  <si>
    <t>EMAIL</t>
  </si>
  <si>
    <t>נייד/טלפון</t>
  </si>
  <si>
    <t>MODULE</t>
  </si>
  <si>
    <t>0402X7R222KT2AT</t>
  </si>
  <si>
    <t>BUY1</t>
  </si>
  <si>
    <t>CHIP CAP 2200PF 10^ 50VOLT 40X20MIL</t>
  </si>
  <si>
    <t>EA</t>
  </si>
  <si>
    <t>AMERICAN TECHNICAL CERAMICS DIV. OF</t>
  </si>
  <si>
    <t>USD</t>
  </si>
  <si>
    <t>14WKS</t>
  </si>
  <si>
    <t>PHOENIX</t>
  </si>
  <si>
    <t>yana manelis</t>
  </si>
  <si>
    <t>yanam@phnx.co.il</t>
  </si>
  <si>
    <t>972-9-7644806</t>
  </si>
  <si>
    <t>06035J100JBTTR</t>
  </si>
  <si>
    <t>N62151881</t>
  </si>
  <si>
    <t>CHIP CAP 10PF 5% 50VOLT 63X32 ACCU-P</t>
  </si>
  <si>
    <t>AVX</t>
  </si>
  <si>
    <t>25WKS</t>
  </si>
  <si>
    <t>SHIRTECH</t>
  </si>
  <si>
    <t>Liza Cohen</t>
  </si>
  <si>
    <t>liza@shirtech.co.il</t>
  </si>
  <si>
    <t>03-9516495</t>
  </si>
  <si>
    <t>06035J4R7CBTTR</t>
  </si>
  <si>
    <t>N62191978</t>
  </si>
  <si>
    <t>CHIP CAP 4.7PF +-.25PF 50VOLT 63X32</t>
  </si>
  <si>
    <t>12-14WKS</t>
  </si>
  <si>
    <t>0603CS-10NXGLW</t>
  </si>
  <si>
    <t>CHIP INDUCTOR 10NH 2% T&amp;R</t>
  </si>
  <si>
    <t>COILCRAFT INC.</t>
  </si>
  <si>
    <t>3 WKS</t>
  </si>
  <si>
    <t>אלינה הנדסת אלקטרוניקה בע"מ</t>
  </si>
  <si>
    <t>Inbar Gotliv</t>
  </si>
  <si>
    <t>inbar@elina.co.il</t>
  </si>
  <si>
    <t>03-6164970</t>
  </si>
  <si>
    <t>0603CS-18NXGLW</t>
  </si>
  <si>
    <t>CHIP INDUCTOR 18NH 2% T&amp;R</t>
  </si>
  <si>
    <t>4 WKS</t>
  </si>
  <si>
    <t>0603CS-3N3XGLW</t>
  </si>
  <si>
    <t>CHIP INDUCTOR 3.3NH 2% T&amp;R</t>
  </si>
  <si>
    <t>3-4 WKS</t>
  </si>
  <si>
    <t>0603HP-R22XJRW</t>
  </si>
  <si>
    <t>CHIP INDUCTORS 220NHY 5^ 0603</t>
  </si>
  <si>
    <t>0603LS-122XGRC</t>
  </si>
  <si>
    <t>CHIP INDUCTOR 1.2UH 2^ T&amp;R</t>
  </si>
  <si>
    <t>08055C105KAT2A</t>
  </si>
  <si>
    <t>CHIP CAP 1UF 10% 50V X7R T&amp;R</t>
  </si>
  <si>
    <t>18-20WKS</t>
  </si>
  <si>
    <t>0805ZC106KAT2A</t>
  </si>
  <si>
    <t>CHIP CAP 10UF 10^ 10V X7R T&amp;R</t>
  </si>
  <si>
    <t>10-407552-55</t>
  </si>
  <si>
    <t>N71706154</t>
  </si>
  <si>
    <t>CONTACT PIN 22M  PCB SOLDER GOLD-PLT</t>
  </si>
  <si>
    <t>FFF007452</t>
  </si>
  <si>
    <t>AMPHENOL AEROSPACE</t>
  </si>
  <si>
    <t>12 WKS</t>
  </si>
  <si>
    <t>1008-820K-TR</t>
  </si>
  <si>
    <t>N29107174</t>
  </si>
  <si>
    <t>COIL FIXED .082UH 10% 25-Q 801MA .19</t>
  </si>
  <si>
    <t>AMERICA PRECISION IND. DELEVAN DIVI</t>
  </si>
  <si>
    <t>8 WKS</t>
  </si>
  <si>
    <t>בנארטק</t>
  </si>
  <si>
    <t>Yitzchak Ben-Ari</t>
  </si>
  <si>
    <t>benrtek@netvision.net.il</t>
  </si>
  <si>
    <t>02-6767888</t>
  </si>
  <si>
    <t>1008CS-182XJLC</t>
  </si>
  <si>
    <t>CHIP INDUCT 1.8UHY 5% T&amp;R</t>
  </si>
  <si>
    <t>1008CS-271XGLC</t>
  </si>
  <si>
    <t>CHIP INDUCT .27UHY 2% T&amp;R</t>
  </si>
  <si>
    <t>1008CS-472XJLC</t>
  </si>
  <si>
    <t>CHIP INDUCT 4.7UHY 5% T&amp;R</t>
  </si>
  <si>
    <t>1008R-102J-TR</t>
  </si>
  <si>
    <t>COIL FIXED 1UH 5% 35-Q 685MA .320-OH</t>
  </si>
  <si>
    <t>100A130FT150XTV</t>
  </si>
  <si>
    <t>CHIP CAP 13PF 1^ 150V PORCELAIN T&amp;R</t>
  </si>
  <si>
    <t>26WKS</t>
  </si>
  <si>
    <t>100A150FT150XTV</t>
  </si>
  <si>
    <t>CHIP CAP 15PF 1^ 150V PORCELAIN T&amp;R</t>
  </si>
  <si>
    <t>FFF004626</t>
  </si>
  <si>
    <t>100A160FT150XTV</t>
  </si>
  <si>
    <t>CHIP CAP 16PF 1^ 150V PORCELAIN T&amp;R</t>
  </si>
  <si>
    <t>100A270FT150XTV</t>
  </si>
  <si>
    <t>CHIP CAP 27PF 1^ 150V PORCELAIN T&amp;R</t>
  </si>
  <si>
    <t>100A390GT150XTV</t>
  </si>
  <si>
    <t>CHIP CAP 39PF 2^ 150V PORCELAIN T&amp;R</t>
  </si>
  <si>
    <t>100A4R3BT150XTV1K</t>
  </si>
  <si>
    <t>CHIP CAP 4.3PF 0.1PF 150V 1.4X1.4MM</t>
  </si>
  <si>
    <t>AVX KYOCERA LTD</t>
  </si>
  <si>
    <t>1206CS-561XGLC</t>
  </si>
  <si>
    <t>CHIP INDUCTOR 560NH 2% T&amp;R</t>
  </si>
  <si>
    <t>1022L208-001</t>
  </si>
  <si>
    <t>A</t>
  </si>
  <si>
    <t>SOCD FOR GPS CABLE</t>
  </si>
  <si>
    <t>EIM SYSTEMS &amp; COMPONENTS (1999) LTD</t>
  </si>
  <si>
    <t xml:space="preserve">אי.איי.אם מערכות ורכיבים </t>
  </si>
  <si>
    <t>Rachel Vanono</t>
  </si>
  <si>
    <t>rachel@eimsys.co.il</t>
  </si>
  <si>
    <t>054-5611203</t>
  </si>
  <si>
    <t>D38999/33W15N</t>
  </si>
  <si>
    <t>N71211759</t>
  </si>
  <si>
    <t>CONN CIRC DUST CAP RECPT 15-SHL ALUMINUM</t>
  </si>
  <si>
    <t>QPL</t>
  </si>
  <si>
    <t>AIR ELECTRO</t>
  </si>
  <si>
    <t>Yael Levinger</t>
  </si>
  <si>
    <t>Ylevinger@airelectro.com</t>
  </si>
  <si>
    <t>972-54-925-0060</t>
  </si>
  <si>
    <t>JCM2900T3400VM1RC</t>
  </si>
  <si>
    <t>CIRCULATOR SMT 2.9-3.4GHZ</t>
  </si>
  <si>
    <t>JQL  ELECTRONICS</t>
  </si>
  <si>
    <t>52 weeks</t>
  </si>
  <si>
    <t>ASCOTECH</t>
  </si>
  <si>
    <t>Doron Weizman</t>
  </si>
  <si>
    <t>doronw@asco.co.il</t>
  </si>
  <si>
    <t>03-6496891</t>
  </si>
  <si>
    <t>1094W522-002</t>
  </si>
  <si>
    <t>-</t>
  </si>
  <si>
    <t>PC BLANK MASTER DWG.CLL-639 Z2</t>
  </si>
  <si>
    <t>pc blank</t>
  </si>
  <si>
    <t>ASPOCOMP</t>
  </si>
  <si>
    <t xml:space="preserve">Hanni Pekka  </t>
  </si>
  <si>
    <t> Pekka.Hanni@aspocomp.com</t>
  </si>
  <si>
    <t>מעגלים מודפסים</t>
  </si>
  <si>
    <t>1022L985-001</t>
  </si>
  <si>
    <t>CABLE ASSY S/R W1</t>
  </si>
  <si>
    <t>BFE</t>
  </si>
  <si>
    <t>EC2216A/BGRAYKT2OZ</t>
  </si>
  <si>
    <t>ADHESIVE STRUCTURAL EPOXY BASE, TWO-PART</t>
  </si>
  <si>
    <t>FFF016822</t>
  </si>
  <si>
    <t>AR</t>
  </si>
  <si>
    <t>A/R</t>
  </si>
  <si>
    <t>3M</t>
  </si>
  <si>
    <t>BOEING</t>
  </si>
  <si>
    <t>Ben</t>
  </si>
  <si>
    <t>customer731service@boeing.com</t>
  </si>
  <si>
    <t>3M COMPANY</t>
  </si>
  <si>
    <t>1093H504-001</t>
  </si>
  <si>
    <t>D00758469</t>
  </si>
  <si>
    <t>SPECIFICATION FOR  MULTI LAYAR BAND PASS FILTER 3050-3500 MHZ</t>
  </si>
  <si>
    <t xml:space="preserve">doronw@asco.co.il </t>
  </si>
  <si>
    <t>LOCTITE222-50CC</t>
  </si>
  <si>
    <t>BUY2</t>
  </si>
  <si>
    <t>SEALING LOCKING ANAEROBIC COMPOUND, SING</t>
  </si>
  <si>
    <t>FFF016923</t>
  </si>
  <si>
    <t>HENKEL CORPORATION AEROSPACE GROUP</t>
  </si>
  <si>
    <t>HELENE</t>
  </si>
  <si>
    <t>helene.chantriaux@boeing.com</t>
  </si>
  <si>
    <t>RTV167-2.8FL/OZ</t>
  </si>
  <si>
    <t>SEALANT SILICONE RUBBER ADHESIVE PAS</t>
  </si>
  <si>
    <t>MOMENTIV PERFORMENCE MATERIALS QUAR</t>
  </si>
  <si>
    <t>1094W509-002</t>
  </si>
  <si>
    <t>MFE NAMEPLATE</t>
  </si>
  <si>
    <t>ACKERMAN</t>
  </si>
  <si>
    <t>Ori Ackerman</t>
  </si>
  <si>
    <t>ori@ackerman-printing.com</t>
  </si>
  <si>
    <t>972-4-82220888 . Ext.7</t>
  </si>
  <si>
    <t>photo metal</t>
  </si>
  <si>
    <t>1094W513-001</t>
  </si>
  <si>
    <t>CABLE W3</t>
  </si>
  <si>
    <t>cables</t>
  </si>
  <si>
    <t>EIM</t>
  </si>
  <si>
    <t>Rachel Vanunu</t>
  </si>
  <si>
    <t>כבלים</t>
  </si>
  <si>
    <t>1094W514-001</t>
  </si>
  <si>
    <t>CABLE W4</t>
  </si>
  <si>
    <t>1094W515-001</t>
  </si>
  <si>
    <t>CABLE W5</t>
  </si>
  <si>
    <t>1094W516-001</t>
  </si>
  <si>
    <t>CABLE W6</t>
  </si>
  <si>
    <t>1094W517-001</t>
  </si>
  <si>
    <t>CABLE W7</t>
  </si>
  <si>
    <t>D38999/24WG35PN</t>
  </si>
  <si>
    <t>N70300934</t>
  </si>
  <si>
    <t>CONNECTOR,ELECTRIC,CIRCULAR,79 CONTACTS</t>
  </si>
  <si>
    <t>ELECTRO ENTERPRISES</t>
  </si>
  <si>
    <t>Sarit Talmi</t>
  </si>
  <si>
    <t>sarit@electro-ny.com</t>
  </si>
  <si>
    <t>052-4541141</t>
  </si>
  <si>
    <t>ADEX-10L+</t>
  </si>
  <si>
    <t>MIXER RF 10-1000MHZ 50MW SMT</t>
  </si>
  <si>
    <t>MINI-CIRCUITS LABORATORY</t>
  </si>
  <si>
    <t>Francine Rousso</t>
  </si>
  <si>
    <t>rep@mcdi-ltd.com</t>
  </si>
  <si>
    <t>077-5407085</t>
  </si>
  <si>
    <t>ADT1-1WT+</t>
  </si>
  <si>
    <t>TRANSFORMER, RF 0.4-800MHZ</t>
  </si>
  <si>
    <t>LFCN-1325+</t>
  </si>
  <si>
    <t>CHIP CERAMIC LOW PASS FILTER  DC-1325MHZ</t>
  </si>
  <si>
    <t>LFCN-225+</t>
  </si>
  <si>
    <t>CHIP CERAMIC LOW PASS FILTER  DC-225MHZ</t>
  </si>
  <si>
    <t>LFCN-630+TR</t>
  </si>
  <si>
    <t>CHIP CERAMIC L.PASS FILTER DC-630MHZ T&amp;R</t>
  </si>
  <si>
    <t>LFCN-900+</t>
  </si>
  <si>
    <t>CHIP CERAMIC LOW PASS FILTER  DC-850MHZ</t>
  </si>
  <si>
    <t>PHA-1+</t>
  </si>
  <si>
    <t>MONOLITHIC AMPLIFIER 0.05 TO 6 GHZ</t>
  </si>
  <si>
    <t>SCN-2-27+TR</t>
  </si>
  <si>
    <t>CHIP P. SPLITTER 2-WAY 2225-2700MHZ T&amp;R</t>
  </si>
  <si>
    <t>SCN-2-35+</t>
  </si>
  <si>
    <t>CHIP POWER SPLITTER 2-WAY 2.825-3.7GHZ</t>
  </si>
  <si>
    <t>293D106X9010A2TE3</t>
  </si>
  <si>
    <t>CHIP CAP 10UF 10% 10V TANTAL T&amp;R</t>
  </si>
  <si>
    <t>VISHAY SPRAGUE</t>
  </si>
  <si>
    <t>אקומל</t>
  </si>
  <si>
    <t xml:space="preserve">Polina Rashkovsky </t>
  </si>
  <si>
    <t>polina.rashkovsky@vishay.com</t>
  </si>
  <si>
    <t>054-3000151</t>
  </si>
  <si>
    <t>VISHAY</t>
  </si>
  <si>
    <t>293D107X9010D2TE3</t>
  </si>
  <si>
    <t>CHIP CAP 100UF 10% 10V TANTAL T&amp;R</t>
  </si>
  <si>
    <t>SYM-30DLHW+</t>
  </si>
  <si>
    <t>FREQ. MIXER 5-3000MHZ  SMT</t>
  </si>
  <si>
    <t>TC1-1T+</t>
  </si>
  <si>
    <t>TRANSFORMER  0.4-500MHZ 0.25W</t>
  </si>
  <si>
    <t>EP4SGX530KH40I3P‏</t>
  </si>
  <si>
    <t>STRATIX IV GX FPGA</t>
  </si>
  <si>
    <t>293D476X0010B2TE3</t>
  </si>
  <si>
    <t>CHIP CAP 47UF 20% 10V TANTAL T&amp;R</t>
  </si>
  <si>
    <t>VISHAY EUROPE SALE GMBH</t>
  </si>
  <si>
    <t>293D686X9020D2TE3</t>
  </si>
  <si>
    <t>CHIP CAP 68UF 10^ 20V TANTAL T&amp;R</t>
  </si>
  <si>
    <t>3510-2214-348</t>
  </si>
  <si>
    <t>N64854987</t>
  </si>
  <si>
    <t>CONTACT SOCKET 22  SOLDER GOLD-PLT C</t>
  </si>
  <si>
    <t>AEROTRONICS MARKETING INC.</t>
  </si>
  <si>
    <t>8-10WKS</t>
  </si>
  <si>
    <t>401-55501-51</t>
  </si>
  <si>
    <t>CONN RECT COM-EXPRESS 440PIN PCB SMT 8MM</t>
  </si>
  <si>
    <t>EPT</t>
  </si>
  <si>
    <t>14-16 WKS</t>
  </si>
  <si>
    <t>700A121JT150XTV</t>
  </si>
  <si>
    <t>CHIP CAP 120PF 5^ 150VOLT 55X55 NPO</t>
  </si>
  <si>
    <t>N76300516</t>
  </si>
  <si>
    <t>WIRE SOLID. BUS BAR 22AWG COPPER TIN</t>
  </si>
  <si>
    <t>FFF008318</t>
  </si>
  <si>
    <t>M</t>
  </si>
  <si>
    <t>ALPHA WIRE COMPANY</t>
  </si>
  <si>
    <t>2 WKS</t>
  </si>
  <si>
    <t>מייקטלוג</t>
  </si>
  <si>
    <t>Dudi Albas</t>
  </si>
  <si>
    <t>dudi@mouser-israel.com</t>
  </si>
  <si>
    <t>054-6554003</t>
  </si>
  <si>
    <t>700A131FW150XTV</t>
  </si>
  <si>
    <t>CHIP CAP 130PF 1^ 150V NPO</t>
  </si>
  <si>
    <t>700A151FT150XTV</t>
  </si>
  <si>
    <t>CHIP CAP 150PF 1^ 50V NP0 T&amp;R</t>
  </si>
  <si>
    <t>700A331JT150XTV</t>
  </si>
  <si>
    <t>CHIP CAP 330PF 5^ 50VOLT 55X55 NPO N</t>
  </si>
  <si>
    <t>594D107X0025R2T</t>
  </si>
  <si>
    <t>CHIP CAP 100UF 20% 25VOLT 283X235 T&amp;R</t>
  </si>
  <si>
    <t>16 WKS</t>
  </si>
  <si>
    <t>POLINA.RASHKOVSKY@VISHAY.COM</t>
  </si>
  <si>
    <t>594D337X9016R2T</t>
  </si>
  <si>
    <t>CHIP CAP 330UF 10% 16V TANTALUM T&amp;R</t>
  </si>
  <si>
    <t>74LVT125PW.118</t>
  </si>
  <si>
    <t>IC QUAD BUFFER 3.3V T&amp;R</t>
  </si>
  <si>
    <t>NEXPERIA</t>
  </si>
  <si>
    <t>EUR</t>
  </si>
  <si>
    <t>10 WKS</t>
  </si>
  <si>
    <t>EBV</t>
  </si>
  <si>
    <t>Riki Ben Yoram</t>
  </si>
  <si>
    <t>riki.ben-yoram@ebv.com</t>
  </si>
  <si>
    <t>09-7780253</t>
  </si>
  <si>
    <t>65SMA-50-0-25/11-YE</t>
  </si>
  <si>
    <t>BUY3</t>
  </si>
  <si>
    <t>STANDARD RF TERMINATION LOW POWER</t>
  </si>
  <si>
    <t>HUBER+SUHNER AG HERISAU</t>
  </si>
  <si>
    <t>CHF</t>
  </si>
  <si>
    <t>10-12 WKS</t>
  </si>
  <si>
    <t xml:space="preserve">קבוצת סידב </t>
  </si>
  <si>
    <t>Liz Nesher</t>
  </si>
  <si>
    <t>liz@cidev.co.il</t>
  </si>
  <si>
    <t>052-2598030</t>
  </si>
  <si>
    <t>6930B622-001</t>
  </si>
  <si>
    <t>PC BLANK MASTER DWG. MBD-1 Z1</t>
  </si>
  <si>
    <t>82MMCX-50-0-1/111NE</t>
  </si>
  <si>
    <t>N65789877</t>
  </si>
  <si>
    <t>CONN RF MMCX JACK T/H PCB</t>
  </si>
  <si>
    <t>9DBL0443ANLGI</t>
  </si>
  <si>
    <t>IC 4-OUT DIFF ZD-BUFF PCIE G5 VFQFN32</t>
  </si>
  <si>
    <t>RENESAS ELECTRONICS</t>
  </si>
  <si>
    <t>19 WKS</t>
  </si>
  <si>
    <t>AVNET</t>
  </si>
  <si>
    <t>Pazit Richman</t>
  </si>
  <si>
    <t>pazit.richman@avnet.eu</t>
  </si>
  <si>
    <t>09-7780280</t>
  </si>
  <si>
    <t>AD5623RBRMZ-5</t>
  </si>
  <si>
    <t>IC DUAL 12 BIT DAC</t>
  </si>
  <si>
    <t>ANALOG DEVICES</t>
  </si>
  <si>
    <t>13WKS</t>
  </si>
  <si>
    <t>Yael Chaki</t>
  </si>
  <si>
    <t>yael.chaki@analog.com</t>
  </si>
  <si>
    <t>054-6370176</t>
  </si>
  <si>
    <t>AD780BRZ-REEL7</t>
  </si>
  <si>
    <t>IC LINEAR  REFERENCE VOLTAGE 2.5V T&amp;R</t>
  </si>
  <si>
    <t>7WKS</t>
  </si>
  <si>
    <t>AD7928BRUZ-REEL7</t>
  </si>
  <si>
    <t>IC ADC 12-BIT 8 CHANNEL T&amp;R</t>
  </si>
  <si>
    <t>AD823ARZ-R7</t>
  </si>
  <si>
    <t>DUAL, 16 MHZ, RAIL-TO-RAIL AMPLIFIER T&amp;R</t>
  </si>
  <si>
    <t>AD829ARZ</t>
  </si>
  <si>
    <t>IC LINEAR  VIDEO OP AMP</t>
  </si>
  <si>
    <t>AD8317ACPZR2</t>
  </si>
  <si>
    <t>IC LOG. DET./CONTR. 1MHZ-10GHZ 55DB T&amp;R</t>
  </si>
  <si>
    <t>ADA4932-1YCPZ-R2</t>
  </si>
  <si>
    <t>IC DIFFERENTIAL ADC DRIVER T&amp;R</t>
  </si>
  <si>
    <t>ADP-2-4+</t>
  </si>
  <si>
    <t>POWER DIVIDER 2-WAY 10-1000MHZ</t>
  </si>
  <si>
    <t>ADF4157BCPZ</t>
  </si>
  <si>
    <t>IC FREQUENCY SYNTHESIZER</t>
  </si>
  <si>
    <t>ADG918BCPZ-500RL7</t>
  </si>
  <si>
    <t>IC ANALOG SPDT/MUX 4GHZ T&amp;R</t>
  </si>
  <si>
    <t>ADM708SARZ</t>
  </si>
  <si>
    <t>IC MICROPROCESSOR SUPERVISORY CIRCUI</t>
  </si>
  <si>
    <t>19S11E-400L5</t>
  </si>
  <si>
    <t>CONN RF SMP STRT PLUG,50OHMS,DC TO 18GH</t>
  </si>
  <si>
    <t>ROSENBERGER</t>
  </si>
  <si>
    <t>MTI</t>
  </si>
  <si>
    <t>Niv Kalaf</t>
  </si>
  <si>
    <t>nivk@mtisummit.co.il</t>
  </si>
  <si>
    <t>054-4902518</t>
  </si>
  <si>
    <t>AM26LV31ESDREP</t>
  </si>
  <si>
    <t>IC QUAD LINE DRIVER T&amp;R</t>
  </si>
  <si>
    <t>TEXAS INSTRUMENTS INC</t>
  </si>
  <si>
    <t>6 WKS</t>
  </si>
  <si>
    <t>TEXAS INSTRUMENTS</t>
  </si>
  <si>
    <t>Roei</t>
  </si>
  <si>
    <t>roy_rehavi@ti.com</t>
  </si>
  <si>
    <t>050-853-3855</t>
  </si>
  <si>
    <t>AM26LV32EMDREP</t>
  </si>
  <si>
    <t>IC QUAD DIFFERENTIAL LINE RECEIVER T&amp;R</t>
  </si>
  <si>
    <t>AT24C16D-XHM-T</t>
  </si>
  <si>
    <t>IC MEMORY SERIAL EEPROM 16K (2048X8) T&amp;R</t>
  </si>
  <si>
    <t>MICROCHIP TECHNOLOGY INC</t>
  </si>
  <si>
    <t>אס.טי.ג'י.אינטרנשיונל בע"מ</t>
  </si>
  <si>
    <t>Sigal Harush</t>
  </si>
  <si>
    <t>sigal@stggroup.co.il</t>
  </si>
  <si>
    <t>052-8996305</t>
  </si>
  <si>
    <t>AT24CM01-XHM-B</t>
  </si>
  <si>
    <t>IC EEPROM 128KX8</t>
  </si>
  <si>
    <t>ATC100A100JW150XTV</t>
  </si>
  <si>
    <t>CHIP CAP 10PF 5^ 150VOLT 55X55 PORCE</t>
  </si>
  <si>
    <t>35WKS</t>
  </si>
  <si>
    <t>BAT54WS-E3-08</t>
  </si>
  <si>
    <t>DIODE SCHOTTKY  30V 200MA T&amp;R</t>
  </si>
  <si>
    <t>VISHAY DALE ELECTRONICS</t>
  </si>
  <si>
    <t>BLM15AG601SN1D</t>
  </si>
  <si>
    <t>CHIP FERRITE BEAD EMI FILTER 600-OHM T&amp;R</t>
  </si>
  <si>
    <t>MURATA MANUFACTURING CO. LTD</t>
  </si>
  <si>
    <t>BLM15EG121SN1D</t>
  </si>
  <si>
    <t>CHIP FERRITE BEAD EMI FILTER 120-OHM T&amp;R</t>
  </si>
  <si>
    <t>12-15WKS</t>
  </si>
  <si>
    <t>BLM15EG221SN1D</t>
  </si>
  <si>
    <t>CHIP FERRITE BEAD EMI FILTER 220-OHM T&amp;R</t>
  </si>
  <si>
    <t>BLM18EG221SN1D</t>
  </si>
  <si>
    <t>CHIP EMI FIL. INDUCTOR TYPE 220-OHM T&amp;R</t>
  </si>
  <si>
    <t>BLM18EG601SN1D</t>
  </si>
  <si>
    <t>CHIP FERRITE BEAD EMI-FILTER 600-OHM</t>
  </si>
  <si>
    <t>MURATA ERIE NORTH AMERICA INC.</t>
  </si>
  <si>
    <t>BLM18SG260TN1D</t>
  </si>
  <si>
    <t>CHIP EMIFIL INDUCTOR 26-OHM T&amp;R</t>
  </si>
  <si>
    <t>BLM31PG500SN1L</t>
  </si>
  <si>
    <t>N62786405</t>
  </si>
  <si>
    <t>CHIP FILTER EMI 50-OHM 3.2X1.6MM  T&amp;</t>
  </si>
  <si>
    <t>C0402C100C5GAC7867</t>
  </si>
  <si>
    <t>CHIP CAP 10PF +-0.25PF 50V C0G T&amp;R</t>
  </si>
  <si>
    <t>KEMET ELECTRONICS S A</t>
  </si>
  <si>
    <t>ניסקו פרויקטים</t>
  </si>
  <si>
    <t>Danieka Pinhas</t>
  </si>
  <si>
    <t>daniela@nisko.co.il</t>
  </si>
  <si>
    <t>03-7657300</t>
  </si>
  <si>
    <t>C0402C101J3GACTU</t>
  </si>
  <si>
    <t>CHIP CAP 100PF 5^ 25V C0G T&amp;R</t>
  </si>
  <si>
    <t>C0402C102K5RAC7867</t>
  </si>
  <si>
    <t>CHIP CAP 1000PF 10% 50VOLT X7R T&amp;R</t>
  </si>
  <si>
    <t>C0402C103K3RAC7867</t>
  </si>
  <si>
    <t>CHIP CAP 0.01UF 10^ 25V X7R T&amp;R</t>
  </si>
  <si>
    <t>C0402C279C5GAC7867</t>
  </si>
  <si>
    <t>CHIP CAP 2.7PF +-0.25PF 50V C0G T&amp;R</t>
  </si>
  <si>
    <t>BAS3010A-03WE6327HTSA1</t>
  </si>
  <si>
    <t>DIODE SCHOTTKY 1A 30V T&amp;R</t>
  </si>
  <si>
    <t>INFINEON TECHNOLOGIES AG</t>
  </si>
  <si>
    <t>ארו.רפק</t>
  </si>
  <si>
    <t>ALON SAGIV</t>
  </si>
  <si>
    <t>alon.sagiv@arrow.com</t>
  </si>
  <si>
    <t>053-7704117</t>
  </si>
  <si>
    <t>C0402C360G5GAC7867</t>
  </si>
  <si>
    <t>CHIP CAP 36PF 2% 50V C0G T&amp;R</t>
  </si>
  <si>
    <t>12-16WKS</t>
  </si>
  <si>
    <t>C0402C473K3RACTU</t>
  </si>
  <si>
    <t>CHIP CAP 0.047UF 10% 25V X7R T&amp;R</t>
  </si>
  <si>
    <t>C0402C560J5GACTU</t>
  </si>
  <si>
    <t>CHIP CAP 56PF 5^ 50V C0G T&amp;R</t>
  </si>
  <si>
    <t>C0603C103K5RAC7867</t>
  </si>
  <si>
    <t>CHIP CAP .01UF 10% 50VOLT  X7R T&amp;R</t>
  </si>
  <si>
    <t>FFF004706</t>
  </si>
  <si>
    <t>C0603C104K5RAC7867</t>
  </si>
  <si>
    <t>CHIP CAP 0.1UF 10% 50V X7R T&amp;R</t>
  </si>
  <si>
    <t>C0603C122K5RACTU</t>
  </si>
  <si>
    <t>CHIP CAP 1200PF 10% 50V X7R T&amp;R</t>
  </si>
  <si>
    <t>C0603C181K5RACTU</t>
  </si>
  <si>
    <t>CHIP CAP 180PF 10% 50V X7R T&amp;R</t>
  </si>
  <si>
    <t>C0603C220G5GALTU</t>
  </si>
  <si>
    <t>CHIP CAP 22PF 2% 50V C0G T&amp;R</t>
  </si>
  <si>
    <t>C0603C221K5RAC7867</t>
  </si>
  <si>
    <t>CHIP CAP 220PF 10% 50V X7R TR</t>
  </si>
  <si>
    <t>C0603C561K5RACTU</t>
  </si>
  <si>
    <t>CHIP CAP 560PF 10% 50V X7R T&amp;R</t>
  </si>
  <si>
    <t>C0805C183K5RALTM</t>
  </si>
  <si>
    <t>CHIP CAP .018UF 10% 50V X7R T&amp;R</t>
  </si>
  <si>
    <t>C0805C225K4RAC7800</t>
  </si>
  <si>
    <t>CHIP CAP 2.2UF 10% 16V X7R T_R</t>
  </si>
  <si>
    <t>C0805C475K4RAC7025</t>
  </si>
  <si>
    <t>CHIP CAP 4.7UF 10% 16V X7R T&amp;R</t>
  </si>
  <si>
    <t>C1005X7R1H104K050BB</t>
  </si>
  <si>
    <t>CHIP CAP 0.1UF 10^ 50V X7R T&amp;R</t>
  </si>
  <si>
    <t>TDK ELECTRONICS CO. LTD.</t>
  </si>
  <si>
    <t>52 WKS</t>
  </si>
  <si>
    <t>C1005X7S1A105K050BC</t>
  </si>
  <si>
    <t>CHIP CAP 1UF 10% 10V X7S T&amp;R</t>
  </si>
  <si>
    <t>C1206C224K5RAC7800</t>
  </si>
  <si>
    <t>CHIP CAP .22UF 10% 50VOLT T&amp;R</t>
  </si>
  <si>
    <t>FFF004721</t>
  </si>
  <si>
    <t>16-18WKS</t>
  </si>
  <si>
    <t>C0603C103K4RACTU</t>
  </si>
  <si>
    <t>CAP CHIP 0.01UF 10^ 16V 0603 X7R T&amp;R</t>
  </si>
  <si>
    <t>C1210C106K5RACTU</t>
  </si>
  <si>
    <t>CHIP CAP 10UF 10^ 50V X7R T&amp;R</t>
  </si>
  <si>
    <t>C4532X7R1E226M250KC</t>
  </si>
  <si>
    <t>CHIP CAP 22UF 20% 25V X7R T&amp;R</t>
  </si>
  <si>
    <t>C0603C105K3RACTU</t>
  </si>
  <si>
    <t>CHIP CAP 1UF 10% 25V X7R T&amp;R</t>
  </si>
  <si>
    <t>CC0603GRNPO9BN121</t>
  </si>
  <si>
    <t>CHIP CAP 120PF 2^ 50V C0G T&amp;R</t>
  </si>
  <si>
    <t>YAGEO CORPORATION</t>
  </si>
  <si>
    <t>SAMSUNG</t>
  </si>
  <si>
    <t>CL05B104KP5NNNC</t>
  </si>
  <si>
    <t>CHIP CAP 0.1UF 10% 10V X7R T&amp;R</t>
  </si>
  <si>
    <t>CL05C010BB5NNNC</t>
  </si>
  <si>
    <t>CHIP CAP 1PF +-0.25PF 50V C0G T&amp;R</t>
  </si>
  <si>
    <t>CL10B104KA8NNNC</t>
  </si>
  <si>
    <t>CHIP CAP .1UF 10^ 25V X7R T&amp;R</t>
  </si>
  <si>
    <t>CL10B104KO8NNNC</t>
  </si>
  <si>
    <t>CHIP CAP .1UF 10% 16V X7R T&amp;R</t>
  </si>
  <si>
    <t>FFF004739</t>
  </si>
  <si>
    <t>C0603C569D5GACTU</t>
  </si>
  <si>
    <t>CHIP CAP 5.6PF +-0.5PF 50V C0G T&amp;R</t>
  </si>
  <si>
    <t>C0805C105K3RAL7025</t>
  </si>
  <si>
    <t>CL10B105KO8NNNC</t>
  </si>
  <si>
    <t>CHIP CAP 1UF 10% 16V X7R T&amp;R</t>
  </si>
  <si>
    <t>CL10B332KB8NNNC</t>
  </si>
  <si>
    <t>CHIP CAP 3300PF 10^ 50V X7R T&amp;R</t>
  </si>
  <si>
    <t>CL10C150GB8NNNC</t>
  </si>
  <si>
    <t>CHIP CAP 15PF 2% 50V C0G T&amp;R</t>
  </si>
  <si>
    <t>C10-218</t>
  </si>
  <si>
    <t>CABLE ASSY,CAP END,CABLE 3X7,.032IN DIA</t>
  </si>
  <si>
    <t>.DANIELS MANUFACTURING CORP</t>
  </si>
  <si>
    <t>3-4 weeks</t>
  </si>
  <si>
    <t>KAYTECH</t>
  </si>
  <si>
    <t>Adam Chayon</t>
  </si>
  <si>
    <t>adam@kaytech</t>
  </si>
  <si>
    <t>1.646.379.1129</t>
  </si>
  <si>
    <t>CL10C470GB8NNNC</t>
  </si>
  <si>
    <t>CHIP CAP 47PF 2 PER. 50V COG TR</t>
  </si>
  <si>
    <t>CL10C680GB8NNNC</t>
  </si>
  <si>
    <t>CHIP CAP 68PF 2% 50V C0G T&amp;R</t>
  </si>
  <si>
    <t>CL31B106KOHNNNE</t>
  </si>
  <si>
    <t>CHIP CAP 10UF 10^ 16V X7R T&amp;R</t>
  </si>
  <si>
    <t>CLP-104-02-L-D-BE-TR</t>
  </si>
  <si>
    <t>CONN RECT RECEPTACLE</t>
  </si>
  <si>
    <t>SAMTEC</t>
  </si>
  <si>
    <t>Yifat leberman</t>
  </si>
  <si>
    <t>yifat.leberman@samtec.com</t>
  </si>
  <si>
    <t>972-37526600</t>
  </si>
  <si>
    <t>CP0402A4500CLTR</t>
  </si>
  <si>
    <t>N62717863</t>
  </si>
  <si>
    <t>CHIP DIRECTIONAL COUPLER 4500MHZ  40</t>
  </si>
  <si>
    <t>CR0603-FX-9090-ELF</t>
  </si>
  <si>
    <t>CHIP RESIS 909 OHM 1% .1W T&amp;R</t>
  </si>
  <si>
    <t>FFF004074</t>
  </si>
  <si>
    <t>BOURNS INSTRUMENTS INC.</t>
  </si>
  <si>
    <t>בורן טכנולוגיות</t>
  </si>
  <si>
    <t>Amir Menachem</t>
  </si>
  <si>
    <t>amir@boran.co.il</t>
  </si>
  <si>
    <t>050-52290167</t>
  </si>
  <si>
    <t>CR0603-J/-6R2-ELF</t>
  </si>
  <si>
    <t>CHIP RESIS 6.2 OHM 1% .1W T&amp;R</t>
  </si>
  <si>
    <t>FFF003919</t>
  </si>
  <si>
    <t>CRCW04020000ZSED</t>
  </si>
  <si>
    <t>CHIP RESIS 0 OHM 0% .063W T&amp;R</t>
  </si>
  <si>
    <t>VISHAY RESISTIVE SYSTEMS</t>
  </si>
  <si>
    <t>CL05C4R7CB5NNNC</t>
  </si>
  <si>
    <t>CHIP CAP 4.7PF 10^ 50V C0G T&amp;R</t>
  </si>
  <si>
    <t>CL10B102KB8NNNC</t>
  </si>
  <si>
    <t>CHIP CAP 1000PF 10^ 50V X7R T&amp;R</t>
  </si>
  <si>
    <t>FFF004720</t>
  </si>
  <si>
    <t>CRCW0402100KFKED</t>
  </si>
  <si>
    <t>CHIP RESIS 100 KOHM 1%  T&amp;R</t>
  </si>
  <si>
    <t>CRCW0402100RFKED</t>
  </si>
  <si>
    <t>CHIP RESIS 100 OHM 1%  T&amp;R</t>
  </si>
  <si>
    <t>CRCW040210K0FKED</t>
  </si>
  <si>
    <t>CHIP RESIS 10 KOHM 1%  T&amp;R</t>
  </si>
  <si>
    <t>FFF004487</t>
  </si>
  <si>
    <t>CRCW040210R0FKED</t>
  </si>
  <si>
    <t>CHIP RESIS 10 OHM 1% T&amp;R</t>
  </si>
  <si>
    <t>FFF004453</t>
  </si>
  <si>
    <t>CL10C101GB8NNNC</t>
  </si>
  <si>
    <t>CHIP CAP 100PF 2% 50V C0G T&amp;R</t>
  </si>
  <si>
    <t>FFF004719</t>
  </si>
  <si>
    <t>CRCW040212R1FKED</t>
  </si>
  <si>
    <t>CHIP RESIS 12.1 OHM 1% .063W T&amp;R</t>
  </si>
  <si>
    <t>CRCW0402130RFKED</t>
  </si>
  <si>
    <t>CHIP RESIS 130 OHM 1% .063W T&amp;R</t>
  </si>
  <si>
    <t>CRCW0402178RFKED</t>
  </si>
  <si>
    <t>CHIP RESIS 178 OHM 1^ .063W T&amp;R</t>
  </si>
  <si>
    <t>CRCW040217R8FKED</t>
  </si>
  <si>
    <t>CHIP RESIS 17.8 OHM 1% .063W T&amp;R</t>
  </si>
  <si>
    <t>CRCW04021K00FKED</t>
  </si>
  <si>
    <t>CHIP RESIS 1 KOHM 1% T&amp;R</t>
  </si>
  <si>
    <t>FFF004408</t>
  </si>
  <si>
    <t>CRCW04021K21FKED</t>
  </si>
  <si>
    <t>CHIP RESIS 1.21KOHM 1% .063W T&amp;R</t>
  </si>
  <si>
    <t>CRCW0402200RFKED</t>
  </si>
  <si>
    <t>CHIP RESIS 200 OHM 1% T&amp;R</t>
  </si>
  <si>
    <t>CRCW0402221RFKED</t>
  </si>
  <si>
    <t>CHIP RESIS 221 OHM 1% .063W TR</t>
  </si>
  <si>
    <t>CRCW040222R1FKED</t>
  </si>
  <si>
    <t>CHIP RESIS 22.1 OHM 1^ 0.063W T&amp;R L-F</t>
  </si>
  <si>
    <t>FFF004384</t>
  </si>
  <si>
    <t>CRCW0402243RFKED</t>
  </si>
  <si>
    <t>CHIP RESIS 243 OHM 1% .063W T&amp;R</t>
  </si>
  <si>
    <t>CRCW040224R3FKED</t>
  </si>
  <si>
    <t>CHIP RESIS 24.3 OHM 1% .063W T&amp;R</t>
  </si>
  <si>
    <t>CRCW0402294RFKED</t>
  </si>
  <si>
    <t>CHIP RESIS 294 OHM 1% .063W T&amp;R</t>
  </si>
  <si>
    <t>CRCW04022K00FKED</t>
  </si>
  <si>
    <t>CHIP RESIS 2 KOHM 1%  PB-FREE T&amp;R</t>
  </si>
  <si>
    <t>CRCW040230R1FKED</t>
  </si>
  <si>
    <t>CHIP RESIS 30.1 OHM 1% .063W T&amp;R</t>
  </si>
  <si>
    <t>CRCW0402332RFKED</t>
  </si>
  <si>
    <t>CHIP RESIS 332 OHM 1% PB-FREE T&amp;R</t>
  </si>
  <si>
    <t>CRCW040233R2FKED</t>
  </si>
  <si>
    <t>CHIP RESIS 33.2 OHM 1% .063W T/R</t>
  </si>
  <si>
    <t>CRCW04023K01FKED</t>
  </si>
  <si>
    <t>CHIP RESIS 3.01KOHM 1% .063W T&amp;R</t>
  </si>
  <si>
    <t>CRCW0402432RFKED</t>
  </si>
  <si>
    <t>CHIP RESIS 432 OHM 1% .1W T&amp;R</t>
  </si>
  <si>
    <t>CRCW0402499RFKED</t>
  </si>
  <si>
    <t>CHIP RESIS 499 OHM 1% PB-FREE T&amp;R</t>
  </si>
  <si>
    <t>CRCW040249R9FKED</t>
  </si>
  <si>
    <t>CHIP RESIS 49.9 OHM 1% PB-FREE T&amp;R</t>
  </si>
  <si>
    <t>CRCW04024K32FKED</t>
  </si>
  <si>
    <t>CHIP RESIS 4.32KOHM 1^ .063W T&amp;R</t>
  </si>
  <si>
    <t>CRCW04024K75FKED</t>
  </si>
  <si>
    <t>CHIP RESISTOR 4.75KOHM 1% 0.063W T&amp;R L-F</t>
  </si>
  <si>
    <t>CRCW04024K99FKED</t>
  </si>
  <si>
    <t>CHIP RESIS 4.99 KOHM 1% PB-FREE T&amp;R</t>
  </si>
  <si>
    <t>CRCW040275R0FKED</t>
  </si>
  <si>
    <t>CHIP RESIS 75 OHM 1% .063W T&amp;R</t>
  </si>
  <si>
    <t>CRCW040282R5FKED</t>
  </si>
  <si>
    <t>CHIP RESIS 82.5 OHM 1% .063W T&amp;R</t>
  </si>
  <si>
    <t>CRCW040290R9FKED</t>
  </si>
  <si>
    <t>CHIP RESIS 90.9 OHM 1% .063W T&amp;R</t>
  </si>
  <si>
    <t>VISHAY ROEDERSTEIN GMBH</t>
  </si>
  <si>
    <t>CRCW06030000Z0EA</t>
  </si>
  <si>
    <t>CHIP JUMPER 1.55X0.85MM T&amp;R</t>
  </si>
  <si>
    <t>FFF004838</t>
  </si>
  <si>
    <t>CRCW0603100KFKEA</t>
  </si>
  <si>
    <t>CHIP RESIS 100KOHM 1% .1W T&amp;R</t>
  </si>
  <si>
    <t>FFF004188</t>
  </si>
  <si>
    <t>CRCW0603100RFKEA</t>
  </si>
  <si>
    <t>CHIP RESIS 100 OHM 1% .1W T&amp;R</t>
  </si>
  <si>
    <t>FFF004251</t>
  </si>
  <si>
    <t>CRCW060310K0FKEA</t>
  </si>
  <si>
    <t>CHIP RESIS 10KOHM 1% .1W T&amp;R</t>
  </si>
  <si>
    <t>FFF003821</t>
  </si>
  <si>
    <t>CRCW0603137RFKEA</t>
  </si>
  <si>
    <t>CHIP RESIS 137 OHM 1^ .1W T&amp;R</t>
  </si>
  <si>
    <t>FFF004120</t>
  </si>
  <si>
    <t>CRCW0603150RFKEA</t>
  </si>
  <si>
    <t>CHIP RESIS 150 OHM 1% .1W T&amp;R</t>
  </si>
  <si>
    <t>FFF004268</t>
  </si>
  <si>
    <t>CRCW06031K00FKEA</t>
  </si>
  <si>
    <t>CHIP RESIS 1KOHM 1% .1W T&amp;R</t>
  </si>
  <si>
    <t>FFF004310</t>
  </si>
  <si>
    <t>CRCW06031K21FKEA</t>
  </si>
  <si>
    <t>CHIP RESIS 1.21KOHM 1% .1W T&amp;R</t>
  </si>
  <si>
    <t>FFF004029</t>
  </si>
  <si>
    <t>CRCW06031K30FKEA</t>
  </si>
  <si>
    <t>CHIP RESIS 1.3KOHM 1^ .1W T&amp;R</t>
  </si>
  <si>
    <t>FFF004388</t>
  </si>
  <si>
    <t>CRCW06031K40FKEA</t>
  </si>
  <si>
    <t>CHIP RESIS 1.4KOHM 1% .1W T&amp;R</t>
  </si>
  <si>
    <t>FFF004411</t>
  </si>
  <si>
    <t>CRCW06031K82FKEA</t>
  </si>
  <si>
    <t>CHIP RESIS 1.82KOHM 1^ .1W T&amp;R</t>
  </si>
  <si>
    <t>FFF004359</t>
  </si>
  <si>
    <t>CRCW0603200RFKEA</t>
  </si>
  <si>
    <t>CHIP RESIS 200 OHM 1% PB-FREE T&amp;R</t>
  </si>
  <si>
    <t>FFF004222</t>
  </si>
  <si>
    <t>CRCW060320R0FKEA</t>
  </si>
  <si>
    <t>CHIP RESIS 20 OHM 1% .1W T&amp;R</t>
  </si>
  <si>
    <t>FFF004282</t>
  </si>
  <si>
    <t>CRCW0603221RFKEA</t>
  </si>
  <si>
    <t>CHIP RESIS 221 OHM 1% .1W T&amp;R</t>
  </si>
  <si>
    <t>FFF004245</t>
  </si>
  <si>
    <t>CRCW0603237RFKEA</t>
  </si>
  <si>
    <t>CHIP RESIS 237 OHM 1% .1W T&amp;R</t>
  </si>
  <si>
    <t>FFF004044</t>
  </si>
  <si>
    <t>CRCW06032K00FKEA</t>
  </si>
  <si>
    <t>CHIP RES. 2KOHM 1% T&amp;R</t>
  </si>
  <si>
    <t>FFF003958</t>
  </si>
  <si>
    <t>CRCW06032K61FKEA</t>
  </si>
  <si>
    <t>CHIP RESIS 2.61KOHM 1^ .1W T&amp;R</t>
  </si>
  <si>
    <t>FFF003929</t>
  </si>
  <si>
    <t>CRCW060310R0FKEA</t>
  </si>
  <si>
    <t>CHIP RESIS 10 OHM 1% .1W T&amp;R</t>
  </si>
  <si>
    <t>FFF003825</t>
  </si>
  <si>
    <t>CRCW060312K1FKEA</t>
  </si>
  <si>
    <t>CHIP RESIS 12.1KOHM 1% .1W T&amp;R</t>
  </si>
  <si>
    <t>FFF003813</t>
  </si>
  <si>
    <t>CRCW060339R2FKEA</t>
  </si>
  <si>
    <t>CHIP RESIS 39.2 OHM 1^ .1W T&amp;R</t>
  </si>
  <si>
    <t>FFF004216</t>
  </si>
  <si>
    <t>CRCW06033K01FKEA</t>
  </si>
  <si>
    <t>CHIP RESIS 3.01KOHM 1% .1WATT 63X31M</t>
  </si>
  <si>
    <t>FFF004073</t>
  </si>
  <si>
    <t>CRCW06033K92FKEA</t>
  </si>
  <si>
    <t>CHIP RESIS 3.92KOHM 1% .1W T&amp;R</t>
  </si>
  <si>
    <t>FFF004284</t>
  </si>
  <si>
    <t>CRCW0603432RFKEA</t>
  </si>
  <si>
    <t>FFF004194</t>
  </si>
  <si>
    <t>CRCW060343R2FKEA</t>
  </si>
  <si>
    <t>CHIP RESIS 43.2 OHM 1% .1W T&amp;R</t>
  </si>
  <si>
    <t>FFF003849</t>
  </si>
  <si>
    <t>CRCW0603475RFKEA</t>
  </si>
  <si>
    <t>CHIP RESIS 475 OHM 1^ .1W T&amp;R</t>
  </si>
  <si>
    <t>FFF003811</t>
  </si>
  <si>
    <t>CRCW060349K9FKEA</t>
  </si>
  <si>
    <t>CHIP RESIS 49.9KOHM 1% .1W T&amp;R</t>
  </si>
  <si>
    <t>FFF003980</t>
  </si>
  <si>
    <t>CRCW06034K75FKEA</t>
  </si>
  <si>
    <t>CHIP RESIS 4.75KOHM 1% .1W T&amp;R</t>
  </si>
  <si>
    <t>FFF004174</t>
  </si>
  <si>
    <t>CRCW060320K5FKEA</t>
  </si>
  <si>
    <t>CHIP RESIS 20.5KOHM 1^ .1W T&amp;R</t>
  </si>
  <si>
    <t>FFF004018</t>
  </si>
  <si>
    <t>CRCW06034K99FKEA</t>
  </si>
  <si>
    <t>CHIP RESIS 4.99KOHM 1% PB-FREE T&amp;</t>
  </si>
  <si>
    <t>FFF004130</t>
  </si>
  <si>
    <t>CRCW060361R9FKEA</t>
  </si>
  <si>
    <t>CHIP RESIS 61.9 OHM 1% .1W T&amp;R</t>
  </si>
  <si>
    <t>FFF003924</t>
  </si>
  <si>
    <t>CRCW0603681RFKEA</t>
  </si>
  <si>
    <t>CHIP RESIS 681 OHM 1% .1W T&amp;R</t>
  </si>
  <si>
    <t>FFF003817</t>
  </si>
  <si>
    <t>CRCW060368R1FKEA</t>
  </si>
  <si>
    <t>CHIP RESIS 68.1 OHM 1% .1W T&amp;R</t>
  </si>
  <si>
    <t>FFF004064</t>
  </si>
  <si>
    <t>CRCW0603750RFKEA</t>
  </si>
  <si>
    <t>CHIP RESIS 750 OHM 1^ .1W T&amp;R</t>
  </si>
  <si>
    <t>FFF004147</t>
  </si>
  <si>
    <t>CRCW060337K4FKEA</t>
  </si>
  <si>
    <t>CHIP RESIS 37.4KOHM 1^ .1W T&amp;R</t>
  </si>
  <si>
    <t>FFF003891</t>
  </si>
  <si>
    <t>CRCW0603806RFKEA</t>
  </si>
  <si>
    <t>CHIP RESIS 806 OHM 1% .1W T&amp;R</t>
  </si>
  <si>
    <t>FFF004108</t>
  </si>
  <si>
    <t>CRCW060382R5FKEA</t>
  </si>
  <si>
    <t>CHIP RESIS 82.5 OHM 1% .1W T&amp;R</t>
  </si>
  <si>
    <t>FFF004227</t>
  </si>
  <si>
    <t>CRCW080520R0FKEA</t>
  </si>
  <si>
    <t>CHIP RESIS 20 OHM 1% .125W T&amp;R</t>
  </si>
  <si>
    <t>FFF003989</t>
  </si>
  <si>
    <t>CRCW06033R00FKEA</t>
  </si>
  <si>
    <t>CHIP RESIS 3 OHM 1% .1W T&amp;R</t>
  </si>
  <si>
    <t>CRCW060340K2FKEA</t>
  </si>
  <si>
    <t>CHIP RESIS 40.2KOHM 1% .1W T&amp;R</t>
  </si>
  <si>
    <t>FFF004043</t>
  </si>
  <si>
    <t>CRCW0805249RFKEA</t>
  </si>
  <si>
    <t>CHIP RESIS 249 OHM 1^ .125W T&amp;R</t>
  </si>
  <si>
    <t>FFF004107</t>
  </si>
  <si>
    <t>CRCW080590R9FKEA</t>
  </si>
  <si>
    <t>CHIP RESIS 90.9 OHM 1^ .125W T&amp;R</t>
  </si>
  <si>
    <t>FFF004320</t>
  </si>
  <si>
    <t>CRCW12060000ZSEA</t>
  </si>
  <si>
    <t>CHIP JUMPER  T&amp;R</t>
  </si>
  <si>
    <t>FFF004837</t>
  </si>
  <si>
    <t>CRCW1206432RFKEA</t>
  </si>
  <si>
    <t>CHIP RESIS 432 OHM 1^ .25W T&amp;R</t>
  </si>
  <si>
    <t>FFF004124</t>
  </si>
  <si>
    <t>CRCW060349R9FKEA</t>
  </si>
  <si>
    <t>CHIP RESIS 49.9 OHM 1% .1W T&amp;R</t>
  </si>
  <si>
    <t>FFF003946</t>
  </si>
  <si>
    <t>DG636EEN-T1-GE4</t>
  </si>
  <si>
    <t>IC DUAL SPDT ANALOG SWITCH T&amp;R</t>
  </si>
  <si>
    <t>VISHAY - SILICONIX</t>
  </si>
  <si>
    <t>16-20WKS</t>
  </si>
  <si>
    <t>DLW21SN900SQ2L</t>
  </si>
  <si>
    <t>CHIP COMMON MODE CHOKE COIL SMT T&amp;R</t>
  </si>
  <si>
    <t>CRCW06035K11FKTA</t>
  </si>
  <si>
    <t>CHIP RESIS 5.11KOHM 1% .1W T&amp;R</t>
  </si>
  <si>
    <t>FFF004036</t>
  </si>
  <si>
    <t>DS1608C-102MLC</t>
  </si>
  <si>
    <t>INDUCTOR 1UH 20% SMT T&amp;R</t>
  </si>
  <si>
    <t>CRCW060366K5FKEA</t>
  </si>
  <si>
    <t>CHIP RESIS 66.5KOHM 1% .1W T&amp;R</t>
  </si>
  <si>
    <t>FFF004419</t>
  </si>
  <si>
    <t>DS1682S+</t>
  </si>
  <si>
    <t>IC TOTAL-ELAPSED-TIME RECORDER</t>
  </si>
  <si>
    <t>MAXIM INTEGRATED PRODUCTS, INC</t>
  </si>
  <si>
    <t>DS620U+TR</t>
  </si>
  <si>
    <t>IC DIGITAL THERMOMETER T&amp;R</t>
  </si>
  <si>
    <t>DS90LV017ATM/NOPB</t>
  </si>
  <si>
    <t>IC LVDS SINGLE DIFF. DRIVER</t>
  </si>
  <si>
    <t>DS90LV018ATM/NOPB</t>
  </si>
  <si>
    <t>IC 3V LVDS SINGLE DIFF LINE RECEIVER</t>
  </si>
  <si>
    <t>DS90LV032ATMX/NOPB</t>
  </si>
  <si>
    <t>IC 3V LVDS, QUAD LINE RECEIVER T&amp;R</t>
  </si>
  <si>
    <t>CRCW0805100RFKEA</t>
  </si>
  <si>
    <t>CHIP RESIS 100 OHM 1% .125W T&amp;R</t>
  </si>
  <si>
    <t>FFF004214</t>
  </si>
  <si>
    <t>ERM8-013-05-S-DV-DS-K-TR</t>
  </si>
  <si>
    <t>CONN RECT EDGE RATE HEADER 26 POS, SMT,</t>
  </si>
  <si>
    <t>ETC1-1-13TR</t>
  </si>
  <si>
    <t>TRANSFORMER RF 1:1 TRANSMI. LINE T&amp;R</t>
  </si>
  <si>
    <t>M/A COM INC</t>
  </si>
  <si>
    <t>15WKS</t>
  </si>
  <si>
    <t>FDN339AN</t>
  </si>
  <si>
    <t>MOSFET N-CH. 2.5V</t>
  </si>
  <si>
    <t>ON SEMICONDUCTOR</t>
  </si>
  <si>
    <t>GRM155R71C104KA88D</t>
  </si>
  <si>
    <t>CHIP CAP 0.1UF 10^ 16V X7R T&amp;R</t>
  </si>
  <si>
    <t>GRM155R71H681KA01D</t>
  </si>
  <si>
    <t>CHIP CAP 680PF 10^ 50V X7R T&amp;R</t>
  </si>
  <si>
    <t>D38999/24WD35PA</t>
  </si>
  <si>
    <t>N68210178</t>
  </si>
  <si>
    <t>CONNECTOR,ELECTRIC,CIRCULAR,37 CONTACTS</t>
  </si>
  <si>
    <t>19S14T-40ML5</t>
  </si>
  <si>
    <t>CONN RF SMP PLUG STR PCB SMT S.B.,50OHMS</t>
  </si>
  <si>
    <t>19K119-K41L5</t>
  </si>
  <si>
    <t>CONN RF ADAPTER SMP(F)/SMP(F),50OHMS,26.</t>
  </si>
  <si>
    <t>D38999/33W21N</t>
  </si>
  <si>
    <t>N71309488</t>
  </si>
  <si>
    <t>CONN CIRC DUST CAP RECPT 21-SHL ALUMINUM</t>
  </si>
  <si>
    <t>18 WKS</t>
  </si>
  <si>
    <t>GXO-U108L/BI-14.31818MHZ</t>
  </si>
  <si>
    <t>OSCILLATOR 14.31818MHZ +-50PPM</t>
  </si>
  <si>
    <t>GOLLEDGE ELECTRONICS LTD</t>
  </si>
  <si>
    <t>Tanya Libenzon</t>
  </si>
  <si>
    <t>tanyal@phnx.co.il</t>
  </si>
  <si>
    <t>09-7644844</t>
  </si>
  <si>
    <t>HI1206P121R-10</t>
  </si>
  <si>
    <t>LAIRD TECHNOLOGIES SRO</t>
  </si>
  <si>
    <t>32 WKS</t>
  </si>
  <si>
    <t>HMC213BMS8E</t>
  </si>
  <si>
    <t>MMIC GAAS DOUBLE-BALANCED MIXER</t>
  </si>
  <si>
    <t>HMC424ALP3ETR</t>
  </si>
  <si>
    <t>MMIC GAAS DIG. ATT. 6-BIT DC-13GHZ T&amp;R</t>
  </si>
  <si>
    <t>20WKS</t>
  </si>
  <si>
    <t>HMC432E</t>
  </si>
  <si>
    <t>MMIC GAAS DIVIDE-BY-2 DC-8GHZ</t>
  </si>
  <si>
    <t>HSMG-C680</t>
  </si>
  <si>
    <t>RIGHT ANGLE SMT CHIP LED GREEN</t>
  </si>
  <si>
    <t>BROADCOM LIMITED</t>
  </si>
  <si>
    <t>HSMS-C680</t>
  </si>
  <si>
    <t>RIGHT ANGLE SMT CHIP RED LED</t>
  </si>
  <si>
    <t>IHLP2525CZER1R0M01</t>
  </si>
  <si>
    <t>INDUCTOR 1UH 20PC SHIELDED T&amp;R</t>
  </si>
  <si>
    <t>VISHAY DALE MAGNETICS AND INDUCTORS</t>
  </si>
  <si>
    <t>1 WEEK</t>
  </si>
  <si>
    <t>RAY-Q</t>
  </si>
  <si>
    <t>Limor Refael</t>
  </si>
  <si>
    <t>lrefael@tti.ray-q.com</t>
  </si>
  <si>
    <t>052-5646677</t>
  </si>
  <si>
    <t>IHLP2525CZERR33M01</t>
  </si>
  <si>
    <t>INDUCTOR 0.33UH 20% SHIELDED T&amp;R</t>
  </si>
  <si>
    <t>19S16D-400L5</t>
  </si>
  <si>
    <t>ROSENBERGER MICROWAVE CORP</t>
  </si>
  <si>
    <t>19S16N-400L5</t>
  </si>
  <si>
    <t>CONN,RF,SMP,PLUG,STR TO PCB T/H,26.5GHZ</t>
  </si>
  <si>
    <t>1094G021-001</t>
  </si>
  <si>
    <t>B</t>
  </si>
  <si>
    <t>IN52SN48 SOLDER PREFORM</t>
  </si>
  <si>
    <t>NORTEC</t>
  </si>
  <si>
    <t>Revital Cohen</t>
  </si>
  <si>
    <t>Rcohen@cclind.com</t>
  </si>
  <si>
    <t>09-7691711</t>
  </si>
  <si>
    <t>MECH ITEMS</t>
  </si>
  <si>
    <t>QPA4586ATR13</t>
  </si>
  <si>
    <t>AMP RF DC-4.0GHZ 19.9DB@1.95GHZ SOT-86-4</t>
  </si>
  <si>
    <t>QORVO US, INC</t>
  </si>
  <si>
    <t>Shuli Ronin</t>
  </si>
  <si>
    <t>shuli.ronin@qorvo.com</t>
  </si>
  <si>
    <t>054-6651066</t>
  </si>
  <si>
    <t>SBB-3089Z</t>
  </si>
  <si>
    <t>MMIC INGAP/GAAS HBT AMP. 0.05-6GHZ T&amp;R</t>
  </si>
  <si>
    <t>LM5113QDPRRQ1</t>
  </si>
  <si>
    <t>IC H.BRIDGE DRIVER GAN 1.2A 90V WSON10</t>
  </si>
  <si>
    <t>FT1033-15L</t>
  </si>
  <si>
    <t>NUT RETAINER,100 DEG. FLUSH HEAD,SLOTTED</t>
  </si>
  <si>
    <t>FASTENER TECHNOLOGY CORP.</t>
  </si>
  <si>
    <t>26 weeks</t>
  </si>
  <si>
    <t>FT1737HS-6-8-A-B</t>
  </si>
  <si>
    <t>SCREW,CAPTIVE,NUT RETAINER TYPE,SINGLE L</t>
  </si>
  <si>
    <t>FASTENER TECHNOLOGY CORP</t>
  </si>
  <si>
    <t>LQG15HS15NJ02D</t>
  </si>
  <si>
    <t>CHIP COIL 15NH 5% T&amp;R</t>
  </si>
  <si>
    <t>LQG15HS1N0B02D</t>
  </si>
  <si>
    <t>CHIP COIL 1NH +-0.1NH T&amp;R</t>
  </si>
  <si>
    <t>LQG15HS22NJ02D</t>
  </si>
  <si>
    <t>CHIP COIL 22NH 5^ T&amp;R</t>
  </si>
  <si>
    <t>LQG15HS2N7S02D</t>
  </si>
  <si>
    <t>CHIP COIL 2.7NH +-0.3NH T&amp;R</t>
  </si>
  <si>
    <t>LQG15HS47NJ02D</t>
  </si>
  <si>
    <t>CHIP COIL 47NH 5^ T&amp;R</t>
  </si>
  <si>
    <t>LQW18AN10NG00D</t>
  </si>
  <si>
    <t>CHIP COIL 10NH +-2^ T&amp;R</t>
  </si>
  <si>
    <t>LQW18AN20NG00D</t>
  </si>
  <si>
    <t>CHIP INDUCT 20NHY 2% T&amp;R</t>
  </si>
  <si>
    <t>LQW18AN33NG00D</t>
  </si>
  <si>
    <t>CHIP INDUCT 33NH 2^ T&amp;R</t>
  </si>
  <si>
    <t>LQW18AN33NJ00D</t>
  </si>
  <si>
    <t>N62247267</t>
  </si>
  <si>
    <t>CHIP INDUCT 0.033UHY 5% AIR COR 63X3</t>
  </si>
  <si>
    <t>LQW18AN56NG00D</t>
  </si>
  <si>
    <t>CHIP INDUCT 56NHY 2% T&amp;R</t>
  </si>
  <si>
    <t>LQW18AN6N8C00D</t>
  </si>
  <si>
    <t>CHIP COIL 6.8NH +-0.2NHY T&amp;R</t>
  </si>
  <si>
    <t>LQW18ANR10G00D</t>
  </si>
  <si>
    <t>CHIP INDUCT 0.1UHY 2% AIR COR 63X32</t>
  </si>
  <si>
    <t>HMC472ALP4E</t>
  </si>
  <si>
    <t>MMIC GAAS DIG. ATT. 6BIT DC-3.8GHZ</t>
  </si>
  <si>
    <t>YAEL CHAKI</t>
  </si>
  <si>
    <t>YAEL.CHAKI@ANALOG.COM</t>
  </si>
  <si>
    <t>LQW18ANR12G00D</t>
  </si>
  <si>
    <t>CHIP INDUCT 0.12UHY 2% AIR COR T&amp;R</t>
  </si>
  <si>
    <t>HMC536MS8GE</t>
  </si>
  <si>
    <t>IC MMIC GAAS SWITCH DC-6.0GHZ T&amp;R</t>
  </si>
  <si>
    <t>LQW18ANR13G00D</t>
  </si>
  <si>
    <t>CHIP INDUCT 0.13UHY 2% AIR COR 63X32</t>
  </si>
  <si>
    <t>LQW18ANR18G00D</t>
  </si>
  <si>
    <t>N62264569</t>
  </si>
  <si>
    <t>CHIP INDUCT 0.18UHY 2% AIR- COR TAPE</t>
  </si>
  <si>
    <t>LT1175IS8#TRPBF</t>
  </si>
  <si>
    <t>IC VOLT. REG. NEG.  ADJ. T&amp;R</t>
  </si>
  <si>
    <t>LT1763CS8#PBF</t>
  </si>
  <si>
    <t>IC LINEAR   VOLT. REG. ADJ.</t>
  </si>
  <si>
    <t>LT1964IDD#TRPBF</t>
  </si>
  <si>
    <t>IC NEGATIVE REGULATOR T&amp;R</t>
  </si>
  <si>
    <t>MA144769-287T</t>
  </si>
  <si>
    <t>STEP RECOVERY DIODE TAPE&amp;REEL</t>
  </si>
  <si>
    <t>COBHAM M/A  COM  TECHNOLOGY  SOLUT</t>
  </si>
  <si>
    <t>MADR-007097-0001TR</t>
  </si>
  <si>
    <t>IC SPDT PIN DIODE DRIVER T&amp;R</t>
  </si>
  <si>
    <t>COBHAM TYCO M/ACOM CBU</t>
  </si>
  <si>
    <t>22 WKS</t>
  </si>
  <si>
    <t>MAX3380EEUP+</t>
  </si>
  <si>
    <t>IC 2TX/2RX RS-232 TRANSCEIVER</t>
  </si>
  <si>
    <t>SBB-4089Z</t>
  </si>
  <si>
    <t>MAX8557ETE+T</t>
  </si>
  <si>
    <t>IC VOLTAGE REGULATOR ADJ. 4A T&amp;R</t>
  </si>
  <si>
    <t>9WKS</t>
  </si>
  <si>
    <t>MAX962ESA+</t>
  </si>
  <si>
    <t>IC DUAL VOLT. COMPARATOR</t>
  </si>
  <si>
    <t>28WKS</t>
  </si>
  <si>
    <t>MAX999EUK+T</t>
  </si>
  <si>
    <t>IC VOLT. COMPARATOR T&amp;R</t>
  </si>
  <si>
    <t>MBB0502X104MGN1N8-8</t>
  </si>
  <si>
    <t>CHIP CAPACITOR MULTILAYER 0.1UF T&amp;R</t>
  </si>
  <si>
    <t>PRESIDIO COMPONENTS INC</t>
  </si>
  <si>
    <t>PRESIDIO</t>
  </si>
  <si>
    <t>Yuval Becker</t>
  </si>
  <si>
    <t>yuvalb@rftal.com</t>
  </si>
  <si>
    <t>077-4200600</t>
  </si>
  <si>
    <t>MC100EP16DTG</t>
  </si>
  <si>
    <t>IC 3.3V/5V ECL DIFF. RECEIVER/DRIVER</t>
  </si>
  <si>
    <t>MC100LVEP111FAG</t>
  </si>
  <si>
    <t>IC INTFACE 1-TO-10 DIFF. DRIVER</t>
  </si>
  <si>
    <t>SBB-5089Z</t>
  </si>
  <si>
    <t>MMIC INGAP HBT AMP. 0.05-6GHZ T&amp;R</t>
  </si>
  <si>
    <t>MC74ACT04DR2G</t>
  </si>
  <si>
    <t>IC HEX INVERTER T&amp;R</t>
  </si>
  <si>
    <t>MI0603J601R-10</t>
  </si>
  <si>
    <t>EMI FERRITE CHIP BEAD</t>
  </si>
  <si>
    <t>38 WKS</t>
  </si>
  <si>
    <t>MIC2026-1YM</t>
  </si>
  <si>
    <t>DUAL-CHANNEL POWER DISTRIBUTION SWITCH</t>
  </si>
  <si>
    <t>MIC4426YMM-TR</t>
  </si>
  <si>
    <t>IC DUAL-INVERTING MOSFET DRIVER T&amp;R</t>
  </si>
  <si>
    <t>MIC4427YMM-TR</t>
  </si>
  <si>
    <t>IC DUAL NON-INVERTING MOSFET DRIVER T&amp;R</t>
  </si>
  <si>
    <t>44WKS</t>
  </si>
  <si>
    <t>MM3Z5V1T1G</t>
  </si>
  <si>
    <t>DIODE  ZENER 5.1V T&amp;R LEAD-FREE</t>
  </si>
  <si>
    <t>11 WKS</t>
  </si>
  <si>
    <t>MM8030-2610RJ3</t>
  </si>
  <si>
    <t>TEST POINT,MICROWAVE,SWG-VE X-BAND</t>
  </si>
  <si>
    <t>MMBD4148SE</t>
  </si>
  <si>
    <t>N51837235</t>
  </si>
  <si>
    <t>DUAL DIODE ULTRA FAST</t>
  </si>
  <si>
    <t>MMBT2222ALT1G</t>
  </si>
  <si>
    <t>TRANSISTOR NPN T&amp;R</t>
  </si>
  <si>
    <t>MPP4201A-206-HS</t>
  </si>
  <si>
    <t>CHIP PIN DIODE  TAPE&amp;REEL</t>
  </si>
  <si>
    <t>MICROSEMI MICROWAVE PRODUCTS,INC</t>
  </si>
  <si>
    <t>48WKS</t>
  </si>
  <si>
    <t>MT25QL128ABA8ESF-0AAT</t>
  </si>
  <si>
    <t>IC SERIAL NOR FLASH 128MB 3V</t>
  </si>
  <si>
    <t>MICRON TECHNOLOGY</t>
  </si>
  <si>
    <t>24WKS</t>
  </si>
  <si>
    <t>TGL2201-SMT/R</t>
  </si>
  <si>
    <t>WIDEBAND VPIN LIMITER T&amp;R</t>
  </si>
  <si>
    <t>MTVA-0300N04W3S</t>
  </si>
  <si>
    <t>N62740600</t>
  </si>
  <si>
    <t>CHIP ATTENUATOR DC-18GHZ 3DB THERMOP</t>
  </si>
  <si>
    <t>SMITHS INTERCONNECT AMERICAS,</t>
  </si>
  <si>
    <t>RFMW</t>
  </si>
  <si>
    <t>Tali Weisberg</t>
  </si>
  <si>
    <t>tali.weisberg@rfmw.com</t>
  </si>
  <si>
    <t>072-2150902</t>
  </si>
  <si>
    <t>MURS120T3G</t>
  </si>
  <si>
    <t>DIODE.RECT 200V 1A 35NS</t>
  </si>
  <si>
    <t>MOTOROLA SEMICONDUCTOR PRODUCTS</t>
  </si>
  <si>
    <t>N2510-5003-RB</t>
  </si>
  <si>
    <t>CONN RECT HEADER R/A 10 PIN DIP SOLDER</t>
  </si>
  <si>
    <t>30 WKS</t>
  </si>
  <si>
    <t>NC7NZ04L8X-L22185</t>
  </si>
  <si>
    <t>IC TRIPLE INVERTER T&amp;R</t>
  </si>
  <si>
    <t>LT1716HS5#TRMPBF</t>
  </si>
  <si>
    <t>IC VOLT COMPARATOR T&amp;R</t>
  </si>
  <si>
    <t>NC7SZ08P5X</t>
  </si>
  <si>
    <t>N57155418</t>
  </si>
  <si>
    <t>IC DIG 2 IN AND GATE TAPE &amp; REEL</t>
  </si>
  <si>
    <t>FAIRCHILD SEMICONDUCTOR</t>
  </si>
  <si>
    <t>NC7SZ14P5X-L22057</t>
  </si>
  <si>
    <t>IC DIG UHS INVERTER WITH SCHMITT</t>
  </si>
  <si>
    <t>NL27WZ125USG-F22190</t>
  </si>
  <si>
    <t>IC DUAL BUFFER T&amp;R</t>
  </si>
  <si>
    <t>LTC4444HMS8E-5#TRPBF</t>
  </si>
  <si>
    <t>IC N-CHANNEL MOSFET DRIVER T&amp;R</t>
  </si>
  <si>
    <t>LTC5532ES6#TRMPBF</t>
  </si>
  <si>
    <t>IC RF DETECTOR 0.3-7GHZ T&amp;R</t>
  </si>
  <si>
    <t>PCA9517ADP.118</t>
  </si>
  <si>
    <t>IC LEVEL TRANSLATING I2C BUS REPEATER</t>
  </si>
  <si>
    <t>NXP SEMICONDUCTORS</t>
  </si>
  <si>
    <t>MTVA-0500N03W3S</t>
  </si>
  <si>
    <t>N62752100</t>
  </si>
  <si>
    <t>CHIP ATTENUATOR DC-18GHZ 5DB .2WATT</t>
  </si>
  <si>
    <t>PSOT03C-LF-T7</t>
  </si>
  <si>
    <t>DIODE TRANSIENT VOLTAGE SUUPPRESSOR T&amp;R</t>
  </si>
  <si>
    <t>PRO TEK DEVICES</t>
  </si>
  <si>
    <t>אל גב</t>
  </si>
  <si>
    <t>Mark Zadov</t>
  </si>
  <si>
    <t>markz@elgev.co.il</t>
  </si>
  <si>
    <t>074-7190099</t>
  </si>
  <si>
    <t>PSR05-LF-T7</t>
  </si>
  <si>
    <t>DIODE TVS ARRAY T&amp;R</t>
  </si>
  <si>
    <t>TS0500S</t>
  </si>
  <si>
    <t>CHIP ATT. DC-18GHZ 0DB 0.1W 50-OHM</t>
  </si>
  <si>
    <t>REF192ESZ-REEL7</t>
  </si>
  <si>
    <t>IC VOLTAGE REF. 2.5V T&amp;R</t>
  </si>
  <si>
    <t>TVA-0300N07W3</t>
  </si>
  <si>
    <t>N80416217</t>
  </si>
  <si>
    <t>ATTENUATOR DC-6GHZ 3DB 2WATT THERMOP</t>
  </si>
  <si>
    <t>TVA-0300N09S</t>
  </si>
  <si>
    <t>N62710421</t>
  </si>
  <si>
    <t>CHIP ATTENUATOR 3DB</t>
  </si>
  <si>
    <t>TVA-0500N03</t>
  </si>
  <si>
    <t>N80413321</t>
  </si>
  <si>
    <t>ATTENUATOR DC-6GHZ 5DB 2WATT THERMOP</t>
  </si>
  <si>
    <t>TVA-0500N07W3</t>
  </si>
  <si>
    <t>N80410640</t>
  </si>
  <si>
    <t>TS0310W3S</t>
  </si>
  <si>
    <t>N80416589</t>
  </si>
  <si>
    <t>ATTENUATOR DC-15GHZ 10DB 2WATT 50 OH</t>
  </si>
  <si>
    <t>SIA519EDJ-T1-GE3</t>
  </si>
  <si>
    <t>MOSFET N- AND P- CHANNEL 20V T&amp;R</t>
  </si>
  <si>
    <t>SIZ250DT-T1-GE3</t>
  </si>
  <si>
    <t>MOSFET DUAL N-CH 60V 30A DFN8</t>
  </si>
  <si>
    <t>SMBJ12A/TR</t>
  </si>
  <si>
    <t>N51855708</t>
  </si>
  <si>
    <t>TRAN. VOLT. SUPPR. 12V 600W TAPE&amp;REE</t>
  </si>
  <si>
    <t>FFF002028</t>
  </si>
  <si>
    <t>MICROSEMI CORPORATION</t>
  </si>
  <si>
    <t>40WKS</t>
  </si>
  <si>
    <t>SMBJ3V3-E3/52</t>
  </si>
  <si>
    <t>TRANSIENT VOLTAGE SUPPRESSOR 3.3V T&amp;R</t>
  </si>
  <si>
    <t>VISHAY SEMICONDUCTORS GMBH</t>
  </si>
  <si>
    <t>SMBJ5.0AE3/52</t>
  </si>
  <si>
    <t>DIODE TRANSIENT SUPRESSOR 5V T&amp;R</t>
  </si>
  <si>
    <t>FFF002027</t>
  </si>
  <si>
    <t>SMDA03LCC-LF-T7</t>
  </si>
  <si>
    <t>TRAN. VOLT. SUPPR.  ARRAY T&amp;R</t>
  </si>
  <si>
    <t>SN65LVDS387DGGRG4</t>
  </si>
  <si>
    <t>IC DIF LINE DRIVER X 16 T&amp;R</t>
  </si>
  <si>
    <t>SN74LVC1G07DCKT</t>
  </si>
  <si>
    <t>IC INTFACE SINGLE BUFFER/DRIVER T&amp;R</t>
  </si>
  <si>
    <t>MM8430-2610RA1</t>
  </si>
  <si>
    <t>CONN COAX WITH SWITCH SWD DC-6GHZ T&amp;R</t>
  </si>
  <si>
    <t>SIGAL HARUSH</t>
  </si>
  <si>
    <t>SN74LVCH244APW</t>
  </si>
  <si>
    <t>IC OCTAL BUFFERS/DRIVERS</t>
  </si>
  <si>
    <t>SY89833ALMG</t>
  </si>
  <si>
    <t>IC 1:4 LVDS FANOUT BUFFER/TRANSLATOR</t>
  </si>
  <si>
    <t>TS0501W3S/TR</t>
  </si>
  <si>
    <t>CHIP ATT. 1DB DC-18GHZ 0.1W 50OHM T&amp;R</t>
  </si>
  <si>
    <t>MS15795-802</t>
  </si>
  <si>
    <t>WASHER FLAT METAL ROUND GENERAL PURP</t>
  </si>
  <si>
    <t>WESCO</t>
  </si>
  <si>
    <t>MS15795-803</t>
  </si>
  <si>
    <t>STK</t>
  </si>
  <si>
    <t>MS24693-C2</t>
  </si>
  <si>
    <t>SCREW,MACHINE,100 DEG. FLUSH HEAD,CRUCIF</t>
  </si>
  <si>
    <t>NAS/NASM NATIONAL AEROSPACE STD</t>
  </si>
  <si>
    <t>MS3213-22</t>
  </si>
  <si>
    <t>SCREW,MACHINE,PAN HEAD,CRUCIFORM RECESS</t>
  </si>
  <si>
    <t>MS35338-134</t>
  </si>
  <si>
    <t>WASHER,LOCK,HELICAL SPRING,REGULAR (MEDI</t>
  </si>
  <si>
    <t>MS35338-135</t>
  </si>
  <si>
    <t>MS51957-13</t>
  </si>
  <si>
    <t>MS MILITARY STANDARDS</t>
  </si>
  <si>
    <t>MS51957-14</t>
  </si>
  <si>
    <t>SCREW MACHINE PAN HEAD CRUCIFORM RECESS</t>
  </si>
  <si>
    <t>MS51957-3</t>
  </si>
  <si>
    <t>MS51957-4</t>
  </si>
  <si>
    <t>MS51957-5</t>
  </si>
  <si>
    <t>T491B335K025AH</t>
  </si>
  <si>
    <t>CHIP CAP 3.3UF 10% 25V TANTAL T&amp;R</t>
  </si>
  <si>
    <t>T491C106K025AH</t>
  </si>
  <si>
    <t>CHIP CAP 10UF 10% 25V TANTAL T&amp;R</t>
  </si>
  <si>
    <t>FFF301557</t>
  </si>
  <si>
    <t>T491X107K020AH</t>
  </si>
  <si>
    <t>CHIP CAP 100UF 10% 20V TANTAL T&amp;R</t>
  </si>
  <si>
    <t>T491X336K025AH</t>
  </si>
  <si>
    <t>CHIP CAP 33UF 10% 25V TANTAL T&amp;R</t>
  </si>
  <si>
    <t>T543O686M040ATE035</t>
  </si>
  <si>
    <t>CAP TANT POLYMER 68UF 40V 20% SMT 7360</t>
  </si>
  <si>
    <t>KEMET INTERNATIONAL LTD</t>
  </si>
  <si>
    <t>T55B107M6R3C0040</t>
  </si>
  <si>
    <t>CHIP CAP TANT TA2O5 100UF 6.3VDC 20^ T&amp;R</t>
  </si>
  <si>
    <t>NAS620C2</t>
  </si>
  <si>
    <t>WASHER,FLAT,PLAIN,REDUCED OD, 2 SIZE,.01</t>
  </si>
  <si>
    <t>NAS620C4</t>
  </si>
  <si>
    <t>WASHER,FLAT,PLAIN,REDUCED OD, 4 SIZE,.03</t>
  </si>
  <si>
    <t>NAS662C2R4</t>
  </si>
  <si>
    <t>NAS671C2</t>
  </si>
  <si>
    <t>NUT,HEX,PLAIN,NON-LOCKING,THIN,INCH SERI</t>
  </si>
  <si>
    <t>TA0564A</t>
  </si>
  <si>
    <t>SAW FILTER 960MHZ T&amp;R</t>
  </si>
  <si>
    <t>TAI-SAW TECHNOLOGY CO., LTD.</t>
  </si>
  <si>
    <t>STAR LIGHT TECHNOLOGIES LTD</t>
  </si>
  <si>
    <t>Ada Khaitov</t>
  </si>
  <si>
    <t>ada@starlight.co.il</t>
  </si>
  <si>
    <t>054-4514177</t>
  </si>
  <si>
    <t>NC7SZ04P5X</t>
  </si>
  <si>
    <t>N57177495</t>
  </si>
  <si>
    <t>IC DIG INVERTER TAPE &amp; REEL</t>
  </si>
  <si>
    <t>TA0795A</t>
  </si>
  <si>
    <t>SAW FILTER 2535MHZ T&amp;R</t>
  </si>
  <si>
    <t>TS0502W3S</t>
  </si>
  <si>
    <t>N80416613</t>
  </si>
  <si>
    <t>ATTENUATOR DC-15GHZ 2DB .1WATT 50 OH</t>
  </si>
  <si>
    <t>NC7SZ32P5X</t>
  </si>
  <si>
    <t>N57133712</t>
  </si>
  <si>
    <t>IC DIGITAL  UHS 2-INPUT OR GATE TAPE</t>
  </si>
  <si>
    <t>NFM18HC105C1C3D</t>
  </si>
  <si>
    <t>FILTER EMI MLC 1UF 20^ 16V 2ADC 0603</t>
  </si>
  <si>
    <t>NGC-1206CS50R0G</t>
  </si>
  <si>
    <t>CHIP RESISTOR HIGH POWER 50 OHM 2%</t>
  </si>
  <si>
    <t>INTERNATIONAL MANUFACTURING SERVICE</t>
  </si>
  <si>
    <t>NEXTWAVE</t>
  </si>
  <si>
    <t>MICHAL RUBIN</t>
  </si>
  <si>
    <t>MICHAL@NEXTWAVE.CO.IL</t>
  </si>
  <si>
    <t>052-3220004</t>
  </si>
  <si>
    <t>TFM-125-02-S-D-A-K-TR</t>
  </si>
  <si>
    <t>N64529977</t>
  </si>
  <si>
    <t>CONNECTOR,ELECTRIC,RECTANGULAR,TFM,SMT H</t>
  </si>
  <si>
    <t>TPS51200DRCT</t>
  </si>
  <si>
    <t>IC DDR REGULATOR T&amp;R</t>
  </si>
  <si>
    <t>PE42553B-Z</t>
  </si>
  <si>
    <t>RF SWITCH SPDT 9KHZ-8GHZ T&amp;R</t>
  </si>
  <si>
    <t>PEREGRINE SEMICONDUCTOR CORPORATION</t>
  </si>
  <si>
    <t>dudi albas</t>
  </si>
  <si>
    <t>TS0505S</t>
  </si>
  <si>
    <t>ATTENUATOR DC-18GHZ 5DB .1WATT 50 OHM</t>
  </si>
  <si>
    <t>TS0507S</t>
  </si>
  <si>
    <t>CHIP ATT. DC-18GHZ 7DB 0.1W 50-OHM</t>
  </si>
  <si>
    <t>1094W518-001</t>
  </si>
  <si>
    <t>GUIDE PIN 3X12</t>
  </si>
  <si>
    <t>SIMAT</t>
  </si>
  <si>
    <t xml:space="preserve">Roni Peleg </t>
  </si>
  <si>
    <t>ronih@simat.co.il</t>
  </si>
  <si>
    <t>מכניקות</t>
  </si>
  <si>
    <t>1094W524-001</t>
  </si>
  <si>
    <t>HANDLE</t>
  </si>
  <si>
    <t>1119-2199-6240</t>
  </si>
  <si>
    <t>CONN,RF,ADAPTER,PLUG,SMP(M)/SMA(F),26.5G</t>
  </si>
  <si>
    <t>Winchester Interconnect RF Corporat</t>
  </si>
  <si>
    <t>145-A01H/118</t>
  </si>
  <si>
    <t>CONN RF ADAPTER SPRING SMP(F)/SMP(F)</t>
  </si>
  <si>
    <t>HUANG LIANG TECHNOLOGIES CO.,LTD.</t>
  </si>
  <si>
    <t>X2B</t>
  </si>
  <si>
    <t>MICROWAVE SMT CROSSOVER</t>
  </si>
  <si>
    <t>ANAREN MICROWAVE INC</t>
  </si>
  <si>
    <t>1000B-5001FX</t>
  </si>
  <si>
    <t>10/100/1000 BASE-T ETHERNET TRANSFORMER</t>
  </si>
  <si>
    <t>PULSE ENGINEERING INC.</t>
  </si>
  <si>
    <t>SALDAVEXF0.20MM</t>
  </si>
  <si>
    <t>N76449453</t>
  </si>
  <si>
    <t>WIRE SALDAVEX F 0.20MM</t>
  </si>
  <si>
    <t>ESSEX ITALY S.P.A</t>
  </si>
  <si>
    <t>₪</t>
  </si>
  <si>
    <t>TIMNAT ENERGY</t>
  </si>
  <si>
    <t>BOAZ OREN</t>
  </si>
  <si>
    <t>BOAZO@TIMNAT-ENERGY.CO.IL</t>
  </si>
  <si>
    <t>972-52-6878880</t>
  </si>
  <si>
    <t>1094W510-003</t>
  </si>
  <si>
    <t>BODY MACHINING</t>
  </si>
  <si>
    <t>WAVE MECHANICS</t>
  </si>
  <si>
    <t>Sujith John</t>
  </si>
  <si>
    <t>sujith.ninan@wm.kahm.co</t>
  </si>
  <si>
    <t>1094W511-002</t>
  </si>
  <si>
    <t>COVER</t>
  </si>
  <si>
    <t>24250CC</t>
  </si>
  <si>
    <t>SEALING LOCKING ANAEROB. COMP. SUPERFAST</t>
  </si>
  <si>
    <t>FFF016903</t>
  </si>
  <si>
    <t>5206F007-001</t>
  </si>
  <si>
    <t>BPF 2600/300 MHZ(6F007)</t>
  </si>
  <si>
    <t>אלבטק טכנולוגיות</t>
  </si>
  <si>
    <t>elad mozes</t>
  </si>
  <si>
    <t>elad@elbatech.co.il</t>
  </si>
  <si>
    <t>052-6725270</t>
  </si>
  <si>
    <t>ELBATECH</t>
  </si>
  <si>
    <t>6469074-1</t>
  </si>
  <si>
    <t>CONN,MISC,PCB,25.00MM CARD SLOT PITCH</t>
  </si>
  <si>
    <t>TE CONNECTIVITY</t>
  </si>
  <si>
    <t>6930B676-001</t>
  </si>
  <si>
    <t>REBALLING AS4C128M16D2A-25BIN</t>
  </si>
  <si>
    <t>צמח משה</t>
  </si>
  <si>
    <t>Alona Ashkenazi</t>
  </si>
  <si>
    <t>alonaz@zemach-tech.com</t>
  </si>
  <si>
    <t>03-9033083</t>
  </si>
  <si>
    <t>REBALING</t>
  </si>
  <si>
    <t>70896-00</t>
  </si>
  <si>
    <t>GPS RECEIVER MODULE</t>
  </si>
  <si>
    <t>TRIMBLE NAVIGATION</t>
  </si>
  <si>
    <t>היפרטק</t>
  </si>
  <si>
    <t>Shimon Barak</t>
  </si>
  <si>
    <t>Shimon@hypertech.co.il</t>
  </si>
  <si>
    <t>03-92443352</t>
  </si>
  <si>
    <t>AD5628BRUZ-2</t>
  </si>
  <si>
    <t>IC OCTAL 12 BIT DAC WITH 5 PPM/°C</t>
  </si>
  <si>
    <t>AD8332ACPZ-R7</t>
  </si>
  <si>
    <t>IC DUAL ULTRALOW NOISE VGA T&amp;R</t>
  </si>
  <si>
    <t>AD9222ABCPZ-65</t>
  </si>
  <si>
    <t>IC INTFACE A/D CONVERTER 12-BIT</t>
  </si>
  <si>
    <t>SIZ342DT-T1-GE3</t>
  </si>
  <si>
    <t>TRANSISTOR MOSFET DUAL N CHANNEL 30V T&amp;R</t>
  </si>
  <si>
    <t>AD9228ABCPZ-65</t>
  </si>
  <si>
    <t>QUAD A/D CONVERTER, 12-BIT, 40/65 MSPS</t>
  </si>
  <si>
    <t>AD9910BSVZ</t>
  </si>
  <si>
    <t>IC DIRECT DIGITAL SYNTHESIZER</t>
  </si>
  <si>
    <t>1094K658-001</t>
  </si>
  <si>
    <t>RF COVER</t>
  </si>
  <si>
    <t>בן חמו אהרון עיבוד שבבי</t>
  </si>
  <si>
    <t>Orli Asur</t>
  </si>
  <si>
    <t>office@benhamo.com</t>
  </si>
  <si>
    <t>02-9996111</t>
  </si>
  <si>
    <t>SMBJ7.0A-E3/52</t>
  </si>
  <si>
    <t>DIODE TRANSIENT SUPRESSOR 7V T&amp;R</t>
  </si>
  <si>
    <t>DDMM50P-F179</t>
  </si>
  <si>
    <t>N64515422</t>
  </si>
  <si>
    <t>RECT PLUG 50 PIN WRAP POST</t>
  </si>
  <si>
    <t>ITT CANNON</t>
  </si>
  <si>
    <t>PEI GENESIS</t>
  </si>
  <si>
    <t>Sigi Levy</t>
  </si>
  <si>
    <t>sigi.levy@peigenesis.com</t>
  </si>
  <si>
    <t>052-3265019</t>
  </si>
  <si>
    <t>EP4CE115F29I7</t>
  </si>
  <si>
    <t>IC CYCLONE IV FPGA</t>
  </si>
  <si>
    <t>SN74LV4T125PWR</t>
  </si>
  <si>
    <t>IC QUADRUPLE BUFFER TRANSLATOR T&amp;R</t>
  </si>
  <si>
    <t>EPCQ64ASI16N</t>
  </si>
  <si>
    <t>IC QUAD-SERIAL CONFIGURATION DEVICE</t>
  </si>
  <si>
    <t>INTEL CORP</t>
  </si>
  <si>
    <t>eastronix</t>
  </si>
  <si>
    <t>shlomi bigi</t>
  </si>
  <si>
    <t>shlomi.bigi@easx.co.il</t>
  </si>
  <si>
    <t>050-5252790</t>
  </si>
  <si>
    <t>Intel Prgrammable SolutionsGroup(AL</t>
  </si>
  <si>
    <t>SN74LVC2GU04DCKT</t>
  </si>
  <si>
    <t>IC DUAL INVERTER GATE T&amp;R</t>
  </si>
  <si>
    <t>HMC220BMS8GE</t>
  </si>
  <si>
    <t>MMIC GAAS MIXER 5-12GHZ</t>
  </si>
  <si>
    <t>SPF-5122ZSR</t>
  </si>
  <si>
    <t>AMP. LOW NOISE GAAS MMIC 50-4000MHZ T&amp;R</t>
  </si>
  <si>
    <t>HMC365S8G</t>
  </si>
  <si>
    <t>MMIC GAAS HBT DIVIDE-BY-4 DC-13GHZ</t>
  </si>
  <si>
    <t>HMC434E</t>
  </si>
  <si>
    <t>MMIC GAAS DIVIDE-BY-8 DC-8GHZ</t>
  </si>
  <si>
    <t>HMC441LC3BTR</t>
  </si>
  <si>
    <t>MMIC GAAS AMP. 6-18GHZ 17DB T&amp;R</t>
  </si>
  <si>
    <t>HMC443LP4E</t>
  </si>
  <si>
    <t>X4 ACTIVE FERQ. MULTIPLIER 9.8-11.2GHZ</t>
  </si>
  <si>
    <t>HMC521ALC4</t>
  </si>
  <si>
    <t>MMIC I/Q MIXER  8.5-13.5GHZ</t>
  </si>
  <si>
    <t>HMC547ALP3E</t>
  </si>
  <si>
    <t>MMIC GAAS SPDT SWITCH DC-20GHZ</t>
  </si>
  <si>
    <t>HMC564LC4TR</t>
  </si>
  <si>
    <t>MMIC GAAS AMP. LOW NOISE 7-14GHZ T&amp;R</t>
  </si>
  <si>
    <t>HSSR-7110#300</t>
  </si>
  <si>
    <t>N56337397</t>
  </si>
  <si>
    <t>OPTOELECT  OPTOCOUPLER POWER MOSFET,</t>
  </si>
  <si>
    <t>ISPPAC-POWR1220AT8-01TN-</t>
  </si>
  <si>
    <t>IC MONITOR ISPPAC-POWR1220AT8-1TN-100I</t>
  </si>
  <si>
    <t>LATTICE SEMICONDUCTOR CORPORATION</t>
  </si>
  <si>
    <t>LFCN-400</t>
  </si>
  <si>
    <t>LOW PASS FILTER</t>
  </si>
  <si>
    <t>LT6604IUFF-15PBF</t>
  </si>
  <si>
    <t>IC DIFF. AMPLIFIER AND LP FILTER</t>
  </si>
  <si>
    <t>LTM4608AIV#PBF</t>
  </si>
  <si>
    <t>DC-DC 8 AMP</t>
  </si>
  <si>
    <t>MAX1617AMEE+</t>
  </si>
  <si>
    <t>IC DIGITAL  THERMOMETER</t>
  </si>
  <si>
    <t>TGA2731-SM</t>
  </si>
  <si>
    <t>MW AMPLIFIER DRIVER 2.7-4.0GHZ</t>
  </si>
  <si>
    <t>1094W519-001</t>
  </si>
  <si>
    <t>O RING</t>
  </si>
  <si>
    <t>גומיאן מוצרי גומי בע"מ</t>
  </si>
  <si>
    <t>Avi Moshe</t>
  </si>
  <si>
    <t>avi@gumiyan.co.il</t>
  </si>
  <si>
    <t>050-7817815</t>
  </si>
  <si>
    <t>THT-1-724-10</t>
  </si>
  <si>
    <t>LABEL,PRINTABLE,INDUSTRIAL POLYIMIDE,HIG</t>
  </si>
  <si>
    <t>BRADY W.H. INDUSTRIAL PRODUCTS DIV.</t>
  </si>
  <si>
    <t xml:space="preserve">אבדור חלת </t>
  </si>
  <si>
    <t>Michael Lyulkin</t>
  </si>
  <si>
    <t>michael@avdor.com</t>
  </si>
  <si>
    <t>050-5536186</t>
  </si>
  <si>
    <t>MC100EP40DTG</t>
  </si>
  <si>
    <t>IC 3.3/5V ECL DIFF. PHASE-FREQ. DETECTOR</t>
  </si>
  <si>
    <t>TQL9092</t>
  </si>
  <si>
    <t>ULTRA LOW NOISE FLAT GAIN LNA 0.6-4.2GHZ</t>
  </si>
  <si>
    <t>VF261AHHL-1-156.25MHZ</t>
  </si>
  <si>
    <t>N81485252</t>
  </si>
  <si>
    <t>OSCILLATOR 156.25MHZ +-25PPM PECL</t>
  </si>
  <si>
    <t>CTS VALPEY CORPORATION</t>
  </si>
  <si>
    <t>דונטק אלקטרוניקה</t>
  </si>
  <si>
    <t>Nissim Segal</t>
  </si>
  <si>
    <t>nissim@dawntek.co.il</t>
  </si>
  <si>
    <t>054-7999539</t>
  </si>
  <si>
    <t>N7E50-C516PK30</t>
  </si>
  <si>
    <t>RECTANGULAR HEADER 50 PIN DIP SOLDER</t>
  </si>
  <si>
    <t>1022L482-001</t>
  </si>
  <si>
    <t>SPACER FOR D-TYPE CONN.</t>
  </si>
  <si>
    <t>החרט</t>
  </si>
  <si>
    <t>רועי</t>
  </si>
  <si>
    <t>roy@haharat.com</t>
  </si>
  <si>
    <t>054-677-8700</t>
  </si>
  <si>
    <t>1022L485-002</t>
  </si>
  <si>
    <t>NUT FOR D-TYPE CONN.</t>
  </si>
  <si>
    <t xml:space="preserve">החרט </t>
  </si>
  <si>
    <t>1093A496-001</t>
  </si>
  <si>
    <t>D00820862</t>
  </si>
  <si>
    <t>DOT 2.0</t>
  </si>
  <si>
    <t>כימוגרף</t>
  </si>
  <si>
    <t>Shay Kleiman</t>
  </si>
  <si>
    <t>shay@chemograf.com</t>
  </si>
  <si>
    <t>054-3333665</t>
  </si>
  <si>
    <t>1022L984-001</t>
  </si>
  <si>
    <t>BRACKET</t>
  </si>
  <si>
    <t>לנטק בע"מ</t>
  </si>
  <si>
    <t>Eli Sofer</t>
  </si>
  <si>
    <t>eli@lantech.co.il</t>
  </si>
  <si>
    <t>052-5639454</t>
  </si>
  <si>
    <t>PX-501-0039-320M0000</t>
  </si>
  <si>
    <t>OSCILLATOR 320MHZ</t>
  </si>
  <si>
    <t>QPA2611TR7</t>
  </si>
  <si>
    <t>POWER AMP X-BAND GAN 8-12GHZ 5W QFN-24</t>
  </si>
  <si>
    <t>ROS-3050-819+</t>
  </si>
  <si>
    <t>VCO 2150-3050MHZ</t>
  </si>
  <si>
    <t>ROS-3760+</t>
  </si>
  <si>
    <t>VCO 3200-3760MHZ</t>
  </si>
  <si>
    <t>17 weeks</t>
  </si>
  <si>
    <t>SCH3114I-NU</t>
  </si>
  <si>
    <t>IC LPC IO WITH 8042KBC</t>
  </si>
  <si>
    <t>TA0877A</t>
  </si>
  <si>
    <t>SAW FILTER 787.5MHZ</t>
  </si>
  <si>
    <t>TVS07RB-23-35SN</t>
  </si>
  <si>
    <t>N70385471</t>
  </si>
  <si>
    <t>CONNECTOR,ELECTRIC,CIRCULAR,100 CONTACTS</t>
  </si>
  <si>
    <t>18-20wks</t>
  </si>
  <si>
    <t>X3C30F1-20S</t>
  </si>
  <si>
    <t>DIRECTIONAL COUPLER 2-4GHZ 20DB</t>
  </si>
  <si>
    <t>סווג FFF</t>
  </si>
  <si>
    <t>חומר</t>
  </si>
  <si>
    <t/>
  </si>
  <si>
    <t>מספר חלק יצרן</t>
  </si>
  <si>
    <t>CHIP RESIS 2KOHM 1% .063W T&amp;R</t>
  </si>
  <si>
    <t>CRCW04022K00FKTD</t>
  </si>
  <si>
    <t>V</t>
  </si>
  <si>
    <t>CR0402-FX-2001GLF</t>
  </si>
  <si>
    <t>CHIP RESIS 2KOHM 1% .0625W T&amp;R</t>
  </si>
  <si>
    <t>RC0402FR-072KL</t>
  </si>
  <si>
    <t>N62061551</t>
  </si>
  <si>
    <t>CHIP RESIS 2KOHM 1% .063WATT 1X0.5MM</t>
  </si>
  <si>
    <t>D101002K001%P0</t>
  </si>
  <si>
    <t>N62061791</t>
  </si>
  <si>
    <t>D10100002K1%P0</t>
  </si>
  <si>
    <t>N62079751</t>
  </si>
  <si>
    <t>CHIP RESIS 2KOHM 1% 0.063WATT 1X0.5M</t>
  </si>
  <si>
    <t>D101002001FP0</t>
  </si>
  <si>
    <t>N62080684</t>
  </si>
  <si>
    <t>CRCW04022001FRT7</t>
  </si>
  <si>
    <t>CHIP CAP 1200PF 10% 50V X7R</t>
  </si>
  <si>
    <t>C0603C122K5RAC</t>
  </si>
  <si>
    <t>C0603C122K5RALTU</t>
  </si>
  <si>
    <t>C0603C122K5RAL7867</t>
  </si>
  <si>
    <t>C0603C122K5RAC7867</t>
  </si>
  <si>
    <t>0603X7R122KT2AT</t>
  </si>
  <si>
    <t>CL10B122KB8NNNC</t>
  </si>
  <si>
    <t>CC0603KRX7R9BB122</t>
  </si>
  <si>
    <t>N62147590</t>
  </si>
  <si>
    <t>CHIP CAP 1200PF 10% 50VOLT 63X32 X7R</t>
  </si>
  <si>
    <t>C0603C122K5RAC/TR</t>
  </si>
  <si>
    <t>IC VOLT. REG. ADJ. T&amp;R</t>
  </si>
  <si>
    <t>LT1763CS8#TR</t>
  </si>
  <si>
    <t>LT1763CS8#TRPBF</t>
  </si>
  <si>
    <t>N58640186</t>
  </si>
  <si>
    <t>LT1763CS8</t>
  </si>
  <si>
    <t>CHIP JUMPER 1X0.5MM T&amp;R</t>
  </si>
  <si>
    <t>D101000R0P0</t>
  </si>
  <si>
    <t>CRCW04020000ZSTD</t>
  </si>
  <si>
    <t>CRCW04020000Z0ED</t>
  </si>
  <si>
    <t>CR0402-J/-000GLF</t>
  </si>
  <si>
    <t>N62067962</t>
  </si>
  <si>
    <t>CHIP RESIS 0 OHM 5% .063WATT 1.0X0.5</t>
  </si>
  <si>
    <t>MCR01MZSJ000</t>
  </si>
  <si>
    <t>N62079132</t>
  </si>
  <si>
    <t>CRCW0402000ZZRT7</t>
  </si>
  <si>
    <t>N62081245</t>
  </si>
  <si>
    <t>CHIP JUMPER  .063WATT 1X0.5MM TAPE/R</t>
  </si>
  <si>
    <t>D10100000ZZP0</t>
  </si>
  <si>
    <t>N62087572</t>
  </si>
  <si>
    <t>CHIP JUMPER 1X0.5MM TAPE/REEL</t>
  </si>
  <si>
    <t>D101000000ZP0</t>
  </si>
  <si>
    <t>N62884978</t>
  </si>
  <si>
    <t>CHIP JUMPER 39X20 10000EA/RL</t>
  </si>
  <si>
    <t>CJ05-000-H</t>
  </si>
  <si>
    <t>N63031009</t>
  </si>
  <si>
    <t>D10100000R1%P0</t>
  </si>
  <si>
    <t>CHIP RESIS 100KOHM 1% .063WtT&amp;R</t>
  </si>
  <si>
    <t>CRCW0402100KFKTD</t>
  </si>
  <si>
    <t>CR0402-FX-1003GLF</t>
  </si>
  <si>
    <t>CHIP RESIS 100KOHM 1% .0625W T&amp;R</t>
  </si>
  <si>
    <t>RC0402FR-07100KL</t>
  </si>
  <si>
    <t>N62084686</t>
  </si>
  <si>
    <t>CHIP RESIS 100KOHM 1% .063WATT 1X0.5</t>
  </si>
  <si>
    <t>D10100100K1%P0</t>
  </si>
  <si>
    <t>CHIP RESIS 100 OHM 1% .063W T&amp;R</t>
  </si>
  <si>
    <t>CRCW0402100RFKTD</t>
  </si>
  <si>
    <t>CR0402-FX-1000GLF</t>
  </si>
  <si>
    <t>N62084603</t>
  </si>
  <si>
    <t>CHIP RESIS 100 OHM 1% 0.063WATT 1X0.</t>
  </si>
  <si>
    <t>D10100100R1%P0</t>
  </si>
  <si>
    <t>CHIP RESIS 1.21KOHM 1% 0.063W T&amp;R</t>
  </si>
  <si>
    <t>CRCW04021211FRT7</t>
  </si>
  <si>
    <t>CRCW04021K21FKTD</t>
  </si>
  <si>
    <t>CR0402-FX-1211GLF</t>
  </si>
  <si>
    <t>RC0402FR-071K21L</t>
  </si>
  <si>
    <t>N62085782</t>
  </si>
  <si>
    <t>CHIP RESIS 1.21KOHM 1% 0.063WATT 1X0</t>
  </si>
  <si>
    <t>D101001K211%P0</t>
  </si>
  <si>
    <t>CRCW0402130RFKTD</t>
  </si>
  <si>
    <t>CR0402-FX-1300GLF</t>
  </si>
  <si>
    <t>RC0402FR-07130RL</t>
  </si>
  <si>
    <t>N62069679</t>
  </si>
  <si>
    <t>CHIP RESIS 130 OHM 1% .063WATT 1X0.5</t>
  </si>
  <si>
    <t>D10100130R1%P0</t>
  </si>
  <si>
    <t>CHIP RESIS 200 OHM 1% 0.063W T&amp;R</t>
  </si>
  <si>
    <t>CRCW04022000FRT7</t>
  </si>
  <si>
    <t>CHIP RESIS 200 OHM 1% .063W T&amp;R</t>
  </si>
  <si>
    <t>CRCW0402200RFKTD</t>
  </si>
  <si>
    <t>CR0402-FX-2000GLF</t>
  </si>
  <si>
    <t>N62059829</t>
  </si>
  <si>
    <t>CHIP RESIS 200 OHM 1% 0.063WATT 1X0.</t>
  </si>
  <si>
    <t>D10100200R1%P0</t>
  </si>
  <si>
    <t>CHIP RESIS 178 OHM 1% .063W T&amp;R</t>
  </si>
  <si>
    <t>CRCW0402178RFKTD</t>
  </si>
  <si>
    <t>CR0402-FX-1780GLF</t>
  </si>
  <si>
    <t>N62092978</t>
  </si>
  <si>
    <t>CHIP RESIS 178 OHM 1% 0.063WATT 1X0.</t>
  </si>
  <si>
    <t>D10100178R1%P0</t>
  </si>
  <si>
    <t>CRCW0402221RFKTD</t>
  </si>
  <si>
    <t>CR0402-FX-2210GLF</t>
  </si>
  <si>
    <t>RC0402FR-07221RL</t>
  </si>
  <si>
    <t>N62053822</t>
  </si>
  <si>
    <t>CHIP RESIS 221 OHM 1% .063WATT 1X0.5</t>
  </si>
  <si>
    <t>D10100221R1%P0</t>
  </si>
  <si>
    <t>CRCW0402243RFKTD</t>
  </si>
  <si>
    <t>CR0402-FX-2430GLF</t>
  </si>
  <si>
    <t>N62063086</t>
  </si>
  <si>
    <t>CHIP RESIS 243 OHM 1% .063WATT 1X0.5</t>
  </si>
  <si>
    <t>D10100243R1%P0</t>
  </si>
  <si>
    <t>CRCW040224R3FKTD</t>
  </si>
  <si>
    <t>CR0402-FX-24R3GLF</t>
  </si>
  <si>
    <t>RC0402FR-0724R3L</t>
  </si>
  <si>
    <t>N62088307</t>
  </si>
  <si>
    <t>CHIP RESIS 24.3 OHM 1% 0.063WATT 1X0</t>
  </si>
  <si>
    <t>CRCW040224R3FRT7</t>
  </si>
  <si>
    <t>N62089412</t>
  </si>
  <si>
    <t>D1010024R31%P0</t>
  </si>
  <si>
    <t>CRCW04023K01FKTD</t>
  </si>
  <si>
    <t>CR0402-FX-3011GLF</t>
  </si>
  <si>
    <t>N62082359</t>
  </si>
  <si>
    <t>CHIP RESIS 3.01KOHM 1% .063WATT 1X0.</t>
  </si>
  <si>
    <t>D101003K01FP0</t>
  </si>
  <si>
    <t>N62085535</t>
  </si>
  <si>
    <t>D101003K011%P0</t>
  </si>
  <si>
    <t>CRCW040230R1FKTD</t>
  </si>
  <si>
    <t>CR0402-FX-30R1GLF</t>
  </si>
  <si>
    <t>CHIP RESIS 30.1 OHM 1% .0625W T&amp;R</t>
  </si>
  <si>
    <t>RC0402FR-0730R1L</t>
  </si>
  <si>
    <t>N62075239</t>
  </si>
  <si>
    <t>CHIP RESIS 30.1 OHM 1% 0.063WATT 1X0</t>
  </si>
  <si>
    <t>D1010030R11%P0</t>
  </si>
  <si>
    <t>CHIP RESIS 332 OHM 1% .063W T&amp;R</t>
  </si>
  <si>
    <t>CRCW0402332RFKTD</t>
  </si>
  <si>
    <t>CR0402-FX-3320GLF</t>
  </si>
  <si>
    <t>N62071758</t>
  </si>
  <si>
    <t>CHIP RESIS 332 OHM 1% 0.063WATT 1X0.</t>
  </si>
  <si>
    <t>CRCW04023320FRT7</t>
  </si>
  <si>
    <t>N62093802</t>
  </si>
  <si>
    <t>D10100332R1%P0</t>
  </si>
  <si>
    <t>CRCW040275R0FKTD</t>
  </si>
  <si>
    <t>CR0402-FX-75R0GLF</t>
  </si>
  <si>
    <t>N62062948</t>
  </si>
  <si>
    <t>CHIP RESIS 75 OHM 1% .063WATT 1X0.5M</t>
  </si>
  <si>
    <t>D1010075R01%P0</t>
  </si>
  <si>
    <t>CHIP RESIS 4.32KOHM 1% .063W T&amp;R</t>
  </si>
  <si>
    <t>CRCW04024K32FKTD</t>
  </si>
  <si>
    <t>N62094800</t>
  </si>
  <si>
    <t>CHIP RESIS 4.32KOHM 1% .063WATT 1X0.</t>
  </si>
  <si>
    <t>D101004K321%P0</t>
  </si>
  <si>
    <t>CHIP RESIS 4.75KOHM 1% .063W T&amp;R</t>
  </si>
  <si>
    <t>CRCW04024K75FKTD</t>
  </si>
  <si>
    <t>CR0402-FX-4751GLF</t>
  </si>
  <si>
    <t>CHIP RESIS 4.75KOHM 1% .0625W T&amp;R</t>
  </si>
  <si>
    <t>RC0402FR-074K75L</t>
  </si>
  <si>
    <t>N62053350</t>
  </si>
  <si>
    <t>CHIP RESIS 4.75KOHM 1% .063WATT 1X0.</t>
  </si>
  <si>
    <t>D101004K751%P0</t>
  </si>
  <si>
    <t>N62056122</t>
  </si>
  <si>
    <t>D101004751FP0</t>
  </si>
  <si>
    <t>CHIP RESIS 499 OHM 1% .063W T&amp;R</t>
  </si>
  <si>
    <t>CRCW0402499RFKTD</t>
  </si>
  <si>
    <t>CR0402-FX-4990GLF</t>
  </si>
  <si>
    <t>N62078886</t>
  </si>
  <si>
    <t>CHIP RESIS 499 OHM 1% .063WATT 1X0.5</t>
  </si>
  <si>
    <t>D10100499R1%P0</t>
  </si>
  <si>
    <t>CHIP RESIS 4.99 KOHM 1% .063W T&amp;R</t>
  </si>
  <si>
    <t>CRCW04024K99FKTD</t>
  </si>
  <si>
    <t>CR0402-FX-4991GLF</t>
  </si>
  <si>
    <t>N62094024</t>
  </si>
  <si>
    <t>CHIP RESIS 4.99KOHM 1% .063WATT 1X0.</t>
  </si>
  <si>
    <t>D101004K991%P0</t>
  </si>
  <si>
    <t>CHIP RESIS 49.9OHM 1% 0.063W T&amp;R</t>
  </si>
  <si>
    <t>CRCW040249R9FRT7</t>
  </si>
  <si>
    <t>CHIP RESIS 49.9OHM 1% .063W T&amp;R</t>
  </si>
  <si>
    <t>CRCW040249R9FKTD</t>
  </si>
  <si>
    <t>CR0402-FX-49R9GLF</t>
  </si>
  <si>
    <t>N62069950</t>
  </si>
  <si>
    <t>CHIP RESIS 49.9 OHM 1% 0.063WATT 1X0</t>
  </si>
  <si>
    <t>D1010049R91%P0</t>
  </si>
  <si>
    <t>CRCW040217R8FKTD</t>
  </si>
  <si>
    <t>CR0402-FX-17R8GLF</t>
  </si>
  <si>
    <t>N62086293</t>
  </si>
  <si>
    <t>CHIP RESIS 17.8 OHM 1% 0.063WATT 1X0</t>
  </si>
  <si>
    <t>D1010017R81%P0</t>
  </si>
  <si>
    <t>CHIP RESIS 432 OHM 1% .063W T&amp;R</t>
  </si>
  <si>
    <t>CRCW0402432RFKTD</t>
  </si>
  <si>
    <t>CR0402-FX-4320GLF</t>
  </si>
  <si>
    <t>N62057260</t>
  </si>
  <si>
    <t>CHIP RESIS 432 OHM 1% 0.063WATT 1X0.</t>
  </si>
  <si>
    <t>D10100432R1%P0</t>
  </si>
  <si>
    <t>CRCW040282R5FKTD</t>
  </si>
  <si>
    <t>N62051727</t>
  </si>
  <si>
    <t>CHIP RESIS 82.5 OHM 1% 0.063WATT 1X0</t>
  </si>
  <si>
    <t>D1010082R51%P0</t>
  </si>
  <si>
    <t>CRCW040290R9FKTD</t>
  </si>
  <si>
    <t>CR0402-FX-90R9GLF</t>
  </si>
  <si>
    <t>N62067384</t>
  </si>
  <si>
    <t>CHIP RESIS 90.9 OHM 1% 0.063WATT 1X0</t>
  </si>
  <si>
    <t>D1010090R91%P0</t>
  </si>
  <si>
    <t>CRCW040212R1FKTD</t>
  </si>
  <si>
    <t>CR0402-FX-12R1GLF</t>
  </si>
  <si>
    <t>N62062740</t>
  </si>
  <si>
    <t>CHIP RESIS 12.1 OHM 1% 0.063WATT 1X0</t>
  </si>
  <si>
    <t>D1010012R11%P0</t>
  </si>
  <si>
    <t>CRCW0402294RFKTD</t>
  </si>
  <si>
    <t>CR0402-FX-2940GLF</t>
  </si>
  <si>
    <t>RC0402FR-07294RL</t>
  </si>
  <si>
    <t>N62060082</t>
  </si>
  <si>
    <t>CHIP RESIS 294 OHM 1% 0.063WATT 1X0.</t>
  </si>
  <si>
    <t>D10100294R1%P0</t>
  </si>
  <si>
    <t>C0402C100C5GALTU</t>
  </si>
  <si>
    <t>C0402C100C5GACTU</t>
  </si>
  <si>
    <t>C0402C100C5GAL7867</t>
  </si>
  <si>
    <t>0402NPO100CT2AT</t>
  </si>
  <si>
    <t>GRM1555C1H100GA01D</t>
  </si>
  <si>
    <t>CL05C100CB5NNNC</t>
  </si>
  <si>
    <t>CC0402CRNPO9BN100</t>
  </si>
  <si>
    <t>N62177241</t>
  </si>
  <si>
    <t>CHIP CAP 10PF +-0.25PF 50VOLT 1X0.5M</t>
  </si>
  <si>
    <t>C0402C100C5GAC/TR</t>
  </si>
  <si>
    <t>CHIP CAP 100PF 5% 25V C0G T&amp;R</t>
  </si>
  <si>
    <t>C0402C101J3GALTU</t>
  </si>
  <si>
    <t>C0402C101J3GAL7867</t>
  </si>
  <si>
    <t>0402NPO101JT1AT</t>
  </si>
  <si>
    <t>CC0402JRNPO9BN101</t>
  </si>
  <si>
    <t>N62167002</t>
  </si>
  <si>
    <t>CHIP CAP 100PF 5% 25VOLT 40X20 NPO N</t>
  </si>
  <si>
    <t>04023A101JAT2A</t>
  </si>
  <si>
    <t>N62195896</t>
  </si>
  <si>
    <t>CHIP CAP 100PF 5% 25VOLT 1X0.5MM C</t>
  </si>
  <si>
    <t>C0402C101J3GAC/TR</t>
  </si>
  <si>
    <t>CHIP CAP 1000PF 10% 50V X7R T&amp;R</t>
  </si>
  <si>
    <t>C0402C102K5RAL/TR</t>
  </si>
  <si>
    <t>C0402C102K5RALTU</t>
  </si>
  <si>
    <t>C0402C102K5RACTU</t>
  </si>
  <si>
    <t>CHIP CAP 1000PF 10% 50VOLT  X7R T&amp;R</t>
  </si>
  <si>
    <t>C0402C102K5RAL7867</t>
  </si>
  <si>
    <t>0402X7R102KT2AT</t>
  </si>
  <si>
    <t>CL05B102KB5NNNC</t>
  </si>
  <si>
    <t>CC0402KRX7R9BN102</t>
  </si>
  <si>
    <t>GRM155R71H102KA01D</t>
  </si>
  <si>
    <t>N62170980</t>
  </si>
  <si>
    <t>CHIP CAP 1000PF 10% 50VOLT 40X20 X7R</t>
  </si>
  <si>
    <t>C0402C102K5RAC/TR</t>
  </si>
  <si>
    <t>CHIP CAP 0.01UF 10% 25V X7R</t>
  </si>
  <si>
    <t>VJ0402Y103KXXAC</t>
  </si>
  <si>
    <t>CHIP CAP 0.01UF 10% 25V X7R T&amp;R</t>
  </si>
  <si>
    <t>C0402C103K3RAL/TR</t>
  </si>
  <si>
    <t>C0402C103K3RALTU</t>
  </si>
  <si>
    <t>C0402C103K3RACTU</t>
  </si>
  <si>
    <t>C0402C103K3RAL7867</t>
  </si>
  <si>
    <t>GRM155R71E103KA01D</t>
  </si>
  <si>
    <t>C0402C103K3RAC7411</t>
  </si>
  <si>
    <t>0402X7R103KT1AT</t>
  </si>
  <si>
    <t>CL05B103KA5NNNC</t>
  </si>
  <si>
    <t>CC0402KRX7R8BN103</t>
  </si>
  <si>
    <t>N62140587</t>
  </si>
  <si>
    <t>CHIP CAP 0.01UF 10% 25VOLT 40X20 X7R</t>
  </si>
  <si>
    <t>C0402C103K3RAC/TR</t>
  </si>
  <si>
    <t>CHIP CAP 0.1UF 10% 16V X7R T/R</t>
  </si>
  <si>
    <t>C0402C104K4RAC/TR</t>
  </si>
  <si>
    <t>CHIP CAP 0.1UF 10% 16V X7R T&amp;R</t>
  </si>
  <si>
    <t>C0402C104K4RALTU</t>
  </si>
  <si>
    <t>C0402C104K4RACTU</t>
  </si>
  <si>
    <t>C0402C104K4RAL7867</t>
  </si>
  <si>
    <t>C0402C104K4RAC7867</t>
  </si>
  <si>
    <t>EMK105B7104KV-F</t>
  </si>
  <si>
    <t>0402YC104KAT2A</t>
  </si>
  <si>
    <t>CC0402KRX7R7BB104</t>
  </si>
  <si>
    <t>0402X7R104KT7AT</t>
  </si>
  <si>
    <t>CL05B104KO5NNNC</t>
  </si>
  <si>
    <t>C0603C150G5GALTU</t>
  </si>
  <si>
    <t>C0603C150G5GACTU</t>
  </si>
  <si>
    <t>CHIP CAP 15PF 2% 50V C0G TR</t>
  </si>
  <si>
    <t>C0603C150G5GAL7867</t>
  </si>
  <si>
    <t>C0603C150G5GAC7867</t>
  </si>
  <si>
    <t>N62141577</t>
  </si>
  <si>
    <t>CHIP CAP 15PF 2% 50VOLT 63X32 COG NI</t>
  </si>
  <si>
    <t>C0603C150G5GAC/TR</t>
  </si>
  <si>
    <t>N62175211</t>
  </si>
  <si>
    <t>CHIP CAP 15PF 2% 50VOLT 63X32 NPO TA</t>
  </si>
  <si>
    <t>06035A150GAT2A</t>
  </si>
  <si>
    <t>C0603C220G5GAL/TR</t>
  </si>
  <si>
    <t>C0603C220G5GACTU</t>
  </si>
  <si>
    <t>C0603C220G5GAL7867</t>
  </si>
  <si>
    <t>C0603C220G5GAC7867</t>
  </si>
  <si>
    <t>CC0603GRNPO9BN220</t>
  </si>
  <si>
    <t>CL10C220GB8NNNC</t>
  </si>
  <si>
    <t>N62148457</t>
  </si>
  <si>
    <t>CHIP CAP 22PF 2% 50VOLT 63X32 COG NI</t>
  </si>
  <si>
    <t>C0603C220G5GAC/TR</t>
  </si>
  <si>
    <t>N62157607</t>
  </si>
  <si>
    <t>CHIP CAP 22PF 2% 50VOLT 63X32 NPO TA</t>
  </si>
  <si>
    <t>06035A220GAT2A</t>
  </si>
  <si>
    <t>CHIP CAP 47PF 2% 50V C0G T&amp;R</t>
  </si>
  <si>
    <t>C0603C470G5GALTU</t>
  </si>
  <si>
    <t>CHIP CAP 47PF 2% 50V COG T&amp;R</t>
  </si>
  <si>
    <t>C0603C470G5GACTU</t>
  </si>
  <si>
    <t>CHIP CAP 47PF 2per 50V C0G T/R</t>
  </si>
  <si>
    <t>C0603C470G5GAL7867</t>
  </si>
  <si>
    <t>C0603C470G5GAC7867</t>
  </si>
  <si>
    <t>CC0603GRNPO9BN470</t>
  </si>
  <si>
    <t>0603X7R470GT2AT</t>
  </si>
  <si>
    <t>N62149224</t>
  </si>
  <si>
    <t>CHIP CAP 47PF 2% 50VOLT 63X32 COG NI</t>
  </si>
  <si>
    <t>C0603C470G5GAC/TR</t>
  </si>
  <si>
    <t>N62151519</t>
  </si>
  <si>
    <t>CHIP CAP 47PF 2% 50VOLT 63X32 NPO TA</t>
  </si>
  <si>
    <t>06035A470GAT2A</t>
  </si>
  <si>
    <t>C0603C680G5GALTU</t>
  </si>
  <si>
    <t>C0603C680G5GACTU</t>
  </si>
  <si>
    <t>C0603C680G5GAL7867</t>
  </si>
  <si>
    <t>C0603C680G5GAC7867</t>
  </si>
  <si>
    <t>CC0603GRNPO9BN680</t>
  </si>
  <si>
    <t>0603NPO680GT2AT</t>
  </si>
  <si>
    <t>N62123484</t>
  </si>
  <si>
    <t>CHIP CAP 68PF 2% 50VOLT 63X32 NPO TA</t>
  </si>
  <si>
    <t>06035A680GAT2A</t>
  </si>
  <si>
    <t>N62142427</t>
  </si>
  <si>
    <t>CHIP CAP 68PF 2% 50VOLT 63X32 COG NI</t>
  </si>
  <si>
    <t>C0603C680G5GAC/TR</t>
  </si>
  <si>
    <t>CHIP CAP 120PF 2% 50V C0G T&amp;R</t>
  </si>
  <si>
    <t>C0603C121G5GALTU</t>
  </si>
  <si>
    <t>C0603C121G5GACTU</t>
  </si>
  <si>
    <t>C0603C121G5GAC7867</t>
  </si>
  <si>
    <t>N62140108</t>
  </si>
  <si>
    <t>CHIP CAP 120PF 2% 50VOLT 63X32 COG N</t>
  </si>
  <si>
    <t>C0603C121G5GAC/TR</t>
  </si>
  <si>
    <t>C0603C181K5RALTU</t>
  </si>
  <si>
    <t>N62147004</t>
  </si>
  <si>
    <t>CHIP CAP 180PF 10% 50VOLT 63X32 X7R</t>
  </si>
  <si>
    <t>C0603C181K5RAC/TR</t>
  </si>
  <si>
    <t>CHIP CAP 220PF 10% 50V X7R T&amp;R</t>
  </si>
  <si>
    <t>C0603C221K5RALTU</t>
  </si>
  <si>
    <t>C0603C221K5RACTU</t>
  </si>
  <si>
    <t>C0603C221K5RAL7867</t>
  </si>
  <si>
    <t>N62146378</t>
  </si>
  <si>
    <t>CHIP CAP 220PF 10% 50VOLT 63X32 X7R</t>
  </si>
  <si>
    <t>C0603C221K5RAC/TR</t>
  </si>
  <si>
    <t>C0603C561K5RALTU</t>
  </si>
  <si>
    <t>N62145149</t>
  </si>
  <si>
    <t>CHIP CAP 560PF 10% 50VOLT 63X32 X7R</t>
  </si>
  <si>
    <t>C0603C561K5RAC/TR</t>
  </si>
  <si>
    <t>CHIP CAP 3300PF 10% 50V X7R</t>
  </si>
  <si>
    <t>C0603C332K5RAC</t>
  </si>
  <si>
    <t>CHIP CAP 3300PF 10% 50V X7R T&amp;R</t>
  </si>
  <si>
    <t>C0603C332K5RALTU</t>
  </si>
  <si>
    <t>C0603C332K5RACTU</t>
  </si>
  <si>
    <t>C0603C332K5RAL7867</t>
  </si>
  <si>
    <t>C0603C332K5RAC7867</t>
  </si>
  <si>
    <t>N62147269</t>
  </si>
  <si>
    <t>CHIP CAP 3300PF 10% 50VOLT 63X32 X7R</t>
  </si>
  <si>
    <t>C0603C332K5RAC/TR</t>
  </si>
  <si>
    <t>CHIP CAP 1UF 10% 16V X5R T&amp;R</t>
  </si>
  <si>
    <t>C0603C105K4PAC/TR</t>
  </si>
  <si>
    <t>C0603C105K4PALTU</t>
  </si>
  <si>
    <t>C0603C105K4RALTU</t>
  </si>
  <si>
    <t>CHIP CAP 1UF 16V 10% X7R T&amp;R</t>
  </si>
  <si>
    <t>C0603C105K4RAC/TR</t>
  </si>
  <si>
    <t>C0603C105K4RAL7867</t>
  </si>
  <si>
    <t>C0603C105K4RAC7867</t>
  </si>
  <si>
    <t>EMK107B7105KA-T</t>
  </si>
  <si>
    <t>0603X7R105KT7AT</t>
  </si>
  <si>
    <t>C0603C105K4RACAUTO</t>
  </si>
  <si>
    <t>CC0603KRX7R7BB105</t>
  </si>
  <si>
    <t>CHIP CAP 10UF 10% 16V X7R T&amp;R</t>
  </si>
  <si>
    <t>C1206C106K4RAC/TR</t>
  </si>
  <si>
    <t>C1206C106K4RALTM</t>
  </si>
  <si>
    <t>C1206C106K4RAL7025</t>
  </si>
  <si>
    <t xml:space="preserve"> CHIP CAP 10UF 10% 16V X7R T&amp;R</t>
  </si>
  <si>
    <t>C1206C106K4RAC7800</t>
  </si>
  <si>
    <t>C1206C106K4RAC7025</t>
  </si>
  <si>
    <t>C1206C106K4RAL3325T500</t>
  </si>
  <si>
    <t>EMK316AB7106KLHT</t>
  </si>
  <si>
    <t>EMK316B7106KL-TD</t>
  </si>
  <si>
    <t>C1206C106K4RACAUTO</t>
  </si>
  <si>
    <t>C3216X7R1C106K160AC</t>
  </si>
  <si>
    <t>1206X7R106KT7AT</t>
  </si>
  <si>
    <t>CL31B106KOHNFNE</t>
  </si>
  <si>
    <t>T491X336K025AT</t>
  </si>
  <si>
    <t>N62190913</t>
  </si>
  <si>
    <t>CHIP CAP 33UF 10% 25VOLT 287X169 TAN</t>
  </si>
  <si>
    <t>T491X336K025AS</t>
  </si>
  <si>
    <t>CHIP CAP 68UF 10% 20V TANTALT&amp;R</t>
  </si>
  <si>
    <t>T491D686K020AS</t>
  </si>
  <si>
    <t>CHIP CAP 68UF 10% 20V TANTAL T&amp;R</t>
  </si>
  <si>
    <t>T491D686K020AH</t>
  </si>
  <si>
    <t>T491D686K020AT</t>
  </si>
  <si>
    <t>T491D107K010AH</t>
  </si>
  <si>
    <t>T491D107K010AT</t>
  </si>
  <si>
    <t>TAJD107K010RNJ</t>
  </si>
  <si>
    <t>N62108519</t>
  </si>
  <si>
    <t>CHIP CAP 100UF 10% 10VOLT 287X169 TA</t>
  </si>
  <si>
    <t>T491D107K010AS</t>
  </si>
  <si>
    <t>T491A106K010AT</t>
  </si>
  <si>
    <t>T491A106K010AH</t>
  </si>
  <si>
    <t>N62149273</t>
  </si>
  <si>
    <t>CHIP CAP 10UF 10% 10VOLT 126X63 TANT</t>
  </si>
  <si>
    <t>T491A106K010AS</t>
  </si>
  <si>
    <t>T491B335K025AT</t>
  </si>
  <si>
    <t>N62165691</t>
  </si>
  <si>
    <t>CHIP CAP 3.3UF 10% 25VOLT 138X110 TA</t>
  </si>
  <si>
    <t>T491B335K025AS</t>
  </si>
  <si>
    <t>T491X107K020AT</t>
  </si>
  <si>
    <t>N62180716</t>
  </si>
  <si>
    <t>CHIP CAP 100UF 10% 20VOLT 287X169 TA</t>
  </si>
  <si>
    <t>T491X107K020AS</t>
  </si>
  <si>
    <t>CONN,ACCESS,CONTACT,SOCKET,22D AWG,LJT-R</t>
  </si>
  <si>
    <t>10-597878-011</t>
  </si>
  <si>
    <t>N64832827</t>
  </si>
  <si>
    <t>CONTACT SOCKET 22DAWG SOLDER GOLD-PL</t>
  </si>
  <si>
    <t>10-497623-15</t>
  </si>
  <si>
    <t>N58619156</t>
  </si>
  <si>
    <t>IC LINEAR  REFERENCE VOLTAGE 2.5V OR</t>
  </si>
  <si>
    <t>AD780BR-REEL7</t>
  </si>
  <si>
    <t>N58666512</t>
  </si>
  <si>
    <t>IC LINEAR  HIGHT PRECISION REFERENCE</t>
  </si>
  <si>
    <t>AD780BR</t>
  </si>
  <si>
    <t>T491B476M010AT</t>
  </si>
  <si>
    <t>C0402C104K8RAL/TR</t>
  </si>
  <si>
    <t>C0402C104K8RALTU</t>
  </si>
  <si>
    <t>C0402C104K8RACTU</t>
  </si>
  <si>
    <t>C0402C104K8RAL7867</t>
  </si>
  <si>
    <t>C0402C104K8RAC7867</t>
  </si>
  <si>
    <t>C0402C103K4RAL7867</t>
  </si>
  <si>
    <t>C0402C473K3RALTU</t>
  </si>
  <si>
    <t>CHIP CAP 0.047UF 10% 25V X7R T/R</t>
  </si>
  <si>
    <t>C0402C473K3RAL7867</t>
  </si>
  <si>
    <t>C0402C473K3RAC7867</t>
  </si>
  <si>
    <t>C0402C109C5GAC/TR</t>
  </si>
  <si>
    <t>C0402C109C5GALTU</t>
  </si>
  <si>
    <t>C0402C109C5GAL7867</t>
  </si>
  <si>
    <t>C0402C360G5GAC/TR</t>
  </si>
  <si>
    <t>C0402C360G5GALTU</t>
  </si>
  <si>
    <t>C0402C360G5GACTU</t>
  </si>
  <si>
    <t>CHIP CAP 4.7PF 10% 50V C0G T&amp;R</t>
  </si>
  <si>
    <t>C0402C479K5GAC/TR</t>
  </si>
  <si>
    <t>C0402C479K5GAL7867</t>
  </si>
  <si>
    <t>C0402C479K5GALTU</t>
  </si>
  <si>
    <t>CHIP CAP 4.7PF +-0.5PF 50V C0G T&amp;R</t>
  </si>
  <si>
    <t>C0402C479D5GACTU</t>
  </si>
  <si>
    <t>GJM1555C1H4R7CB01D</t>
  </si>
  <si>
    <t>CHIP CAP 56PF 5% 50V C0G T&amp;R</t>
  </si>
  <si>
    <t>C0402C560J5GAC/TR</t>
  </si>
  <si>
    <t>C0402C560J5GALTU</t>
  </si>
  <si>
    <t>CHIP CAP 0.1UF 10% 25V X7R T&amp;R</t>
  </si>
  <si>
    <t>C0603C104K3RAL/TR</t>
  </si>
  <si>
    <t>C0603C104K3RALTU</t>
  </si>
  <si>
    <t>CHIP CAP .1UF 10% 25V X7R T&amp;R</t>
  </si>
  <si>
    <t>C0603C104K3RACTU</t>
  </si>
  <si>
    <t>C0603C104K3RAL7867</t>
  </si>
  <si>
    <t>N62185996</t>
  </si>
  <si>
    <t>CHIP CAP 0.1UF 10% 25VOLT 1.6X0.8MM</t>
  </si>
  <si>
    <t>C0603C104K3RAC/TR</t>
  </si>
  <si>
    <t>C0603C104K5RAC</t>
  </si>
  <si>
    <t>C0603C104K5RAC/TR</t>
  </si>
  <si>
    <t>C0603C104K5RALTU</t>
  </si>
  <si>
    <t>CHIP CAP .1UF 10% 50V X7R T&amp;R</t>
  </si>
  <si>
    <t>C0603C104K5RACTU</t>
  </si>
  <si>
    <t>C0603C104K5RAL7867</t>
  </si>
  <si>
    <t>CHIP CAP 0.1UF 50V X7R T&amp;R</t>
  </si>
  <si>
    <t>GRM188R71H104KA93D</t>
  </si>
  <si>
    <t>UMK107B7104KAHT</t>
  </si>
  <si>
    <t>CGA3E2X7R1H104K080AA</t>
  </si>
  <si>
    <t>C1608X7R1H104K080AA</t>
  </si>
  <si>
    <t>C0603X104K5RAC7867</t>
  </si>
  <si>
    <t>CC0603KRX7R9BB104</t>
  </si>
  <si>
    <t>C0603C104K5RACAUTO</t>
  </si>
  <si>
    <t>0603X7R104KT2AT</t>
  </si>
  <si>
    <t>C0603C104K5RAC7411</t>
  </si>
  <si>
    <t>CL10B104KB8NNNC</t>
  </si>
  <si>
    <t>C0805C105K3RALTM</t>
  </si>
  <si>
    <t>C0805C105K3RAC7025</t>
  </si>
  <si>
    <t>C0805C105K3RACTU</t>
  </si>
  <si>
    <t>CHIP CAP 2.2UF 10% 16V X7R T&amp;R</t>
  </si>
  <si>
    <t>C0805C225K4RALTM</t>
  </si>
  <si>
    <t>C0805C225K4RALTU</t>
  </si>
  <si>
    <t xml:space="preserve"> CHIP CAP 2.2UF 10% 16V X7R T_R</t>
  </si>
  <si>
    <t>C0805C225K4RACTU</t>
  </si>
  <si>
    <t>CL21B225KOFNNNE</t>
  </si>
  <si>
    <t>CHIP CAP 0.01UF 10% 16V X7R T&amp;R</t>
  </si>
  <si>
    <t>C0603C103K4RALTU</t>
  </si>
  <si>
    <t>CAP CHIP 0.01UF 10% 16V 0603 X7R T&amp;R</t>
  </si>
  <si>
    <t>N62196381</t>
  </si>
  <si>
    <t>CHIP CAP .01UF 10% 16VOLT 63X32 X7R</t>
  </si>
  <si>
    <t>C0603C103K4RAC</t>
  </si>
  <si>
    <t>C0805C183K5RAL7025</t>
  </si>
  <si>
    <t>C0805C183K5RAC7025</t>
  </si>
  <si>
    <t>C0805C183K5RACTU</t>
  </si>
  <si>
    <t>N62149992</t>
  </si>
  <si>
    <t>CHIP CAP .018UF 10% 50VOLT 80X50 X7R</t>
  </si>
  <si>
    <t>C0805C183K5RAC/TR</t>
  </si>
  <si>
    <t>INDUCTOR 1UH 20% SHIELDED T&amp;R</t>
  </si>
  <si>
    <t>N29137924</t>
  </si>
  <si>
    <t>HIGH CURRENT INDUCTOR 1UH 20%</t>
  </si>
  <si>
    <t>IHLP2525CZ-01-1.0UH 20%</t>
  </si>
  <si>
    <t>SMMBT2222ALT1G</t>
  </si>
  <si>
    <t>N54215025</t>
  </si>
  <si>
    <t>TRANSISTOR  2N2222A NPN   T&amp;R</t>
  </si>
  <si>
    <t>MMBT2222ALT1</t>
  </si>
  <si>
    <t>IC LINEAR   DUAL OP. AMP.</t>
  </si>
  <si>
    <t>AD823ARZ</t>
  </si>
  <si>
    <t>DUAL, 16 MHZ, RAIL-TO-RAIL AMPLIFIER t&amp;r</t>
  </si>
  <si>
    <t>IC QUAD DIFF LINE DRVIVER T&amp;R</t>
  </si>
  <si>
    <t>DS26LV31TMX</t>
  </si>
  <si>
    <t>DS26LV31TMX/NOPB</t>
  </si>
  <si>
    <t>N60152543</t>
  </si>
  <si>
    <t>IC INTFACE 3V, QUAD LINE DRV DIFF IN</t>
  </si>
  <si>
    <t>DS26LV31TM</t>
  </si>
  <si>
    <t>N62717855</t>
  </si>
  <si>
    <t>CHIP ATT. 1DB DC-18GHZ 60X75MIL .1WA</t>
  </si>
  <si>
    <t>TS0501W3S</t>
  </si>
  <si>
    <t>IC QUAD DIFF LINE RECEIVER T&amp;R</t>
  </si>
  <si>
    <t>DS26LV32ATMX</t>
  </si>
  <si>
    <t>IC INTFACE 3V, QUAD LINE REC DIFF IN</t>
  </si>
  <si>
    <t>DS26LV32ATM/NOPB</t>
  </si>
  <si>
    <t>DS26LV32ATMX/NOPB</t>
  </si>
  <si>
    <t>N60416302</t>
  </si>
  <si>
    <t>DS26LV32ATM</t>
  </si>
  <si>
    <t>IC 3V LVDS, QUAD LINE RECEIVER</t>
  </si>
  <si>
    <t>DS90LV032ATM/NOPB</t>
  </si>
  <si>
    <t>DS90LV032ATMX</t>
  </si>
  <si>
    <t>N60490547</t>
  </si>
  <si>
    <t>IC INTFACE 3V LVDS, QUAD LINE RECEI</t>
  </si>
  <si>
    <t>DS90LV032ATM</t>
  </si>
  <si>
    <t>DIODE TRANSIENT VOLTAGE SUUPPRESSOR</t>
  </si>
  <si>
    <t>PSOT03C</t>
  </si>
  <si>
    <t>IC DIGITAL UHS 2-INPUT OR GATE T&amp;R</t>
  </si>
  <si>
    <t>NC7SZ32P5X-F22057</t>
  </si>
  <si>
    <t>N57154981</t>
  </si>
  <si>
    <t>NC7SZ32P5</t>
  </si>
  <si>
    <t>CHIP CAP 680PF 10% 50V X7R T&amp;R</t>
  </si>
  <si>
    <t>C0402C681K5RALTU</t>
  </si>
  <si>
    <t>C0402C681K5RACTU</t>
  </si>
  <si>
    <t>C0402C681K5RAL7867</t>
  </si>
  <si>
    <t>IC LINE DRIVER x 16</t>
  </si>
  <si>
    <t>SN65LVDS387DGG</t>
  </si>
  <si>
    <t>IC DIF LINE DRIVER X 16</t>
  </si>
  <si>
    <t>SN65LVDS387DGGG4</t>
  </si>
  <si>
    <t>CHIP CAP MULTILAYER 0.1UF, SINGLE LAYER</t>
  </si>
  <si>
    <t>BB0502X7R104M16VNT9820-1</t>
  </si>
  <si>
    <t>BB0502X104MGN1N8-8</t>
  </si>
  <si>
    <t>MBB0502X104MGN1C8-8</t>
  </si>
  <si>
    <t>ADG918BCPZ-R2</t>
  </si>
  <si>
    <t>IC DUAL 12 BIT DAC T&amp;R</t>
  </si>
  <si>
    <t>AD5623RBRMZ-5REEL7</t>
  </si>
  <si>
    <t>OCTAL 12 BIT DAC WITH 5 PPM/°C T&amp;R</t>
  </si>
  <si>
    <t>AD5628BRUZ-2REEL7</t>
  </si>
  <si>
    <t>ic OCTAL 12 BIT DAC WITH 5 PPM/°C</t>
  </si>
  <si>
    <t>IC ULTRALOW NOISE VGAS T&amp;R</t>
  </si>
  <si>
    <t>AD8332ACP-REEL7</t>
  </si>
  <si>
    <t>AD8332ACP-R2</t>
  </si>
  <si>
    <t>AD8332ACPZ-R2</t>
  </si>
  <si>
    <t>IC DIRECT DIGITAL SYNTHESIZER T&amp;R</t>
  </si>
  <si>
    <t>AD9910BSVZ-REEL</t>
  </si>
  <si>
    <t>IC DIFF. AMPLIFIER AND LP FILTER T&amp;R</t>
  </si>
  <si>
    <t>LT6604IUFF-15 TRPBF</t>
  </si>
  <si>
    <t>RECT HEADER 50 PIN DIP SOLDER</t>
  </si>
  <si>
    <t>N64568660</t>
  </si>
  <si>
    <t>N7E50-C516VY-30</t>
  </si>
  <si>
    <t>N62229828</t>
  </si>
  <si>
    <t>1008CS-271XGBC</t>
  </si>
  <si>
    <t>DIODE SCHOTTKY  30V 200MA</t>
  </si>
  <si>
    <t>BAT54WS</t>
  </si>
  <si>
    <t>BAT54WS-7-F</t>
  </si>
  <si>
    <t>IC VOLTAGE REF. 2.5V</t>
  </si>
  <si>
    <t>REF192ES-REEL7</t>
  </si>
  <si>
    <t>N58612243</t>
  </si>
  <si>
    <t>CHP01017</t>
  </si>
  <si>
    <t>REF192ES</t>
  </si>
  <si>
    <t>N48370241</t>
  </si>
  <si>
    <t>DIODE REF 5.1V 5% 3000EA/RL SOD323-P</t>
  </si>
  <si>
    <t>MM3Z5V1T1</t>
  </si>
  <si>
    <t>CHIP RESIS 3 OHM 5% .1W T&amp;R</t>
  </si>
  <si>
    <t>D112003R005%P5</t>
  </si>
  <si>
    <t>CRCW06033R00FKTA</t>
  </si>
  <si>
    <t>CR0603-J/-3R0ELF</t>
  </si>
  <si>
    <t>N62041082</t>
  </si>
  <si>
    <t>CHIP RESIS 3 OHM 5% .1WATT 1.55X0.85</t>
  </si>
  <si>
    <t>D111003R005%P5</t>
  </si>
  <si>
    <t>N62042338</t>
  </si>
  <si>
    <t>CHIP RESIS 3 OHM 2% .1WATT 1.55X0.85</t>
  </si>
  <si>
    <t>D113R00GCS</t>
  </si>
  <si>
    <t>IC DIGITAL THERMOMETER t&amp;r</t>
  </si>
  <si>
    <t>DS620U/TR</t>
  </si>
  <si>
    <t>IC DIGITAL THERMOMETER</t>
  </si>
  <si>
    <t>DS620U+</t>
  </si>
  <si>
    <t>N64207038</t>
  </si>
  <si>
    <t>RECT HEADER R/A 10 PIN DIP SOLDER</t>
  </si>
  <si>
    <t>2510-5003-UG</t>
  </si>
  <si>
    <t>N65409773</t>
  </si>
  <si>
    <t>82MMCX-50-0-1</t>
  </si>
  <si>
    <t>74LVT125PW-T</t>
  </si>
  <si>
    <t>74LVT125PW.112</t>
  </si>
  <si>
    <t>N60508348</t>
  </si>
  <si>
    <t>IC INTFACE  QUAD BUFFER 3.3V</t>
  </si>
  <si>
    <t>74LVT125PW</t>
  </si>
  <si>
    <t>N62316823</t>
  </si>
  <si>
    <t>MPP4201-206/TR</t>
  </si>
  <si>
    <t>N62352372</t>
  </si>
  <si>
    <t>MPP4201A-206T/R</t>
  </si>
  <si>
    <t>SCREW 100 DEGREE FLAT COUNTERSUNK HE</t>
  </si>
  <si>
    <t>MS24693-2</t>
  </si>
  <si>
    <t>CHIP RESIS 50-OHM 5% 1.5W T&amp;R</t>
  </si>
  <si>
    <t>S1206HBX500J10/TR</t>
  </si>
  <si>
    <t>C0603C105K3RAL7867</t>
  </si>
  <si>
    <t>C0603C105K3RAC7867</t>
  </si>
  <si>
    <t>TMK107AB7105KAHT</t>
  </si>
  <si>
    <t>0603X7R105KT1AT</t>
  </si>
  <si>
    <t>CL10B105KA8NNNC</t>
  </si>
  <si>
    <t>CC0603KRX7R8BB105</t>
  </si>
  <si>
    <t>CHIP CAP 10UF 10% 10V X7R T&amp;R</t>
  </si>
  <si>
    <t>C0805C106K8RAL7025</t>
  </si>
  <si>
    <t>C0805C106K8RAC7025</t>
  </si>
  <si>
    <t>C0805C106K8RAC7800</t>
  </si>
  <si>
    <t>C0805C106K8RACTU</t>
  </si>
  <si>
    <t>0805X7R106KTAAT</t>
  </si>
  <si>
    <t>CL21B106KPQNNNE</t>
  </si>
  <si>
    <t>CC0805KKX7R6BB106</t>
  </si>
  <si>
    <t>CRCW040233R2FKTD</t>
  </si>
  <si>
    <t>CR0402-FX-33R2GLF</t>
  </si>
  <si>
    <t>C0805C475K4RAL7025</t>
  </si>
  <si>
    <t>C0805C475K4RACTU</t>
  </si>
  <si>
    <t>C0805C475K4RAC7800</t>
  </si>
  <si>
    <t>0805X7R475KT7AT</t>
  </si>
  <si>
    <t>CL21B475KOFNNNE</t>
  </si>
  <si>
    <t>C0402C279C5GACTU</t>
  </si>
  <si>
    <t>CL05C2R7CB5NNNC</t>
  </si>
  <si>
    <t>C0805C105K5RAL7025</t>
  </si>
  <si>
    <t>C0805C105K5RACTU</t>
  </si>
  <si>
    <t>C0805C105K5RAC7800</t>
  </si>
  <si>
    <t>0805X7R105KT2AT</t>
  </si>
  <si>
    <t>CL21B105KBFNNNE</t>
  </si>
  <si>
    <t>CHIP INDUCTOR 1.2UH 2% T&amp;R</t>
  </si>
  <si>
    <t>0603LS-122XGLC</t>
  </si>
  <si>
    <t>C4532X7R1E226MT</t>
  </si>
  <si>
    <t>1812X7R226MT1AT</t>
  </si>
  <si>
    <t>N30366199</t>
  </si>
  <si>
    <t>RF 1:1 TRANSMISSION LINE TRANSFORMER</t>
  </si>
  <si>
    <t>ETC1-1-13</t>
  </si>
  <si>
    <t>0603CS-10NXGRW</t>
  </si>
  <si>
    <t>SPF-5122Z</t>
  </si>
  <si>
    <t>N62286927</t>
  </si>
  <si>
    <t>CHIP INDUCT   33NHY 5% .42A T/R</t>
  </si>
  <si>
    <t>LQW18AN33NJ00L</t>
  </si>
  <si>
    <t>WIDEBAND VPIN LIMITER</t>
  </si>
  <si>
    <t>TGL2201-SM</t>
  </si>
  <si>
    <t>TGL2201-SM T/R</t>
  </si>
  <si>
    <t>IC OCTAL BUFFERS/DRIVERS T&amp;R</t>
  </si>
  <si>
    <t>SN74LVCH244APWT</t>
  </si>
  <si>
    <t>SN74LVCH244APWTE4</t>
  </si>
  <si>
    <t>SN74LVCH244APWTRE4</t>
  </si>
  <si>
    <t>SN74LVCH244APWRG4</t>
  </si>
  <si>
    <t>SN74LVCH244APWR</t>
  </si>
  <si>
    <t>GRM155R71H104KE14D</t>
  </si>
  <si>
    <t>N60141140</t>
  </si>
  <si>
    <t>IC INTFACE SINGLE BUFFER/DRIVER</t>
  </si>
  <si>
    <t>SN74LVC1G07DCKR</t>
  </si>
  <si>
    <t>LOW PASS FILTER DC TO 400MHZ T&amp;R</t>
  </si>
  <si>
    <t>LFCN-400+</t>
  </si>
  <si>
    <t>CHIP CAP 10UF 10% 50V X7R T&amp;R</t>
  </si>
  <si>
    <t>C1210C106K5RAC7800</t>
  </si>
  <si>
    <t>GRM32ER71H106KA12L</t>
  </si>
  <si>
    <t>CL32B106KBJNNWE</t>
  </si>
  <si>
    <t>C1210C106K5RAL7025</t>
  </si>
  <si>
    <t>IC 2TX/2RX RS-232 TRANSCEIVER TR</t>
  </si>
  <si>
    <t>MAX3380EEUP+T</t>
  </si>
  <si>
    <t>CHIP CAP 330PF 5% 50VOLT 55X55 NPO N</t>
  </si>
  <si>
    <t>AQ125A331JAJME/500V</t>
  </si>
  <si>
    <t>N62179437</t>
  </si>
  <si>
    <t>AQ125A331JAJME/250V</t>
  </si>
  <si>
    <t>CHIP CAP 10PF 5% 150VOLT 55X55 PORCE</t>
  </si>
  <si>
    <t>AQ12EM100JAJME/500V</t>
  </si>
  <si>
    <t>0505P100JW151XTV</t>
  </si>
  <si>
    <t>100A100JT150XTV</t>
  </si>
  <si>
    <t>N62132063</t>
  </si>
  <si>
    <t>AQ12EM100JAJME/250V</t>
  </si>
  <si>
    <t>MMIC GAAS SPDT SWITCH DC-20GHZ  T&amp;R</t>
  </si>
  <si>
    <t>HMC547LP3ETR</t>
  </si>
  <si>
    <t>IC DIGITAL THERMOMETER, T&amp;R</t>
  </si>
  <si>
    <t>MAX1617AMEE+T</t>
  </si>
  <si>
    <t>IC DIG UHS INVERTER T&amp;R</t>
  </si>
  <si>
    <t>NC7SZ04P5X-L22057</t>
  </si>
  <si>
    <t>IC QUADRUPLE BUS BUFFER GATE</t>
  </si>
  <si>
    <t>SN74ALVC125PW</t>
  </si>
  <si>
    <t>IC QUADRUPLE BUS BUFFER T&amp;R</t>
  </si>
  <si>
    <t>SN74LVC125APWT</t>
  </si>
  <si>
    <t>SN74LVC125APWTG4</t>
  </si>
  <si>
    <t>N57193179</t>
  </si>
  <si>
    <t>IC DIG     UHS INVERTER WITH SCHMITT</t>
  </si>
  <si>
    <t>NC7SZ14P5X</t>
  </si>
  <si>
    <t>TPS51200DRCTG4</t>
  </si>
  <si>
    <t>LFCN-1325</t>
  </si>
  <si>
    <t>PE42553A-Z</t>
  </si>
  <si>
    <t>IC TRIPLE INVERTER</t>
  </si>
  <si>
    <t>NC7NZ04L8X</t>
  </si>
  <si>
    <t>NC7WZ125K8X</t>
  </si>
  <si>
    <t>MC100EP16DTR2G</t>
  </si>
  <si>
    <t>MC74ACT04DR2</t>
  </si>
  <si>
    <t>MMIC GAAS AMP. 6-18GHZ 17DB</t>
  </si>
  <si>
    <t>HMC441LC3B</t>
  </si>
  <si>
    <t>CONN RECT BACKPLANE 4 PAIR MODULE,</t>
  </si>
  <si>
    <t>TRAN. VOLT. SUPPR.  ARRAY</t>
  </si>
  <si>
    <t>SMDA03LCC-LF</t>
  </si>
  <si>
    <t>N30392948</t>
  </si>
  <si>
    <t>TRANSFORMER  0.4-500MHZ</t>
  </si>
  <si>
    <t>TC1-1T</t>
  </si>
  <si>
    <t>CHIP CAP 150PF 1% 50V NP0 T&amp;R</t>
  </si>
  <si>
    <t>AQ125A151FAJME/250V</t>
  </si>
  <si>
    <t>AQ125A151FAJME/500V</t>
  </si>
  <si>
    <t>CHIP CAP 4.3PF 0.1PF 150V 1.4X1.4MM PORC</t>
  </si>
  <si>
    <t>AQ12EM4R3BAJME/250V</t>
  </si>
  <si>
    <t>0505P4R3BW151XTV</t>
  </si>
  <si>
    <t>CHIP CAP 4.3PF +-.1PF 150V PORCELAIN T&amp;R</t>
  </si>
  <si>
    <t>ATC100A4R3BW150XT</t>
  </si>
  <si>
    <t>AQ12EM4R3BAJME/500V</t>
  </si>
  <si>
    <t>CHIP CAP 4.3PF 0.1PF 150V 1.4MM2 T&amp;R</t>
  </si>
  <si>
    <t>100A4R3BT150XTV</t>
  </si>
  <si>
    <t>N62112206</t>
  </si>
  <si>
    <t>CHIP CAP 4.3PF +-.1PF 150VOLT 55X55</t>
  </si>
  <si>
    <t>ATC100A4R3BP150X</t>
  </si>
  <si>
    <t>N62181797</t>
  </si>
  <si>
    <t>ATC100A4R3BW150X</t>
  </si>
  <si>
    <t>CHIP CAP 13PF 1% 150V PORCELAIN T&amp;R</t>
  </si>
  <si>
    <t>AQ12EM130FAJME/250V</t>
  </si>
  <si>
    <t>0505P130FW151XTV</t>
  </si>
  <si>
    <t>AQ12EM130FAJME/500V</t>
  </si>
  <si>
    <t>CHIP CAP 13PF 1% 150V  1.4MM2 T&amp;R</t>
  </si>
  <si>
    <t>CHIP CAP 27PF 1% 150V PORCELAIN T&amp;R</t>
  </si>
  <si>
    <t>AQ12EM270FAJME/250V</t>
  </si>
  <si>
    <t>0505P270FW151XTV</t>
  </si>
  <si>
    <t>AQ12EM270FAJME/500V</t>
  </si>
  <si>
    <t>CHIP CAP 27PF 1% 150V  1.4MM2 T&amp;R</t>
  </si>
  <si>
    <t>CHIP CAP 130PF 1% 50V NP0 T&amp;R</t>
  </si>
  <si>
    <t>AQ125A131FAJME/250V</t>
  </si>
  <si>
    <t>AQ125A131FAJME/500V</t>
  </si>
  <si>
    <t>CHIP CAP 130PF 1% 150V NPO</t>
  </si>
  <si>
    <t>CHIP CAP 120PF 5% 50VOLT 55X55 NPO N</t>
  </si>
  <si>
    <t>AQ125A121JAJME/500V</t>
  </si>
  <si>
    <t>CHIP CAP 120PF 5% 150VOLT 55X55 NPO</t>
  </si>
  <si>
    <t>N62128798</t>
  </si>
  <si>
    <t>AQ125A121JAJME/250V</t>
  </si>
  <si>
    <t>EP4SGX530KH40I3</t>
  </si>
  <si>
    <t>EP4SGX530KH40I3P</t>
  </si>
  <si>
    <t>CHIP CAP 16PF 1% 150V PORCELAIN T&amp;R</t>
  </si>
  <si>
    <t>AQ12EM160FAJME/250V</t>
  </si>
  <si>
    <t>0505P160FW151XTV</t>
  </si>
  <si>
    <t>AQ12EM160FAJME/500V</t>
  </si>
  <si>
    <t>CHIP CAP 16PF 1% 150V  1.4MM2 T&amp;R</t>
  </si>
  <si>
    <t>CHIP CAP TANT TA2O5 100UF 6.3VDC 20% T&amp;R</t>
  </si>
  <si>
    <t>TCJB107M006R0045</t>
  </si>
  <si>
    <t>TCJB107M006R0040</t>
  </si>
  <si>
    <t>BAS3010A-03W</t>
  </si>
  <si>
    <t>IC EEPROM 128KX8 T&amp;R</t>
  </si>
  <si>
    <t>AT24CM01-XHM-T</t>
  </si>
  <si>
    <t>TRANSIENT SUPRESSOR  7V 600W TAPE&amp;RE</t>
  </si>
  <si>
    <t>SMBJ7.0ATRE3</t>
  </si>
  <si>
    <t>MALE STRAIGHT RECEPTACLE FOR PCB T&amp;R</t>
  </si>
  <si>
    <t>R222.508.740</t>
  </si>
  <si>
    <t>MALE STRAIGHT RECEPTACLE FOR PCB</t>
  </si>
  <si>
    <t>R222.428.310</t>
  </si>
  <si>
    <t>GRM155C71A105KE11D</t>
  </si>
  <si>
    <t>GCM155C71A105KE38D</t>
  </si>
  <si>
    <t>IC FREQ. MULTIPLIER 9.8-11.2GHZ T&amp;R</t>
  </si>
  <si>
    <t>HMC443LP4ETR</t>
  </si>
  <si>
    <t>N29105186</t>
  </si>
  <si>
    <t>1008-102J-TR</t>
  </si>
  <si>
    <t>N29107851</t>
  </si>
  <si>
    <t>1008-102J</t>
  </si>
  <si>
    <t>CHIP CAP 2200PF 10% 50VOLT 40X20MIL</t>
  </si>
  <si>
    <t>CL05B222KB5NNNC</t>
  </si>
  <si>
    <t>CC0402KRX7R9BB222</t>
  </si>
  <si>
    <t>N62166129</t>
  </si>
  <si>
    <t>04025C222KAT2A</t>
  </si>
  <si>
    <t>PCA9517ADP</t>
  </si>
  <si>
    <t>AD7928BRUZ-REEL</t>
  </si>
  <si>
    <t>IC ADC 12-BIT 8 CHANNEL</t>
  </si>
  <si>
    <t>AD7928BRUZ</t>
  </si>
  <si>
    <t>NC7SZ08P5X-F22057</t>
  </si>
  <si>
    <t>N57157455</t>
  </si>
  <si>
    <t>IC DIG 2 IN AND GATE</t>
  </si>
  <si>
    <t>NC7SZ08P5</t>
  </si>
  <si>
    <t>TRANSIENT SUPRESSOR 5V 600W TAPE&amp;REEL</t>
  </si>
  <si>
    <t>SMBJ5.0AE3T/R</t>
  </si>
  <si>
    <t>DIODE TRANSIENT SUPRESSOR 12V T&amp;R</t>
  </si>
  <si>
    <t>SMBJ12A-E3/52</t>
  </si>
  <si>
    <t>N51816262</t>
  </si>
  <si>
    <t>TRAN. VOLT. SUPPR. 12V 600W</t>
  </si>
  <si>
    <t>SMBJ12A</t>
  </si>
  <si>
    <t>CHIP RESIS 475 OHM 1% .1W T&amp;R</t>
  </si>
  <si>
    <t>CRCW0603475RFKTA</t>
  </si>
  <si>
    <t>CR0603-FX-4750ELF</t>
  </si>
  <si>
    <t>N62040191</t>
  </si>
  <si>
    <t>CHIP RESIS 475 OHM 1% .1WATT 1.55X0.</t>
  </si>
  <si>
    <t>D11100475R1%P5</t>
  </si>
  <si>
    <t>N62088513</t>
  </si>
  <si>
    <t>D11475RFCS</t>
  </si>
  <si>
    <t>CRCW060312K1FKTA</t>
  </si>
  <si>
    <t>CR0603-FX-1212ELF</t>
  </si>
  <si>
    <t>N62040225</t>
  </si>
  <si>
    <t>CHIP RESIS 12.1KOHM 1% .1WATT 1.55X0</t>
  </si>
  <si>
    <t>D1110012K11%P5</t>
  </si>
  <si>
    <t>N62089008</t>
  </si>
  <si>
    <t>D1112K1FCS</t>
  </si>
  <si>
    <t>3HIP RESIS 681 OHM 1% .1W T&amp;R</t>
  </si>
  <si>
    <t>CRCW0603681RFKTA</t>
  </si>
  <si>
    <t>CR0603-FX-6810-ELF</t>
  </si>
  <si>
    <t>N62040266</t>
  </si>
  <si>
    <t>CHIP RESIS 681 OHM 1% .1WATT 1.55X0.</t>
  </si>
  <si>
    <t>D11100681R1%P5</t>
  </si>
  <si>
    <t>N62055082</t>
  </si>
  <si>
    <t>CHIP RESIS 681 OHM 1% .1WATT 63X31MI</t>
  </si>
  <si>
    <t>CRCW06036810FRT1</t>
  </si>
  <si>
    <t>N62089545</t>
  </si>
  <si>
    <t>D11681RFCS</t>
  </si>
  <si>
    <t>CRCW060310K0FKTA</t>
  </si>
  <si>
    <t>CHIP RESIS 10KOHM 1% .063WATT 1.55X0</t>
  </si>
  <si>
    <t>CR0603-FX-1002ELF</t>
  </si>
  <si>
    <t>N62040332</t>
  </si>
  <si>
    <t>CHIP RESIS 10KOHM 1%  0.1W T&amp;R</t>
  </si>
  <si>
    <t>D1110010K01%P5</t>
  </si>
  <si>
    <t>N62058011</t>
  </si>
  <si>
    <t>CHIP RESIS 10KOHM 1% .1WATT 1.55X0.8</t>
  </si>
  <si>
    <t>D11010KFCS</t>
  </si>
  <si>
    <t>N62063235</t>
  </si>
  <si>
    <t>CHIP RESIS 10KOHM 1% .1WATT 63X31MIL</t>
  </si>
  <si>
    <t>CRCW06031002FRT2</t>
  </si>
  <si>
    <t>N62072988</t>
  </si>
  <si>
    <t>CRCW06031002FRT1</t>
  </si>
  <si>
    <t>N62094875</t>
  </si>
  <si>
    <t>CHIP RESIS 10KOHM 1% 0.1W T&amp;R</t>
  </si>
  <si>
    <t>CR0603-FX-1002-E</t>
  </si>
  <si>
    <t>CRCW060310R0FKTA</t>
  </si>
  <si>
    <t>CR0603-FX-10R0ELF</t>
  </si>
  <si>
    <t>N62040399</t>
  </si>
  <si>
    <t>CHIP RESIS 10 OHM 1% .1WATT 1.55X0.8</t>
  </si>
  <si>
    <t>D1110010R01%P5</t>
  </si>
  <si>
    <t>N62054986</t>
  </si>
  <si>
    <t>CHIP RESIS 10 OHM 1% .1WATT 63X31MIL</t>
  </si>
  <si>
    <t>CRCW060310R0FRT1</t>
  </si>
  <si>
    <t>N62061460</t>
  </si>
  <si>
    <t>D11100010R1%P5</t>
  </si>
  <si>
    <t>N62070289</t>
  </si>
  <si>
    <t>D11010RFCS</t>
  </si>
  <si>
    <t>N62087226</t>
  </si>
  <si>
    <t>CHIP RESIS 10 OHM 1% .100WATT 1.55X0</t>
  </si>
  <si>
    <t>CR0603-FX-10R0-E</t>
  </si>
  <si>
    <t>CRCW060343R2FKTA</t>
  </si>
  <si>
    <t>CR0603-FX-43R2ELF</t>
  </si>
  <si>
    <t>N62040829</t>
  </si>
  <si>
    <t>CHIP RESIS 43.2 OHM 1% .1WATT 1.55X0</t>
  </si>
  <si>
    <t>D1110043R21%P5</t>
  </si>
  <si>
    <t>N62065552</t>
  </si>
  <si>
    <t>D1143R2FCS</t>
  </si>
  <si>
    <t>CHIP RESIS 37.4KOHM 1% .1W T&amp;R</t>
  </si>
  <si>
    <t>CRCW060337K4FKTA</t>
  </si>
  <si>
    <t>N62041587</t>
  </si>
  <si>
    <t>CHIP RESIS 37.4KOHM 1% .1WATT 1.55X0</t>
  </si>
  <si>
    <t>D1110037K41%P5</t>
  </si>
  <si>
    <t>CRCW06036R20FKTA</t>
  </si>
  <si>
    <t>CRCW06036R20FKEA</t>
  </si>
  <si>
    <t>N62042189</t>
  </si>
  <si>
    <t>CHIP RESIS 6.2 OHM 1% .1WATT 1.55X0.</t>
  </si>
  <si>
    <t>D111006R201%P5</t>
  </si>
  <si>
    <t>N63063127</t>
  </si>
  <si>
    <t>D1106R2FCS</t>
  </si>
  <si>
    <t>CRCW060361R9FKTA</t>
  </si>
  <si>
    <t>CR0603-FX-61R9-ELF</t>
  </si>
  <si>
    <t>N62042304</t>
  </si>
  <si>
    <t>CHIP RESIS 61.9 OHM 1% .1WATT 1.55X0</t>
  </si>
  <si>
    <t>D1110061R91%P5</t>
  </si>
  <si>
    <t>N62069513</t>
  </si>
  <si>
    <t>D1161R9FCS</t>
  </si>
  <si>
    <t>N62099668</t>
  </si>
  <si>
    <t>CHIP RESIS 61.9 OHM 1% .1WATT 63X31M</t>
  </si>
  <si>
    <t>CRCW060361R9FRT1</t>
  </si>
  <si>
    <t>CHIP RESIS 2.61KOHM 1% .1W T&amp;R</t>
  </si>
  <si>
    <t>CRCW06032K61FKTA</t>
  </si>
  <si>
    <t>CR0603-FX-2611ELF</t>
  </si>
  <si>
    <t>N62042395</t>
  </si>
  <si>
    <t>CHIP RESIS 2.61KOHM 1% .1WATT 1.55X0</t>
  </si>
  <si>
    <t>D111002K611%P5</t>
  </si>
  <si>
    <t>CRCW060349R9FKTA</t>
  </si>
  <si>
    <t>CR0603-FX-49R9ELF</t>
  </si>
  <si>
    <t>N62042775</t>
  </si>
  <si>
    <t>CHIP RESIS 49.9 OHM 1% .1WATT 1.55X0</t>
  </si>
  <si>
    <t>D1110049R91%P5</t>
  </si>
  <si>
    <t>N62055413</t>
  </si>
  <si>
    <t>D1149R9FCS</t>
  </si>
  <si>
    <t>N62060397</t>
  </si>
  <si>
    <t>CHIP RESIS 49.9 OHM 1% .1WATT 63X31M</t>
  </si>
  <si>
    <t>CRCW060349R9FRT1</t>
  </si>
  <si>
    <t>CHIP RESIS 2.00KOHM 1% .1W T&amp;R</t>
  </si>
  <si>
    <t>CRCW06032K00FKTA</t>
  </si>
  <si>
    <t>CR0603-FX-2001ELF</t>
  </si>
  <si>
    <t>N62043146</t>
  </si>
  <si>
    <t>CHIP RESIS 2KOHM 1% .1WATT 1.55X0.85</t>
  </si>
  <si>
    <t>D111002K001%P5</t>
  </si>
  <si>
    <t>N62072822</t>
  </si>
  <si>
    <t>D11002KFCS</t>
  </si>
  <si>
    <t>N62073671</t>
  </si>
  <si>
    <t>CHIP RESIS 2KOHM 1% .1WATT 63X31MIL</t>
  </si>
  <si>
    <t>CRCW06032001FRT1</t>
  </si>
  <si>
    <t>CRCW060349K9FKTA</t>
  </si>
  <si>
    <t>CR0603-FX-4992ELF</t>
  </si>
  <si>
    <t>N62043484</t>
  </si>
  <si>
    <t>CHIP RESIS 49.9KOHM 1% .1WATT 1.55X0</t>
  </si>
  <si>
    <t>D1110049K91%P5</t>
  </si>
  <si>
    <t>N62065495</t>
  </si>
  <si>
    <t>D1149K9FCS</t>
  </si>
  <si>
    <t>CRCW080520R0FKTA</t>
  </si>
  <si>
    <t>CR0805-FX-20R0ELF</t>
  </si>
  <si>
    <t>N62043633</t>
  </si>
  <si>
    <t>CHIP RESIS 20 OHM 1% .125WATT 2.00X1</t>
  </si>
  <si>
    <t>D1210020R01%P5</t>
  </si>
  <si>
    <t>N63005680</t>
  </si>
  <si>
    <t>D12020RFCS</t>
  </si>
  <si>
    <t>N63088637</t>
  </si>
  <si>
    <t>D1220R0FCS</t>
  </si>
  <si>
    <t>CHIP RESIS 20.5KOHM 1% .1W T&amp;R</t>
  </si>
  <si>
    <t>CRCW060320K5FKTA</t>
  </si>
  <si>
    <t>N62044177</t>
  </si>
  <si>
    <t>CHIP RESIS 20.5KOHM 1% .1WATT 1.55X0</t>
  </si>
  <si>
    <t>D1110020K51%P5</t>
  </si>
  <si>
    <t>N62091780</t>
  </si>
  <si>
    <t>D1120K5FCS</t>
  </si>
  <si>
    <t>CRCW06031K21FKTA</t>
  </si>
  <si>
    <t>CR0603-FX-1211ELF</t>
  </si>
  <si>
    <t>N62044342</t>
  </si>
  <si>
    <t>CHIP RESIS 1.21KOHM 1% .1WATT 1.55X0</t>
  </si>
  <si>
    <t>D111001K211%P5</t>
  </si>
  <si>
    <t>N62083787</t>
  </si>
  <si>
    <t>D111K21FCS</t>
  </si>
  <si>
    <t>N62094628</t>
  </si>
  <si>
    <t>CHIP RESIS 1.21KOHM 1% .1WATT 63X31M</t>
  </si>
  <si>
    <t>CRCW06031211FRT1</t>
  </si>
  <si>
    <t>N62044474</t>
  </si>
  <si>
    <t>CHIP RESIS 5.11KOHM 1% .1WATT 1.55X0</t>
  </si>
  <si>
    <t>D111005K111%P5</t>
  </si>
  <si>
    <t>N62060439</t>
  </si>
  <si>
    <t>CHIP RESIS 5.11KOHM 1% .1WATT 63X31M</t>
  </si>
  <si>
    <t>CRCW06035111FRT1</t>
  </si>
  <si>
    <t>N62067590</t>
  </si>
  <si>
    <t>CRCW06035111FRT2</t>
  </si>
  <si>
    <t>N62075296</t>
  </si>
  <si>
    <t>D115K11FCS</t>
  </si>
  <si>
    <t>CRCW060340K2FKTA</t>
  </si>
  <si>
    <t>CR0603-FX-4022ELF</t>
  </si>
  <si>
    <t>N62044557</t>
  </si>
  <si>
    <t>CHIP RESIS 40.2KOHM 1% .1WATT 1.55X0</t>
  </si>
  <si>
    <t>D1110040K21%P5</t>
  </si>
  <si>
    <t>CRCW0603237RFKTA</t>
  </si>
  <si>
    <t>CR0603-FX-2370ELF</t>
  </si>
  <si>
    <t>N62044565</t>
  </si>
  <si>
    <t>CHIP RESIS 237 OHM 1% .1WATT 1.55X0.</t>
  </si>
  <si>
    <t>D11100237R1%P5</t>
  </si>
  <si>
    <t>N62081542</t>
  </si>
  <si>
    <t>D11237RFCS</t>
  </si>
  <si>
    <t>CRCW060368R1FKTA</t>
  </si>
  <si>
    <t>CR0603-FX-68R1-ELF</t>
  </si>
  <si>
    <t>N62045018</t>
  </si>
  <si>
    <t>CHIP RESIS 68.1 OHM 1% .1WATT 1.55X0</t>
  </si>
  <si>
    <t>D1110068R11%P5</t>
  </si>
  <si>
    <t>N62064027</t>
  </si>
  <si>
    <t>D1168R1FCS</t>
  </si>
  <si>
    <t>N62092663</t>
  </si>
  <si>
    <t>CHIP RESIS 68.1 OHM 1% .1WATT 63X31M</t>
  </si>
  <si>
    <t>CRCW060368R1FRT1</t>
  </si>
  <si>
    <t>CHIP RESIS 3.01KOHM 1% .1W T&amp;R</t>
  </si>
  <si>
    <t>CRCW06033K01FKTA</t>
  </si>
  <si>
    <t>CR0603-FX-3011ELF</t>
  </si>
  <si>
    <t>N62045166</t>
  </si>
  <si>
    <t>CHIP RESIS 3.01KOHM 1% .1WATT 1.55X0</t>
  </si>
  <si>
    <t>D111003K011%P5</t>
  </si>
  <si>
    <t>N62088034</t>
  </si>
  <si>
    <t>D113K01FCS</t>
  </si>
  <si>
    <t>N62089347</t>
  </si>
  <si>
    <t>CRCW06033011FRT1</t>
  </si>
  <si>
    <t>CRCW0603909RFKTA</t>
  </si>
  <si>
    <t>CRCW0603909RFKEA</t>
  </si>
  <si>
    <t>N62045224</t>
  </si>
  <si>
    <t>CHIP RESIS 909 OHM 1% .1WATT 1.55X0.</t>
  </si>
  <si>
    <t>D11100909R1%P5</t>
  </si>
  <si>
    <t>N62073374</t>
  </si>
  <si>
    <t>D11909RFCS</t>
  </si>
  <si>
    <t>CHIP RESIS 249 OHM 1% .125W T&amp;R</t>
  </si>
  <si>
    <t>CRCW0805249RFKTA</t>
  </si>
  <si>
    <t>N62045760</t>
  </si>
  <si>
    <t>CHIP RESIS 249 OHM 1% .125WATT 2.00X</t>
  </si>
  <si>
    <t>D12100249R1%P5</t>
  </si>
  <si>
    <t>N63005987</t>
  </si>
  <si>
    <t>D12249RFCS</t>
  </si>
  <si>
    <t>CRCW0603806RFKTA</t>
  </si>
  <si>
    <t>N62045794</t>
  </si>
  <si>
    <t>CHIP RESIS 806 OHM 1% .1WATT 1.55X0.</t>
  </si>
  <si>
    <t>D11100806R1%P5</t>
  </si>
  <si>
    <t>N62097910</t>
  </si>
  <si>
    <t>D11806RFCS</t>
  </si>
  <si>
    <t>CHIP RESIS 137 OHM 1% .1W T&amp;R</t>
  </si>
  <si>
    <t>CRCW0603137RFKTA</t>
  </si>
  <si>
    <t>CR0603-FX-1370ELF</t>
  </si>
  <si>
    <t>RC0603FR-07137RL</t>
  </si>
  <si>
    <t>N62045968</t>
  </si>
  <si>
    <t>CHIP RESIS 137 OHM 1% .1WATT 1.55X0.</t>
  </si>
  <si>
    <t>D11100137R1%P5</t>
  </si>
  <si>
    <t>N62069174</t>
  </si>
  <si>
    <t>D11137RFCS</t>
  </si>
  <si>
    <t>CHIP RESIS 432 OHM 1% .25W T&amp;R</t>
  </si>
  <si>
    <t>CRCW1206432RFKTA</t>
  </si>
  <si>
    <t>N62046065</t>
  </si>
  <si>
    <t>CHIP RESIS 432 OHM 1% .25WATT 3.20X1</t>
  </si>
  <si>
    <t>D25100432R1%P5</t>
  </si>
  <si>
    <t>N63062459</t>
  </si>
  <si>
    <t>D25432RFCS</t>
  </si>
  <si>
    <t>CHIP RESIS 4.99KOHM 1% .1W T&amp;R</t>
  </si>
  <si>
    <t>CRCW06034K99FKTA</t>
  </si>
  <si>
    <t>CR0603-FX-4991ELF</t>
  </si>
  <si>
    <t>CHIP RESIS 4.99OHM 1% .1W T&amp;R</t>
  </si>
  <si>
    <t>CR0603-J/-4R99ELF</t>
  </si>
  <si>
    <t>N62046123</t>
  </si>
  <si>
    <t>CHIP RESIS 4.99KOHM 1% .1WATT 1.55X0</t>
  </si>
  <si>
    <t>D111004K991%P5</t>
  </si>
  <si>
    <t>N62097092</t>
  </si>
  <si>
    <t>CHIP RESIS 4.99KOHM 1% .1WATT 63X31M</t>
  </si>
  <si>
    <t>CRCW06034991FRT1</t>
  </si>
  <si>
    <t>N62098777</t>
  </si>
  <si>
    <t>CRCW06034991FRT2</t>
  </si>
  <si>
    <t>N62948476</t>
  </si>
  <si>
    <t>D114K99FCS</t>
  </si>
  <si>
    <t>CHIP RESIS 750 OHM 1% .1W T&amp;R</t>
  </si>
  <si>
    <t>CRCW0603750RFKTA</t>
  </si>
  <si>
    <t>N62046404</t>
  </si>
  <si>
    <t>CHIP RESIS 750 OHM 1% .1WATT 1.55X0.</t>
  </si>
  <si>
    <t>D11100750R1%P5</t>
  </si>
  <si>
    <t>N62072012</t>
  </si>
  <si>
    <t>CHIP RESIS 750 OHM 1% .1WATT 63X31MI</t>
  </si>
  <si>
    <t>CRCW06037500FRT1</t>
  </si>
  <si>
    <t>N62079215</t>
  </si>
  <si>
    <t>D11750RFCS</t>
  </si>
  <si>
    <t>CRCW06034K75FKTA</t>
  </si>
  <si>
    <t>CR0603-FX-4751ELF</t>
  </si>
  <si>
    <t>N62046891</t>
  </si>
  <si>
    <t>CHIP RESIS 4.75KOHM 1% .1WATT 1.55X0</t>
  </si>
  <si>
    <t>D111004K751%P5</t>
  </si>
  <si>
    <t>N62071295</t>
  </si>
  <si>
    <t>D114K75FCS</t>
  </si>
  <si>
    <t>N62083126</t>
  </si>
  <si>
    <t>CHIP RESIS 4.75KOHM 1% .1WATT 63X31M</t>
  </si>
  <si>
    <t>CRCW06034751FRT1</t>
  </si>
  <si>
    <t>CRCW0603100KFKTA</t>
  </si>
  <si>
    <t>N62047220</t>
  </si>
  <si>
    <t>CHIP RESIS 100KOHM 1% .1WATT 1.55X0.</t>
  </si>
  <si>
    <t>D11100100K1%P5</t>
  </si>
  <si>
    <t>N62073564</t>
  </si>
  <si>
    <t>D11100KFCS</t>
  </si>
  <si>
    <t>N62082680</t>
  </si>
  <si>
    <t>CHIP RESIS 100KOHM 1% .1WATT 63X31MI</t>
  </si>
  <si>
    <t>CRCW06031003FRT1</t>
  </si>
  <si>
    <t>N62085444</t>
  </si>
  <si>
    <t>CRCW06031003FRT2</t>
  </si>
  <si>
    <t>CRCW0603432RFKTA</t>
  </si>
  <si>
    <t>CR0603-FX-4320ELF</t>
  </si>
  <si>
    <t>N62047311</t>
  </si>
  <si>
    <t>CHIP RESIS 432 OHM 1% .1WATT 1.55X0.</t>
  </si>
  <si>
    <t>D11100432R1%P5</t>
  </si>
  <si>
    <t>N63017628</t>
  </si>
  <si>
    <t>D11432RFCS</t>
  </si>
  <si>
    <t>CRCW0805100RFKTA</t>
  </si>
  <si>
    <t>CR0805-FX-1000ELF</t>
  </si>
  <si>
    <t>N62047691</t>
  </si>
  <si>
    <t>CHIP RESIS 100 OHM 1% .125WATT 2.00X</t>
  </si>
  <si>
    <t>D12100100R1%P5</t>
  </si>
  <si>
    <t>N62051974</t>
  </si>
  <si>
    <t>CHIP RESIS 100 OHM 1% .125WATT 79X49</t>
  </si>
  <si>
    <t>CRCW08051000FRT1</t>
  </si>
  <si>
    <t>N62088406</t>
  </si>
  <si>
    <t>CRCW08051000FRT2</t>
  </si>
  <si>
    <t>N63062400</t>
  </si>
  <si>
    <t>D12100RFCS</t>
  </si>
  <si>
    <t>CHIP RESIS 39.2 OHM 1% .1W T&amp;R</t>
  </si>
  <si>
    <t>CRCW060339R2FKTA</t>
  </si>
  <si>
    <t>N62047766</t>
  </si>
  <si>
    <t>CHIP RESIS 39.2 OHM 1% .1WATT 1.55X0</t>
  </si>
  <si>
    <t>D1110039R21%P5</t>
  </si>
  <si>
    <t>N63030654</t>
  </si>
  <si>
    <t>D1139R2FCS</t>
  </si>
  <si>
    <t>CHIP RESIS 200 OHM 1% .1W T&amp;R</t>
  </si>
  <si>
    <t>CRCW0603200RFKTA</t>
  </si>
  <si>
    <t>RC0603FR-07200RL</t>
  </si>
  <si>
    <t>N62047881</t>
  </si>
  <si>
    <t>CHIP RESIS 200 OHM 1% .1WATT 1.55X0.</t>
  </si>
  <si>
    <t>D11100200R1%P5</t>
  </si>
  <si>
    <t>N62059357</t>
  </si>
  <si>
    <t>CHIP RESIS 200 OHM 1% .1WATT 63X31MI</t>
  </si>
  <si>
    <t>CRCW06032000FRT1</t>
  </si>
  <si>
    <t>N63024632</t>
  </si>
  <si>
    <t>D11200RFCS</t>
  </si>
  <si>
    <t>CRCW060382R5FKTA</t>
  </si>
  <si>
    <t>CR0603-FX-82R5-ELF</t>
  </si>
  <si>
    <t>RC0603FR-0782R5L</t>
  </si>
  <si>
    <t>N62047956</t>
  </si>
  <si>
    <t>CHIP RESIS 82.5 OHM 1% .1WATT 1.55X0</t>
  </si>
  <si>
    <t>D1110082R51%P5</t>
  </si>
  <si>
    <t>N62058276</t>
  </si>
  <si>
    <t>CHIP RESIS 82.5 OHM 1% .1WATT 63X31M</t>
  </si>
  <si>
    <t>CRCW060382R5FRT1</t>
  </si>
  <si>
    <t>N63047708</t>
  </si>
  <si>
    <t>D1182R5FCS</t>
  </si>
  <si>
    <t>CRCW0603221RFKTA</t>
  </si>
  <si>
    <t>CHIP RESIS 221 OHM 1% 0.1W T&amp;R</t>
  </si>
  <si>
    <t>CR0603-FX-2210ELF</t>
  </si>
  <si>
    <t>N62048251</t>
  </si>
  <si>
    <t>CHIP RESIS 221 OHM 1% .1WATT 1.55X0.</t>
  </si>
  <si>
    <t>D11100221R1%P5</t>
  </si>
  <si>
    <t>N62055744</t>
  </si>
  <si>
    <t>CHIP RESIS 221 OHM 1% .1WATT 63X31MI</t>
  </si>
  <si>
    <t>CRCW06032210FRT1</t>
  </si>
  <si>
    <t>N63071591</t>
  </si>
  <si>
    <t>D11221RFCS</t>
  </si>
  <si>
    <t>CRCW0603100RFKTA</t>
  </si>
  <si>
    <t>CR0603-FX-1000ELF</t>
  </si>
  <si>
    <t>N62048368</t>
  </si>
  <si>
    <t>CHIP RESIS 100 OHM 1% .1WATT 1.55X0.</t>
  </si>
  <si>
    <t>D11100100R1%P5</t>
  </si>
  <si>
    <t>N62083753</t>
  </si>
  <si>
    <t>CHIP RESIS 100 OHM 1% .100WATT 1.55X</t>
  </si>
  <si>
    <t>CR0603-FX-1000-E</t>
  </si>
  <si>
    <t>N62092168</t>
  </si>
  <si>
    <t>CHIP RESIS 100 OHM 1% .1WATT T&amp;R</t>
  </si>
  <si>
    <t>CRCW06031000FRT1</t>
  </si>
  <si>
    <t>N63012629</t>
  </si>
  <si>
    <t>D11100RFCS</t>
  </si>
  <si>
    <t>CRCW0603150RFKTA</t>
  </si>
  <si>
    <t>N62048673</t>
  </si>
  <si>
    <t>CHIP RESIS 150 OHM 1% .1WATT 1.55X0.</t>
  </si>
  <si>
    <t>D11100150R1%P5</t>
  </si>
  <si>
    <t>N62093208</t>
  </si>
  <si>
    <t>CHIP RESIS 150 OHM 1% .1WATT 63X31MI</t>
  </si>
  <si>
    <t>CRCW06031500FRT1</t>
  </si>
  <si>
    <t>N63005201</t>
  </si>
  <si>
    <t>D11150RFCS</t>
  </si>
  <si>
    <t>CRCW060320R0FKTA</t>
  </si>
  <si>
    <t>CR0603-FX-20R04ELF</t>
  </si>
  <si>
    <t>N62049044</t>
  </si>
  <si>
    <t>CHIP RESIS 20 OHM 1% .1WATT 1.55X0.8</t>
  </si>
  <si>
    <t>D1110020R01%P5</t>
  </si>
  <si>
    <t>N62068820</t>
  </si>
  <si>
    <t>CHIP RESIS 20 OHM 1% .1WATT 63X31MIL</t>
  </si>
  <si>
    <t>CRCW060320R0FRT1</t>
  </si>
  <si>
    <t>N63047518</t>
  </si>
  <si>
    <t>D11020RFCS</t>
  </si>
  <si>
    <t>CRCW06033K92FKTA</t>
  </si>
  <si>
    <t>CR0603-FX-3921ELF</t>
  </si>
  <si>
    <t>N62049069</t>
  </si>
  <si>
    <t>CHIP RESIS 3.92KOHM 1% .1WATT 1.55X0</t>
  </si>
  <si>
    <t>D111003K921%P5</t>
  </si>
  <si>
    <t>N62058268</t>
  </si>
  <si>
    <t>D113K92FCS</t>
  </si>
  <si>
    <t>N62077037</t>
  </si>
  <si>
    <t>CHIP RESIS 3.92KOHM 1% .1WATT 63X31M</t>
  </si>
  <si>
    <t>CRCW06033921FRT1</t>
  </si>
  <si>
    <t>CRCW06031K00FKTA</t>
  </si>
  <si>
    <t>CR0603-FX-1001ELF</t>
  </si>
  <si>
    <t>N62049572</t>
  </si>
  <si>
    <t>D111001K001%P5</t>
  </si>
  <si>
    <t>N62051693</t>
  </si>
  <si>
    <t>CHIP RESIS 1KOHM 1% .100WATT 1.55X0.</t>
  </si>
  <si>
    <t>CR0603-FX-1001-E</t>
  </si>
  <si>
    <t>N62092614</t>
  </si>
  <si>
    <t>CHIP RESIS 1KOHM 1% .1WATT T&amp;R</t>
  </si>
  <si>
    <t>CRCW06031001FRT1</t>
  </si>
  <si>
    <t>N63037261</t>
  </si>
  <si>
    <t>CHIP RESIS 1KOHM 1% .1WATT 1.55X0.85</t>
  </si>
  <si>
    <t>D11001KFCS</t>
  </si>
  <si>
    <t>CHIP RESIS 90.9 OHM 1% .125W T&amp;R</t>
  </si>
  <si>
    <t>CRCW080590R9FKTA</t>
  </si>
  <si>
    <t>N62049762</t>
  </si>
  <si>
    <t>CHIP RESIS 90.9 OHM 1% .125WATT 2.00</t>
  </si>
  <si>
    <t>D1210090R91%P5</t>
  </si>
  <si>
    <t>N62068705</t>
  </si>
  <si>
    <t>D1290R9FCS</t>
  </si>
  <si>
    <t>CHIP RESIS 1.82KOHM 1% .1W T&amp;R</t>
  </si>
  <si>
    <t>CRCW06031K82FKTA</t>
  </si>
  <si>
    <t>N62052428</t>
  </si>
  <si>
    <t>CHIP RESIS 1.82KOHM 1% .1WATT 1.55X0</t>
  </si>
  <si>
    <t>D111001K821%P5</t>
  </si>
  <si>
    <t>N62070255</t>
  </si>
  <si>
    <t>CHIP RESIS 1.82KOHM 1% .1WATT 63X31M</t>
  </si>
  <si>
    <t>CRCW06031821FRT1</t>
  </si>
  <si>
    <t>CHIP RESIS 22.1 OHM 1% .063W T&amp;R</t>
  </si>
  <si>
    <t>CRCW040222R1FKTD</t>
  </si>
  <si>
    <t>CHIP RESIS 22.1 OHM 1% 0.063W T&amp;R L-F</t>
  </si>
  <si>
    <t>CR0402-FX-22R1GLF</t>
  </si>
  <si>
    <t>N62054887</t>
  </si>
  <si>
    <t>CHIP RESIS 22.1 OHM 1% .063WATT 1X0.</t>
  </si>
  <si>
    <t>D1010022R11%P0</t>
  </si>
  <si>
    <t>CHIP RESIS 1.3KOHM 1% .1W T&amp;R</t>
  </si>
  <si>
    <t>CRCW06031K30FKTA</t>
  </si>
  <si>
    <t>N62055520</t>
  </si>
  <si>
    <t>CHIP RESIS 1.3KOHM 1% .1WATT 1.55X0.</t>
  </si>
  <si>
    <t>D111001K301%P5</t>
  </si>
  <si>
    <t>N62093877</t>
  </si>
  <si>
    <t>CHIP RESIS 1.3KOHM 1% .1WATT 63X31MI</t>
  </si>
  <si>
    <t>CRCW06031301FRT1</t>
  </si>
  <si>
    <t>CHIP RESIS 1KOHM 1% .063W T&amp;R</t>
  </si>
  <si>
    <t>CRCW04021K00FKTD</t>
  </si>
  <si>
    <t>CR0402-FX-1001GLF</t>
  </si>
  <si>
    <t>N62057344</t>
  </si>
  <si>
    <t>CHIP RESIS 1KOHM 1% .063WATT 1X0.5MI</t>
  </si>
  <si>
    <t>D101001K001%P0</t>
  </si>
  <si>
    <t>N62058656</t>
  </si>
  <si>
    <t>CRCW04021001FRT7</t>
  </si>
  <si>
    <t>N62096730</t>
  </si>
  <si>
    <t>CHIP RESIS 1KOHM 1% .063WATT 1X0.5MM</t>
  </si>
  <si>
    <t>D10100001K1%P0</t>
  </si>
  <si>
    <t>CRCW06031K40FKTA</t>
  </si>
  <si>
    <t>CR0603-FX-1401ELF</t>
  </si>
  <si>
    <t>N62057484</t>
  </si>
  <si>
    <t>CHIP RESIS 1.4KOHM 1% .1WATT 1.55X0.</t>
  </si>
  <si>
    <t>D111001K401%P5</t>
  </si>
  <si>
    <t>CRCW060366K5FKTA</t>
  </si>
  <si>
    <t>CR0603-FX-6642-ELF</t>
  </si>
  <si>
    <t>N62058540</t>
  </si>
  <si>
    <t>CHIP RESIS 66.5KOHM 1% .1WATT 63X31M</t>
  </si>
  <si>
    <t>D1110066K51%P5</t>
  </si>
  <si>
    <t>CHIP RESIS 10 OHM 1% .063W T&amp;R</t>
  </si>
  <si>
    <t>CRCW040210R0FKTD</t>
  </si>
  <si>
    <t>CR0402-FX-10R0GLF</t>
  </si>
  <si>
    <t>CHIP RESIS 10 OHM 1% .0625W T&amp;R</t>
  </si>
  <si>
    <t>RC0402FR-0710RL</t>
  </si>
  <si>
    <t>N62070180</t>
  </si>
  <si>
    <t>CHIP RESIS 10 OHM 1% .063WATT 1X0.5M</t>
  </si>
  <si>
    <t>D1010010R01%P0</t>
  </si>
  <si>
    <t>CHIP RESIS 10KOHM 1% .063W T&amp;R</t>
  </si>
  <si>
    <t>CRCW040210K0FKTD</t>
  </si>
  <si>
    <t>CR0402-FX-1002GLF</t>
  </si>
  <si>
    <t>N62073689</t>
  </si>
  <si>
    <t>CHIP RESIS 10KOHM 1% .063WATT 1.0X0.</t>
  </si>
  <si>
    <t>CRCW04021002FRT7</t>
  </si>
  <si>
    <t>N62084660</t>
  </si>
  <si>
    <t>CHIP RESIS 10KOHM 1% .063WATT 1X0.5M</t>
  </si>
  <si>
    <t>D10100010K1%P0</t>
  </si>
  <si>
    <t>N62084736</t>
  </si>
  <si>
    <t>D101001002FP0</t>
  </si>
  <si>
    <t>N62085220</t>
  </si>
  <si>
    <t>D1010010K01%P0</t>
  </si>
  <si>
    <t>CHIP CAP 15PF 1% 150V PORCELAIN T&amp;R</t>
  </si>
  <si>
    <t>AQ12EM150FAJME/250V</t>
  </si>
  <si>
    <t>0505P150FW151XTV</t>
  </si>
  <si>
    <t>AQ12EM150FAJME/500V</t>
  </si>
  <si>
    <t>CHIP CAP 15PF 1% 150V  1.4MM2 T&amp;R</t>
  </si>
  <si>
    <t>N62111232</t>
  </si>
  <si>
    <t>CHIP CAP 15PF 1% 150VOLT 55X55 PORCE</t>
  </si>
  <si>
    <t>ATC100A150FP150X</t>
  </si>
  <si>
    <t>N63181994</t>
  </si>
  <si>
    <t>01Q150FUX</t>
  </si>
  <si>
    <t>CHIP CAP .01UF 10% 50V X7R T&amp;R</t>
  </si>
  <si>
    <t>C0603C103K5RAL/TR</t>
  </si>
  <si>
    <t>C0603C103K5RALTU</t>
  </si>
  <si>
    <t>C0603C103K5RACTU</t>
  </si>
  <si>
    <t>C0603C103K5RAL7867</t>
  </si>
  <si>
    <t>0603X7R103KT2AT</t>
  </si>
  <si>
    <t>CL10B103KB8NNNC</t>
  </si>
  <si>
    <t>CC0603KRX7R9BB103</t>
  </si>
  <si>
    <t>N62141130</t>
  </si>
  <si>
    <t>CHIP CAP .01UF 10% 50VOLT 63X32 X7R</t>
  </si>
  <si>
    <t>C0603C103K5RAC/TR</t>
  </si>
  <si>
    <t>N62145040</t>
  </si>
  <si>
    <t>C0603C103K5RAC</t>
  </si>
  <si>
    <t>C0603C101G5GALTU</t>
  </si>
  <si>
    <t>C0603C101G5GACTU</t>
  </si>
  <si>
    <t>C0603C101G5GAL7867</t>
  </si>
  <si>
    <t>C0603C101G5GAC7867</t>
  </si>
  <si>
    <t>CC0603GRNPO9BN101</t>
  </si>
  <si>
    <t>GRM1885C1H101GA01J</t>
  </si>
  <si>
    <t>N62144365</t>
  </si>
  <si>
    <t>CHIP CAP 100PF 2% 50VOLT 63X32 COG N</t>
  </si>
  <si>
    <t>C0603C101G5GAC</t>
  </si>
  <si>
    <t>N62146584</t>
  </si>
  <si>
    <t>C0603C101G5GAC/TR</t>
  </si>
  <si>
    <t>C0603C102K5RALTU</t>
  </si>
  <si>
    <t>C0603C102K5RACTU</t>
  </si>
  <si>
    <t>C0603C102K5RAL7867</t>
  </si>
  <si>
    <t>C0603C102K5RAC7867</t>
  </si>
  <si>
    <t>C0603C102K5RAC7411</t>
  </si>
  <si>
    <t>N62144597</t>
  </si>
  <si>
    <t>CHIP CAP 1000PF 10% 50VOLT 63X32 X7R</t>
  </si>
  <si>
    <t>C0603C102K5RAC/TR</t>
  </si>
  <si>
    <t>N62148473</t>
  </si>
  <si>
    <t>C0603C102K5RAC</t>
  </si>
  <si>
    <t>CHIP CAP .22UF 10% 50V X7R T&amp;R</t>
  </si>
  <si>
    <t>C1206C224K5RALTM</t>
  </si>
  <si>
    <t>CHIP CAP 0.22UF 10% 50V X7R T&amp;R</t>
  </si>
  <si>
    <t>C1206C224K5RAL7025</t>
  </si>
  <si>
    <t>N62144829</t>
  </si>
  <si>
    <t>CHIP CAP .22UF 10% 50VOLT 126X63 X7R</t>
  </si>
  <si>
    <t>C1206C224K5RAC</t>
  </si>
  <si>
    <t>N62145610</t>
  </si>
  <si>
    <t>C1206C224K5RAC/TR</t>
  </si>
  <si>
    <t>C0603C104K4RALTU</t>
  </si>
  <si>
    <t>C0603C104K4RACTU</t>
  </si>
  <si>
    <t>C0603C104K4RAL7867</t>
  </si>
  <si>
    <t>C0603C104K4RAC7867</t>
  </si>
  <si>
    <t>CHIP CAP .1UF 10% 16VOLT 63X32 X7R N</t>
  </si>
  <si>
    <t>C0603C104K4RAC7411</t>
  </si>
  <si>
    <t>N62165022</t>
  </si>
  <si>
    <t>C0603C104K4RAC/TR</t>
  </si>
  <si>
    <t>N62168216</t>
  </si>
  <si>
    <t>C0603C104K4RAC</t>
  </si>
  <si>
    <t>CHIP JUMPER  TAPE&amp;REEL</t>
  </si>
  <si>
    <t>D251000R0P5</t>
  </si>
  <si>
    <t>CRCW12060000ZSTA</t>
  </si>
  <si>
    <t>CRCW12060000Z0EA</t>
  </si>
  <si>
    <t>CR1206-J/-000ELF</t>
  </si>
  <si>
    <t>RC1206JR-070RL</t>
  </si>
  <si>
    <t>N62041710</t>
  </si>
  <si>
    <t>CHIP JUMPER  126X63MIL T&amp;R</t>
  </si>
  <si>
    <t>CRCW1206-000RT1</t>
  </si>
  <si>
    <t>N62802145</t>
  </si>
  <si>
    <t>CHIP JUMPER 3.2x1.6mm T&amp;R</t>
  </si>
  <si>
    <t>CRCW1206-000J</t>
  </si>
  <si>
    <t>N62804059</t>
  </si>
  <si>
    <t>CHIP JUMPER 5000EA/RL</t>
  </si>
  <si>
    <t>CR1206-FX-000-E</t>
  </si>
  <si>
    <t>N62807953</t>
  </si>
  <si>
    <t>CR1206-J/-000-E</t>
  </si>
  <si>
    <t>N62809082</t>
  </si>
  <si>
    <t>CHIP JUMPER 3.20X1.60MM 1.5AMP TAPE/</t>
  </si>
  <si>
    <t>D25000RFCS</t>
  </si>
  <si>
    <t>N62809645</t>
  </si>
  <si>
    <t>CRCW1206-000JRT5</t>
  </si>
  <si>
    <t>N62856026</t>
  </si>
  <si>
    <t>CRCW1206000ZRT1</t>
  </si>
  <si>
    <t>N63096457</t>
  </si>
  <si>
    <t>CHIP JUMPER 126X63MIL T&amp;R</t>
  </si>
  <si>
    <t>CRCW1206-000JRT1</t>
  </si>
  <si>
    <t>CHIP JUMPER 1.55x0.85MM T&amp;R</t>
  </si>
  <si>
    <t>CRCW0603000ZRT1</t>
  </si>
  <si>
    <t>CRCW06030000ZSTA</t>
  </si>
  <si>
    <t xml:space="preserve"> CHIP JUMPER 1.55X0.85MM T&amp;R</t>
  </si>
  <si>
    <t>CR0603-J/-000ELF</t>
  </si>
  <si>
    <t>CHIP JUMPER T&amp;R</t>
  </si>
  <si>
    <t>RC0603JR-070RL</t>
  </si>
  <si>
    <t>N62800792</t>
  </si>
  <si>
    <t>CHIP JUMPER 1.55X0.8MIL 5000EA/RL</t>
  </si>
  <si>
    <t>CR0603-JW-000-E</t>
  </si>
  <si>
    <t>N62803069</t>
  </si>
  <si>
    <t>CHIP JUMPER 63X31   5000EA/RL</t>
  </si>
  <si>
    <t>CRCW0603-000-RT2</t>
  </si>
  <si>
    <t>N62807763</t>
  </si>
  <si>
    <t>CHIP JUMPER 1.55X0.85MM 1.5AMP TAPE/</t>
  </si>
  <si>
    <t>D111000R001%P5</t>
  </si>
  <si>
    <t>N62807854</t>
  </si>
  <si>
    <t>D11000RFCS</t>
  </si>
  <si>
    <t>N62838305</t>
  </si>
  <si>
    <t>CHIP JUMPER 1.55X0.85MM  TAPE/REEL</t>
  </si>
  <si>
    <t>D111000R0P5</t>
  </si>
  <si>
    <t>N62863873</t>
  </si>
  <si>
    <t>CRCW0603000ZZRT1</t>
  </si>
  <si>
    <t>N71735641</t>
  </si>
  <si>
    <t>CONTACT PIN 22M# WIRE WRAP GOLD-PLT</t>
  </si>
  <si>
    <t>4511-2203-361</t>
  </si>
  <si>
    <t>N76300227</t>
  </si>
  <si>
    <t>QQ-W-343-22AWG</t>
  </si>
  <si>
    <t>N76333632</t>
  </si>
  <si>
    <t>298 WIRE</t>
  </si>
  <si>
    <t>N76337245</t>
  </si>
  <si>
    <t>8021 WIRE</t>
  </si>
  <si>
    <t>N76367093</t>
  </si>
  <si>
    <t>N76387307</t>
  </si>
  <si>
    <t>TC22</t>
  </si>
  <si>
    <t>EC2216A/B GRAY KT2OZ</t>
  </si>
  <si>
    <t>EC2216A/B GRAY KT3OZ</t>
  </si>
  <si>
    <t>EC2216A/B-GRAY-KT2FL/OZ.</t>
  </si>
  <si>
    <t>SEALING LOCKING ANAEROBIC SUPERFAST</t>
  </si>
  <si>
    <t>242 50CC</t>
  </si>
  <si>
    <t>LOCTITE 242 50CC</t>
  </si>
  <si>
    <t>LOCTITE222</t>
  </si>
  <si>
    <t>LOCTITE 222-50CC</t>
  </si>
  <si>
    <t>222-50CC</t>
  </si>
  <si>
    <t>SEALING LOCKING ANAEROBIC COMPOUND,O</t>
  </si>
  <si>
    <t>LOCTITE 222MS</t>
  </si>
  <si>
    <t>T491C106K025AT</t>
  </si>
  <si>
    <t>293D106X9025C8T</t>
  </si>
  <si>
    <t>N62150594</t>
  </si>
  <si>
    <t>CHIP CAP 10UF 10% 25VOLT 236X126 TAN</t>
  </si>
  <si>
    <t>293D106X9025C2T</t>
  </si>
  <si>
    <t>N62182936</t>
  </si>
  <si>
    <t>T491C106K025AS</t>
  </si>
  <si>
    <t>Seq No</t>
  </si>
  <si>
    <t>Part Number</t>
  </si>
  <si>
    <t>Catalog No</t>
  </si>
  <si>
    <t>Description</t>
  </si>
  <si>
    <t>Qty</t>
  </si>
  <si>
    <t>Item Type</t>
  </si>
  <si>
    <t>RDN's</t>
  </si>
  <si>
    <t>1</t>
  </si>
  <si>
    <t>402548266</t>
  </si>
  <si>
    <t>ELTDesign</t>
  </si>
  <si>
    <t>2</t>
  </si>
  <si>
    <t>410928732</t>
  </si>
  <si>
    <t>LABEL,PRINTABLE,INDUSTRIAL POLYIMIDE,HIGH-TEMPERATURE,0.75"x0.25"(19.05x6.35MM),COLOR AMBER,BRAND ULTRA TEMP SERIES,B-724 MATERIAL,IN ROLL OF 10000 LABELS.</t>
  </si>
  <si>
    <t>Buy</t>
  </si>
  <si>
    <t>Alt</t>
  </si>
  <si>
    <t>PTL-10-724</t>
  </si>
  <si>
    <t>405532683</t>
  </si>
  <si>
    <t>HIGH TEMPERATURE POLYIMIDE LABEL,SIZE 0.750 IN W X 0.250 IN,AMBER,ROLLOF 500 EA.</t>
  </si>
  <si>
    <t>3-KG10F</t>
  </si>
  <si>
    <t>827490699</t>
  </si>
  <si>
    <t>LABEL POLYIMIDE FORMAT-3 POLYIMIDE LABEL FOR EPROM</t>
  </si>
  <si>
    <t>PTL-10-426</t>
  </si>
  <si>
    <t>400019832</t>
  </si>
  <si>
    <t>HIGH TEMP.LABEL 19.05MM X 19.05MM COL.AMBER, LABELS/ROLL:750</t>
  </si>
  <si>
    <t>3</t>
  </si>
  <si>
    <t>400909746</t>
  </si>
  <si>
    <t>4</t>
  </si>
  <si>
    <t>403933229</t>
  </si>
  <si>
    <t>5</t>
  </si>
  <si>
    <t>512304791</t>
  </si>
  <si>
    <t>SCREW,MACHINE,PAN HEAD,CRUCIFORM RECESS,PER NASM9006,FULL SHANK,NON-LOCKING,LONG THREAD,INCH SERIES,COARSE THREAD,RIGHTHAND,#4-40,UNC-2A,CRES,300 SERIES,80 KSI FTU,48 KSI FSU,PASSIVATED,1200 DEG F,INTERNAL DRIVING,ACTIVE FOR USE,MS51957,FF-</t>
  </si>
  <si>
    <t>6</t>
  </si>
  <si>
    <t>514200799</t>
  </si>
  <si>
    <t>WASHER,FLAT,PLAIN,REDUCED OD,#4 SIZE,.032IN,INCH SERIES,CRES,PER ASTM A240/A240M,PASSIVATED,1200 DEG F,FOR USE UNDER NUT,ACTIVE FOR USE,NAS620,NONE</t>
  </si>
  <si>
    <t>7</t>
  </si>
  <si>
    <t>514301316</t>
  </si>
  <si>
    <t>WASHER,LOCK,HELICAL SPRING,REGULAR (MEDIUM) SERIES,#4 SIZE,.025IN,INCH SERIES,CRES,300 SERIES,PASSIVATED,1200 DEG F,ACTIVE FOR USE,NASM35338,ASME B18.21.1</t>
  </si>
  <si>
    <t>8</t>
  </si>
  <si>
    <t>513206524</t>
  </si>
  <si>
    <t>NUT,HEX,PLAIN,NON-LOCKING,THIN,INCH SERIES,COARSE THREAD,RIGHT HAND,#2-56,UNJC-3B,CRES,303,PASSIVATED,1200 DEG F,EXTERNAL WRENCHING,NON-STRUCTURAL,ACTIVE FOR USE,NAS671,FF-N-836</t>
  </si>
  <si>
    <t>10</t>
  </si>
  <si>
    <t>CONN RF MMCX CABLE JACK PCB</t>
  </si>
  <si>
    <t>J 8</t>
  </si>
  <si>
    <t>CONN RF MMCX PCB RECP</t>
  </si>
  <si>
    <t>11</t>
  </si>
  <si>
    <t>418126610</t>
  </si>
  <si>
    <t>CONN,MISC,PCB,25.00MM CARD SLOT PITCH,SHIELD PHOSPHOR BRONZE,4-PAIR,VERTICAL PIN HEADER ASSY.</t>
  </si>
  <si>
    <t>J 3</t>
  </si>
  <si>
    <t>1469074-1</t>
  </si>
  <si>
    <t>400574457</t>
  </si>
  <si>
    <t>CONNECTOR RECTANGULAR, HEADER ASSEMBLY, 40 PAIR, PCB, 1.8MMTAIL,2.5MM HMZD, GOLD OVER NICKEL CONTACT PLATED,</t>
  </si>
  <si>
    <t>12</t>
  </si>
  <si>
    <t>400991029</t>
  </si>
  <si>
    <t>CONNECTOR,RECTANGULAR,HEADER R/A,HIGH TEMP. BLACK,.100# x .100# LOWPROFILE,10 PIN,BC POLARIZING NOTCHES,DIP SOLDER,FOR .094 TO .125 SOLDERTAIL,GOLD PLATING 30u"</t>
  </si>
  <si>
    <t>J 5</t>
  </si>
  <si>
    <t xml:space="preserve">RECT HEADER R/A 10 PIN DIP SOLDER    </t>
  </si>
  <si>
    <t>13</t>
  </si>
  <si>
    <t>405935860</t>
  </si>
  <si>
    <t>CONN RECT COM-EXPRESS 440PIN PCB SMT 8MM BTB DIST.,0.5MM PITCH,UL94 V-0LCP INSULT.,COPPER ALLOY CONTACT,GOLD OVER NI PLATING,0.5A MAX CURRENT,50VAC OP. VOLT.</t>
  </si>
  <si>
    <t>J 4</t>
  </si>
  <si>
    <t>3-5353652-6</t>
  </si>
  <si>
    <t>400607462</t>
  </si>
  <si>
    <t>CONNECTOR RECT PLUG BOARD TO BOARD 440 CONTACTS PCB, GOLD PLT. CONTACTS,TYPE-B, 0.5MM FREE HEIGHT, HARD TRAY ASSEMBLY 8H W/G-PLATE ON 2 ROW CAP,</t>
  </si>
  <si>
    <t>14</t>
  </si>
  <si>
    <t>400048631</t>
  </si>
  <si>
    <t>CONN RECT LOW PROF.SOCKET,2-ROWS,8 SKTS GOLD C-T TIN TAIL PLT,BOTTOMENTRY,TAPE AND REEL</t>
  </si>
  <si>
    <t>J 7</t>
  </si>
  <si>
    <t>15</t>
  </si>
  <si>
    <t>CONNECTOR,ELECTRIC,CIRCULAR,100 CONTACTS,22 AWG CONTACT,SOCKET CONTACT,SHELL SIZE 23,CRIMP,JAM NUT,RECEPTACLE,MARINE BRONZE,TRI-START,N POLARIZATION POSITION</t>
  </si>
  <si>
    <t>J 2</t>
  </si>
  <si>
    <t>16</t>
  </si>
  <si>
    <t>400722122</t>
  </si>
  <si>
    <t>CONNECTOR RECTANGULAR EDGE RATE HEADER 26 POS PCB SMT, GOLDON CONT PLT,MATTE TIN ON TAIL PLATED, PICK &amp; PLACE PAD, POLYMIDE FILM,PAIR LEAD STYLE,</t>
  </si>
  <si>
    <t>J 27-30</t>
  </si>
  <si>
    <t>17</t>
  </si>
  <si>
    <t xml:space="preserve">RECT PLUG 50 PIN WRAP POST    </t>
  </si>
  <si>
    <t>J 1</t>
  </si>
  <si>
    <t>M24308/24-23F</t>
  </si>
  <si>
    <t>N64514813</t>
  </si>
  <si>
    <t>CONNECTOR,ELECTRIC,RECTANGULAR,PLUG,PIN CONTACT,PRINTED WIRING BOARD,COPPER ALLOY CONTACTS,GOLD CONTACT PLATING,20 AWG CONTACT,50 CONTACTS,CADMIUM SHELL PLATING,SHELL SIZE 5,NON-ENVIRONMENTAL,RACK AND PANEL</t>
  </si>
  <si>
    <t>18</t>
  </si>
  <si>
    <t>403558537</t>
  </si>
  <si>
    <t>J 45-47,49-52,57-63</t>
  </si>
  <si>
    <t>MM8030-2600RJ3</t>
  </si>
  <si>
    <t>401459773</t>
  </si>
  <si>
    <t>SW TEST POINT FOR X-BAND T&amp;R</t>
  </si>
  <si>
    <t>19</t>
  </si>
  <si>
    <t>400752821</t>
  </si>
  <si>
    <t>RECTANGULAR HEADER 50 PIN, DIP SOLDER, MATERIAL: COPPER ALLOY,CURRENT: 0.5A</t>
  </si>
  <si>
    <t>J 6</t>
  </si>
  <si>
    <t>20</t>
  </si>
  <si>
    <t>404495499</t>
  </si>
  <si>
    <t>CONN RF SMP STRT PLUG,LIMITED DETENT,50OHMS,DC TO 18GH,AURODUR GOLD PLTCUBE CENTER CONTACT,AURODUR GOLD PLTD BRASS OUTER CONT.,PTFE DIELECTRIC</t>
  </si>
  <si>
    <t>J 9-26</t>
  </si>
  <si>
    <t>R222.428.300</t>
  </si>
  <si>
    <t>400236250</t>
  </si>
  <si>
    <t>CONNECTOR RF SMP PLUG STRAIGHT FOR PCB, GOLD PLT. CENTER CONT, STAINLESSSTEEL AND BRASS BODY, IMPE: 50 OHM, FRQ: 0 - 40GHZ, PIN IN PASTE,</t>
  </si>
  <si>
    <t>400601404</t>
  </si>
  <si>
    <t>21</t>
  </si>
  <si>
    <t>411760384</t>
  </si>
  <si>
    <t>CONN RF SMP PLUG STR PCB SMT S.B.,50OHMS,DC TO 26.5GHZ,GOLDPLATED CUBECENTER CONTACT,GOLD PLATED BRASS OUTER CONTACT,PTFE DIELECTRIC,</t>
  </si>
  <si>
    <t>J 55-56</t>
  </si>
  <si>
    <t>400601401</t>
  </si>
  <si>
    <t>IC INTFACE MOSFET DRIVER</t>
  </si>
  <si>
    <t>22</t>
  </si>
  <si>
    <t>CONNECTOR,ELECTRIC,RECTANGULAR,TFM,SMT HIGH RELAIABLE HEADER,PIN CONTACT,(1.27MM).050" PITCH,PHOSPHOR BRONZE TERMINAL,30U" GOLD,TIN ON TAIL PLATING,5A CURRENT RATING@20 C DEG.,50 CONTACTS,LIQUID CRYSTAL INSULATOR MTRL,STRAIGHT,ALIGNT. PIN&amp;P</t>
  </si>
  <si>
    <t>J 54</t>
  </si>
  <si>
    <t>23</t>
  </si>
  <si>
    <t>732602347</t>
  </si>
  <si>
    <t>SEALING LOCKING ANAEROB. COMP. SUPERFAST MEDIUM STRENGTH,LOCTITE 242,BOTTLE OF 50ML</t>
  </si>
  <si>
    <t>732680665</t>
  </si>
  <si>
    <t>SEALING LOCKING ANAEROBIC SUPERFAST MEDIUM STRENGTH COMPOUND,LOCTITE 242,BO OF 50ML</t>
  </si>
  <si>
    <t>24</t>
  </si>
  <si>
    <t>514201177</t>
  </si>
  <si>
    <t>WASHER,FLAT,PLAIN,REDUCED OD,#2 SIZE,.016IN,INCH SERIES,CRES,PER ASTM A240/A240M,PASSIVATED,1200 DEG F,FOR USE UNDER NUT,ACTIVE FOR USE,NAS620,NONE</t>
  </si>
  <si>
    <t>25</t>
  </si>
  <si>
    <t>514301548</t>
  </si>
  <si>
    <t>WASHER,LOCK,HELICAL SPRING,REGULAR (MEDIUM) SERIES,#2 SIZE,.020IN,INCH SERIES,CRES,300 SERIES,PASSIVATED,1200 DEG F,ACTIVE FOR USE,NASM35338,ASME B18.21.1</t>
  </si>
  <si>
    <t>26</t>
  </si>
  <si>
    <t>512308677</t>
  </si>
  <si>
    <t>SCREW,MACHINE,PAN HEAD,CRUCIFORM RECESS,PER NASM9006,FULL SHANK,NON-LOCKING,LONG THREAD,INCH SERIES,COARSE THREAD,RIGHTHAND,#2-56,UNC-2A,CRES,300 SERIES,80 KSI FTU,48 KSI FSU,PASSIVATED,1200 DEG F,INTERNAL DRIVING,ACTIVE FOR USE,MS51957,FF-</t>
  </si>
  <si>
    <t>27</t>
  </si>
  <si>
    <t>CONTACT SOCKET 22# SOLDER GOLD-PLT COPPER</t>
  </si>
  <si>
    <t>100</t>
  </si>
  <si>
    <t>CONTACT SOCKET 22DAWG SOLDER GOLD-PLT</t>
  </si>
  <si>
    <t>28</t>
  </si>
  <si>
    <t>407632533</t>
  </si>
  <si>
    <t>U 5068</t>
  </si>
  <si>
    <t>404312486</t>
  </si>
  <si>
    <t>29</t>
  </si>
  <si>
    <t>425167977</t>
  </si>
  <si>
    <t>U 5000</t>
  </si>
  <si>
    <t>30</t>
  </si>
  <si>
    <t>400637607</t>
  </si>
  <si>
    <t>U 7,127,257,368,487,617,727,857,967,1099,1206,1337,1450,1576,1698,1808</t>
  </si>
  <si>
    <t>400610118</t>
  </si>
  <si>
    <t>31</t>
  </si>
  <si>
    <t>400637608</t>
  </si>
  <si>
    <t>U 2502-2503</t>
  </si>
  <si>
    <t>400590933</t>
  </si>
  <si>
    <t>32</t>
  </si>
  <si>
    <t>402415463</t>
  </si>
  <si>
    <t>U 5001</t>
  </si>
  <si>
    <t>33</t>
  </si>
  <si>
    <t>401349548</t>
  </si>
  <si>
    <t>U 2507-2508,5002</t>
  </si>
  <si>
    <t>AD7928BRU</t>
  </si>
  <si>
    <t>400151688</t>
  </si>
  <si>
    <t>402415464</t>
  </si>
  <si>
    <t>34</t>
  </si>
  <si>
    <t>401039812</t>
  </si>
  <si>
    <t>U 5094-5109</t>
  </si>
  <si>
    <t>AD823AR</t>
  </si>
  <si>
    <t>N58130519</t>
  </si>
  <si>
    <t>400687676</t>
  </si>
  <si>
    <t>IC LINEAR DUAL OP. AMP.</t>
  </si>
  <si>
    <t>35</t>
  </si>
  <si>
    <t>405802980</t>
  </si>
  <si>
    <t>U 1940,2255</t>
  </si>
  <si>
    <t>AD829AR</t>
  </si>
  <si>
    <t>N58599523</t>
  </si>
  <si>
    <t>36</t>
  </si>
  <si>
    <t>400565164</t>
  </si>
  <si>
    <t>U 5221</t>
  </si>
  <si>
    <t>37</t>
  </si>
  <si>
    <t>403218030</t>
  </si>
  <si>
    <t>U 16,137,244,377,498,604,738,846,977,1090,1216,1329,1457,1571,1690,1817</t>
  </si>
  <si>
    <t>400607940</t>
  </si>
  <si>
    <t>401038470</t>
  </si>
  <si>
    <t>38</t>
  </si>
  <si>
    <t>400975919</t>
  </si>
  <si>
    <t>U 5003-5006</t>
  </si>
  <si>
    <t>AD9222BCPZ-65</t>
  </si>
  <si>
    <t>400615162</t>
  </si>
  <si>
    <t>AD9222BCPZRL7-65</t>
  </si>
  <si>
    <t>400601124</t>
  </si>
  <si>
    <t>IC INTFACE A/D CONVERTER 12-BIT T&amp;R</t>
  </si>
  <si>
    <t>39</t>
  </si>
  <si>
    <t>400975918</t>
  </si>
  <si>
    <t>U 5007</t>
  </si>
  <si>
    <t>AD9228BCPZ-65</t>
  </si>
  <si>
    <t>400637029</t>
  </si>
  <si>
    <t>40</t>
  </si>
  <si>
    <t>400637612</t>
  </si>
  <si>
    <t>U 1921,2100</t>
  </si>
  <si>
    <t>400610116</t>
  </si>
  <si>
    <t>41</t>
  </si>
  <si>
    <t>400625557</t>
  </si>
  <si>
    <t>U 2242</t>
  </si>
  <si>
    <t>42</t>
  </si>
  <si>
    <t>400522453</t>
  </si>
  <si>
    <t>U 2251</t>
  </si>
  <si>
    <t>43</t>
  </si>
  <si>
    <t>400637606</t>
  </si>
  <si>
    <t>U 2249</t>
  </si>
  <si>
    <t>44</t>
  </si>
  <si>
    <t>401340657</t>
  </si>
  <si>
    <t>U 5008,5201</t>
  </si>
  <si>
    <t>ADM708SAR</t>
  </si>
  <si>
    <t>N59823674</t>
  </si>
  <si>
    <t>IC MICROPROCESSOR SUPERVISORY CIRCUIT FOR MONITORING EITHER3V OR 3.3V</t>
  </si>
  <si>
    <t>45</t>
  </si>
  <si>
    <t>400292371</t>
  </si>
  <si>
    <t>U 2340-2342,2403</t>
  </si>
  <si>
    <t>46</t>
  </si>
  <si>
    <t>404360478</t>
  </si>
  <si>
    <t>U 5009</t>
  </si>
  <si>
    <t>AT24C16D-XHM-B</t>
  </si>
  <si>
    <t>404360479</t>
  </si>
  <si>
    <t>IC MEMORY SERIAL EEPROM 16K</t>
  </si>
  <si>
    <t>AT24C16C-XHM-B</t>
  </si>
  <si>
    <t>401523104</t>
  </si>
  <si>
    <t>AT24C16B-TH-B</t>
  </si>
  <si>
    <t>400726317</t>
  </si>
  <si>
    <t>IC MEMORY SERIAL EEPROM 16K (2048X8)</t>
  </si>
  <si>
    <t>AT24C16B-TH-T</t>
  </si>
  <si>
    <t>400649507</t>
  </si>
  <si>
    <t>AT24C16C-XHM-T</t>
  </si>
  <si>
    <t>401523105</t>
  </si>
  <si>
    <t>47</t>
  </si>
  <si>
    <t>400606332</t>
  </si>
  <si>
    <t>U 5223</t>
  </si>
  <si>
    <t>401551272</t>
  </si>
  <si>
    <t>48</t>
  </si>
  <si>
    <t>CHIP DIRECTIONAL COUPLER 4500MHZ 40X23MIL TAPE&amp;REEL</t>
  </si>
  <si>
    <t>U 2246</t>
  </si>
  <si>
    <t>49</t>
  </si>
  <si>
    <t>400467749</t>
  </si>
  <si>
    <t>U 2406</t>
  </si>
  <si>
    <t>CSM4T</t>
  </si>
  <si>
    <t>N79871737</t>
  </si>
  <si>
    <t>TERMINATION INSENSITIVE MIXER 1 TO 3400MHZ</t>
  </si>
  <si>
    <t>50</t>
  </si>
  <si>
    <t>412611005</t>
  </si>
  <si>
    <t>U 5126-5141</t>
  </si>
  <si>
    <t>DG636DN-T1-E4</t>
  </si>
  <si>
    <t>401184468</t>
  </si>
  <si>
    <t>IC DUAL SPDT ANALOG SWITCH</t>
  </si>
  <si>
    <t>DG636EN-T1-E4</t>
  </si>
  <si>
    <t>401209055</t>
  </si>
  <si>
    <t>51</t>
  </si>
  <si>
    <t>401455786</t>
  </si>
  <si>
    <t>U 5224</t>
  </si>
  <si>
    <t>52</t>
  </si>
  <si>
    <t>401499257</t>
  </si>
  <si>
    <t>U 5011-5012,5197</t>
  </si>
  <si>
    <t>400175303</t>
  </si>
  <si>
    <t>401274354</t>
  </si>
  <si>
    <t>53</t>
  </si>
  <si>
    <t>401499258</t>
  </si>
  <si>
    <t>U 5013-5015</t>
  </si>
  <si>
    <t>401533602</t>
  </si>
  <si>
    <t>401361571</t>
  </si>
  <si>
    <t>IC INTFACE 3V, QUAD LINE REC DIFF INP</t>
  </si>
  <si>
    <t>400175306</t>
  </si>
  <si>
    <t>54</t>
  </si>
  <si>
    <t>400929924</t>
  </si>
  <si>
    <t>U 2506</t>
  </si>
  <si>
    <t>400828412</t>
  </si>
  <si>
    <t>55</t>
  </si>
  <si>
    <t>400290778</t>
  </si>
  <si>
    <t>U 5069,5225</t>
  </si>
  <si>
    <t>56</t>
  </si>
  <si>
    <t>400706781</t>
  </si>
  <si>
    <t>U 5195-5196</t>
  </si>
  <si>
    <t>400146253</t>
  </si>
  <si>
    <t>57</t>
  </si>
  <si>
    <t>401004976</t>
  </si>
  <si>
    <t>U 2329</t>
  </si>
  <si>
    <t>58</t>
  </si>
  <si>
    <t>401264192</t>
  </si>
  <si>
    <t>U 2500</t>
  </si>
  <si>
    <t>59</t>
  </si>
  <si>
    <t>2001G911-001</t>
  </si>
  <si>
    <t>424287909</t>
  </si>
  <si>
    <t>REBALLING EP4SGX530KH40I3G</t>
  </si>
  <si>
    <t>U 5016</t>
  </si>
  <si>
    <t>401216522</t>
  </si>
  <si>
    <t>60</t>
  </si>
  <si>
    <t>414347058</t>
  </si>
  <si>
    <t>U 5017</t>
  </si>
  <si>
    <t>EPCS128SI16N</t>
  </si>
  <si>
    <t>400564001</t>
  </si>
  <si>
    <t>IC FLASH MEMORY 128MBIT</t>
  </si>
  <si>
    <t>61</t>
  </si>
  <si>
    <t>400028226</t>
  </si>
  <si>
    <t>U 5060</t>
  </si>
  <si>
    <t>62</t>
  </si>
  <si>
    <t>406156690</t>
  </si>
  <si>
    <t>U 1925,2124</t>
  </si>
  <si>
    <t>HMC213MS8TR</t>
  </si>
  <si>
    <t>400043499</t>
  </si>
  <si>
    <t>MMIC GAAS DOUBLE-BALANCED MIXER T&amp;R</t>
  </si>
  <si>
    <t>HMC213AMS8E</t>
  </si>
  <si>
    <t>401201105</t>
  </si>
  <si>
    <t>HMC213BMS8GE</t>
  </si>
  <si>
    <t>408601118</t>
  </si>
  <si>
    <t>63</t>
  </si>
  <si>
    <t>414274376</t>
  </si>
  <si>
    <t>U 2250</t>
  </si>
  <si>
    <t>64</t>
  </si>
  <si>
    <t>400026812</t>
  </si>
  <si>
    <t>U 1943,2408</t>
  </si>
  <si>
    <t>65</t>
  </si>
  <si>
    <t>425125210</t>
  </si>
  <si>
    <t>U 2125</t>
  </si>
  <si>
    <t>66</t>
  </si>
  <si>
    <t>405802973</t>
  </si>
  <si>
    <t>U 5168</t>
  </si>
  <si>
    <t>67</t>
  </si>
  <si>
    <t>400490584</t>
  </si>
  <si>
    <t>U 2409</t>
  </si>
  <si>
    <t>HMC432</t>
  </si>
  <si>
    <t>400028983</t>
  </si>
  <si>
    <t>68</t>
  </si>
  <si>
    <t>401375255</t>
  </si>
  <si>
    <t>U 2410</t>
  </si>
  <si>
    <t>HMC434</t>
  </si>
  <si>
    <t>400018379</t>
  </si>
  <si>
    <t>69</t>
  </si>
  <si>
    <t>400624662</t>
  </si>
  <si>
    <t>U 2112-2121,2252</t>
  </si>
  <si>
    <t>400046452</t>
  </si>
  <si>
    <t>70</t>
  </si>
  <si>
    <t>400596419</t>
  </si>
  <si>
    <t>DIODE MISC SMALL SIGNAL 150V 0.5W</t>
  </si>
  <si>
    <t>U 2126,2254</t>
  </si>
  <si>
    <t>400596422</t>
  </si>
  <si>
    <t>71</t>
  </si>
  <si>
    <t>408193709</t>
  </si>
  <si>
    <t>U 1,121,241,361,481,601,721,841,961,1081,1201,1321,1441,1561,1681,1801</t>
  </si>
  <si>
    <t>72</t>
  </si>
  <si>
    <t>421316474</t>
  </si>
  <si>
    <t>U 18,136,250,378,496,611,737,850,975,1095,1214,1331,1456,1570,1692,1815,3012</t>
  </si>
  <si>
    <t>400273877</t>
  </si>
  <si>
    <t>73</t>
  </si>
  <si>
    <t>400564048</t>
  </si>
  <si>
    <t>U 2-4,123-125,245-247,363-365,484-486,605-607,723-725,847-849,963-965,1084-1086,1203-1205,1324-1326,1443-1445,1563-1565,1683-1685,1803-1805,2128,2248</t>
  </si>
  <si>
    <t>74</t>
  </si>
  <si>
    <t>OPTOELECT OPTOCOUPLER POWER MOSFET,90V/1 OHM,GULL WING LEAD.</t>
  </si>
  <si>
    <t>U 5018</t>
  </si>
  <si>
    <t>75</t>
  </si>
  <si>
    <t>400295674</t>
  </si>
  <si>
    <t>U 1928-1929,2122</t>
  </si>
  <si>
    <t>LFCN-225</t>
  </si>
  <si>
    <t>400017553</t>
  </si>
  <si>
    <t>LOW PASS FILTER  DC-225MHZ</t>
  </si>
  <si>
    <t>76</t>
  </si>
  <si>
    <t>400013186</t>
  </si>
  <si>
    <t>U 2418</t>
  </si>
  <si>
    <t>77</t>
  </si>
  <si>
    <t>400295790</t>
  </si>
  <si>
    <t>U 2123</t>
  </si>
  <si>
    <t>LFCN-900</t>
  </si>
  <si>
    <t>400004622</t>
  </si>
  <si>
    <t>78</t>
  </si>
  <si>
    <t>400295683</t>
  </si>
  <si>
    <t>U 1922-1924</t>
  </si>
  <si>
    <t>400013185</t>
  </si>
  <si>
    <t>79</t>
  </si>
  <si>
    <t>400295017</t>
  </si>
  <si>
    <t>U 2393-2394,2417</t>
  </si>
  <si>
    <t>80</t>
  </si>
  <si>
    <t>400984334</t>
  </si>
  <si>
    <t>U 5164-5165,5170</t>
  </si>
  <si>
    <t>81</t>
  </si>
  <si>
    <t>400824172</t>
  </si>
  <si>
    <t>IC LINEAR VOLT. REG. ADJ.</t>
  </si>
  <si>
    <t>U 19,138,243,379,497,603,739,843,978,1087,1217,1330,1458,1569,1687,1818,1931-1932,2244-2245,2328</t>
  </si>
  <si>
    <t>401007140</t>
  </si>
  <si>
    <t>82</t>
  </si>
  <si>
    <t>400897248</t>
  </si>
  <si>
    <t>U 5203-5218</t>
  </si>
  <si>
    <t>83</t>
  </si>
  <si>
    <t>400638927</t>
  </si>
  <si>
    <t>CONN RECT MISC, PCB, 30 PIN SMD, 2-ROWS, FIXING HARDWARE: F24,</t>
  </si>
  <si>
    <t>U 5,126,258,366,483,618,726,858,966,1098,1208,1336,1447,1578,1697,1812</t>
  </si>
  <si>
    <t>400624636</t>
  </si>
  <si>
    <t>84</t>
  </si>
  <si>
    <t>400611960</t>
  </si>
  <si>
    <t>U 5020-5026</t>
  </si>
  <si>
    <t>85</t>
  </si>
  <si>
    <t>400205279</t>
  </si>
  <si>
    <t>U 15,134,255,370,494,615,734,853,976,1083,1218,1323,1459,1566,1686,1819</t>
  </si>
  <si>
    <t>86</t>
  </si>
  <si>
    <t>400203456</t>
  </si>
  <si>
    <t>TRAN. VOLT. SUPPR. VR=51V IC DIGITAL THERMOMETER</t>
  </si>
  <si>
    <t>U 5028</t>
  </si>
  <si>
    <t>87</t>
  </si>
  <si>
    <t>400169070</t>
  </si>
  <si>
    <t>U 5029,5093</t>
  </si>
  <si>
    <t>88</t>
  </si>
  <si>
    <t>400330009</t>
  </si>
  <si>
    <t>U 6,1930,2101,2504-2505,5030-5032,5035-5036,5038</t>
  </si>
  <si>
    <t>89</t>
  </si>
  <si>
    <t>400186681</t>
  </si>
  <si>
    <t>U 1937</t>
  </si>
  <si>
    <t>90</t>
  </si>
  <si>
    <t>400329964</t>
  </si>
  <si>
    <t>U 5219-5220</t>
  </si>
  <si>
    <t>91</t>
  </si>
  <si>
    <t>400119153</t>
  </si>
  <si>
    <t>U 1926-1927</t>
  </si>
  <si>
    <t>92</t>
  </si>
  <si>
    <t>400120141</t>
  </si>
  <si>
    <t>U 1934</t>
  </si>
  <si>
    <t>MC100EP40DT</t>
  </si>
  <si>
    <t>N58892084</t>
  </si>
  <si>
    <t>IC 3.3/5V ECL DIFFERENTIAL PHASE-FREQ. DETECTOR</t>
  </si>
  <si>
    <t>93</t>
  </si>
  <si>
    <t>401225118</t>
  </si>
  <si>
    <t>U 5040</t>
  </si>
  <si>
    <t>MC100LVEP111FA</t>
  </si>
  <si>
    <t>N60146263</t>
  </si>
  <si>
    <t xml:space="preserve">IC INTFACE 1-TO-10 DIFF. DRIVER    </t>
  </si>
  <si>
    <t>94</t>
  </si>
  <si>
    <t>400391792</t>
  </si>
  <si>
    <t>U 10,373,735,1091,1455,1816,3013,5169</t>
  </si>
  <si>
    <t>MC74ACT04D</t>
  </si>
  <si>
    <t>N57125452</t>
  </si>
  <si>
    <t>IC DIGITAL  HEX INVERTER</t>
  </si>
  <si>
    <t>95</t>
  </si>
  <si>
    <t>400656257</t>
  </si>
  <si>
    <t>U 5041</t>
  </si>
  <si>
    <t>96</t>
  </si>
  <si>
    <t>411132942</t>
  </si>
  <si>
    <t>U 9,129,249,372,489,609,729,845,971,1089,1210,1328,1449,1568,1689,1807,2241</t>
  </si>
  <si>
    <t>97</t>
  </si>
  <si>
    <t>402113164</t>
  </si>
  <si>
    <t>U 5042-5049</t>
  </si>
  <si>
    <t>1031J046-001</t>
  </si>
  <si>
    <t>404983520</t>
  </si>
  <si>
    <t>REBALLING MT47H128M16RT-25E IT:C</t>
  </si>
  <si>
    <t>MT47H128M16PK-25EIT:C</t>
  </si>
  <si>
    <t>401183811</t>
  </si>
  <si>
    <t>IC DDR2 SDRAM 128M16</t>
  </si>
  <si>
    <t>98</t>
  </si>
  <si>
    <t>CHIP ATTENUATOR DC-18GHZ 3DB THERMOPAD</t>
  </si>
  <si>
    <t>U 2106-2107,2109,2111</t>
  </si>
  <si>
    <t>99</t>
  </si>
  <si>
    <t>CHIP ATTENUATOR DC-18GHZ 5DB .2WATT THERMOPAD</t>
  </si>
  <si>
    <t>U 2247</t>
  </si>
  <si>
    <t xml:space="preserve">IC DIG 2 IN AND GATE TAPE &amp; REEL    </t>
  </si>
  <si>
    <t>U 5147-5162</t>
  </si>
  <si>
    <t>101</t>
  </si>
  <si>
    <t>407374932</t>
  </si>
  <si>
    <t>U 5199-5200</t>
  </si>
  <si>
    <t>400340475</t>
  </si>
  <si>
    <t>102</t>
  </si>
  <si>
    <t>419271576</t>
  </si>
  <si>
    <t>U 5091-5092,5226</t>
  </si>
  <si>
    <t>400604233</t>
  </si>
  <si>
    <t>103</t>
  </si>
  <si>
    <t>403882064</t>
  </si>
  <si>
    <t>U 5202</t>
  </si>
  <si>
    <t>104</t>
  </si>
  <si>
    <t>400567121</t>
  </si>
  <si>
    <t>U 5227</t>
  </si>
  <si>
    <t>IC LINEAR VOLTAGE REF. 2.5V</t>
  </si>
  <si>
    <t>105</t>
  </si>
  <si>
    <t>400624402</t>
  </si>
  <si>
    <t>U 2243</t>
  </si>
  <si>
    <t>106</t>
  </si>
  <si>
    <t>400610120</t>
  </si>
  <si>
    <t>U 1936</t>
  </si>
  <si>
    <t>108</t>
  </si>
  <si>
    <t>400624634</t>
  </si>
  <si>
    <t>9</t>
  </si>
  <si>
    <t>U 1938-1939,2102-2103,2253,5071,2397,2405,2395</t>
  </si>
  <si>
    <t>109</t>
  </si>
  <si>
    <t>400151183</t>
  </si>
  <si>
    <t>U 2392,2404</t>
  </si>
  <si>
    <t>SBB-4089</t>
  </si>
  <si>
    <t>400038213</t>
  </si>
  <si>
    <t>MMIC INGAP/GAAS HBT AMP. 0.05-6GHZ</t>
  </si>
  <si>
    <t>110</t>
  </si>
  <si>
    <t>400455509</t>
  </si>
  <si>
    <t>U 1944</t>
  </si>
  <si>
    <t>111</t>
  </si>
  <si>
    <t>401248026</t>
  </si>
  <si>
    <t>U 5082</t>
  </si>
  <si>
    <t>112</t>
  </si>
  <si>
    <t>400129236</t>
  </si>
  <si>
    <t>U 2321</t>
  </si>
  <si>
    <t>113</t>
  </si>
  <si>
    <t>400607645</t>
  </si>
  <si>
    <t>U 1942</t>
  </si>
  <si>
    <t>114</t>
  </si>
  <si>
    <t>425167980</t>
  </si>
  <si>
    <t>U 1941,2391,2396,2129</t>
  </si>
  <si>
    <t>115</t>
  </si>
  <si>
    <t>400570107</t>
  </si>
  <si>
    <t>U 5198</t>
  </si>
  <si>
    <t>400048562</t>
  </si>
  <si>
    <t>IC LINE DRIVER X 16</t>
  </si>
  <si>
    <t>116</t>
  </si>
  <si>
    <t>403773886</t>
  </si>
  <si>
    <t>U 5062,5066</t>
  </si>
  <si>
    <t xml:space="preserve">IC INTFACE SINGLE BUFFER/DRIVER    </t>
  </si>
  <si>
    <t>117</t>
  </si>
  <si>
    <t>405072786</t>
  </si>
  <si>
    <t>U 5064,5067</t>
  </si>
  <si>
    <t>402509311</t>
  </si>
  <si>
    <t>400178372</t>
  </si>
  <si>
    <t>118</t>
  </si>
  <si>
    <t>401863222</t>
  </si>
  <si>
    <t>U 5222</t>
  </si>
  <si>
    <t>400561401</t>
  </si>
  <si>
    <t>119</t>
  </si>
  <si>
    <t>406756325</t>
  </si>
  <si>
    <t>U 5057</t>
  </si>
  <si>
    <t>SY89833LMG</t>
  </si>
  <si>
    <t>400642696</t>
  </si>
  <si>
    <t>FOUR DISTRIBUTED-OUTPUT CLOCK</t>
  </si>
  <si>
    <t>SY89833LMGTR</t>
  </si>
  <si>
    <t>400115649</t>
  </si>
  <si>
    <t>IC 1:4 LVDS FANOUT BUFFER/TRANSLATOR T&amp;R</t>
  </si>
  <si>
    <t>120</t>
  </si>
  <si>
    <t>400629736</t>
  </si>
  <si>
    <t>U 2407</t>
  </si>
  <si>
    <t>121</t>
  </si>
  <si>
    <t>400629744</t>
  </si>
  <si>
    <t>U 2326,5146</t>
  </si>
  <si>
    <t>122</t>
  </si>
  <si>
    <t>400610123</t>
  </si>
  <si>
    <t>U 2127</t>
  </si>
  <si>
    <t>123</t>
  </si>
  <si>
    <t>425279834</t>
  </si>
  <si>
    <t>U 5229-5244</t>
  </si>
  <si>
    <t>124</t>
  </si>
  <si>
    <t>400557075</t>
  </si>
  <si>
    <t xml:space="preserve">INCLUDE QM158 OBJECT TEXT ID ST LANGUAGE ENINCLUDE QM159 OBJECT TEXT ID ST LANGUAGE ENINCLUDE QM241 OBJECT TEXT ID ST LANGUAGE ENINCLUDE QM242 OBJECT TEXT ID ST LANGUAGE ENINCLUDEQM243 OBJECT TEXT ID ST LANGUAGE ENINCLUDE QM244 OBJECT TEXT </t>
  </si>
  <si>
    <t>U 5052-5055</t>
  </si>
  <si>
    <t>400619420</t>
  </si>
  <si>
    <t>125</t>
  </si>
  <si>
    <t>400653150</t>
  </si>
  <si>
    <t>U 5171-5186</t>
  </si>
  <si>
    <t>126</t>
  </si>
  <si>
    <t>ATTENUATOR DC-6GHZ 3DB 2WATT THERMOPAD</t>
  </si>
  <si>
    <t>U 3010-3011</t>
  </si>
  <si>
    <t>127</t>
  </si>
  <si>
    <t xml:space="preserve">CHIP ATTENUATOR 3DB    </t>
  </si>
  <si>
    <t>U 2331,2401</t>
  </si>
  <si>
    <t>128</t>
  </si>
  <si>
    <t>ATTENUATOR DC-6GHZ 5DB 2WATT THERMOPAD</t>
  </si>
  <si>
    <t>U 5142,5145</t>
  </si>
  <si>
    <t>129</t>
  </si>
  <si>
    <t>U 2399</t>
  </si>
  <si>
    <t>132</t>
  </si>
  <si>
    <t xml:space="preserve">OSCILLATOR 156.25MHZ +-25PPM PECL    </t>
  </si>
  <si>
    <t>U 5056</t>
  </si>
  <si>
    <t>133</t>
  </si>
  <si>
    <t>400236634</t>
  </si>
  <si>
    <t>U 2420</t>
  </si>
  <si>
    <t>134</t>
  </si>
  <si>
    <t>411359913</t>
  </si>
  <si>
    <t>U 2501</t>
  </si>
  <si>
    <t>135</t>
  </si>
  <si>
    <t>400569265</t>
  </si>
  <si>
    <t>FULL P/N: ISPPAC-POWR1220AT8-01TN100I</t>
  </si>
  <si>
    <t>U 5081</t>
  </si>
  <si>
    <t>ISPPAC-POWR1220AT8-1TN</t>
  </si>
  <si>
    <t>400334519</t>
  </si>
  <si>
    <t>IC PROG. P.S &amp; SEQUENC. CONTR. &amp; MONITOR</t>
  </si>
  <si>
    <t>136</t>
  </si>
  <si>
    <t>400290775</t>
  </si>
  <si>
    <t>U 5070</t>
  </si>
  <si>
    <t>137</t>
  </si>
  <si>
    <t>406576634</t>
  </si>
  <si>
    <t>U 5072-5079</t>
  </si>
  <si>
    <t>138</t>
  </si>
  <si>
    <t>411123553</t>
  </si>
  <si>
    <t>U 5267-5282</t>
  </si>
  <si>
    <t>139</t>
  </si>
  <si>
    <t>402303137</t>
  </si>
  <si>
    <t>U 5245-5260</t>
  </si>
  <si>
    <t>LM5113SDE/NOPB</t>
  </si>
  <si>
    <t>421088944</t>
  </si>
  <si>
    <t>IC GATE DRIVER 100V 1.2A/5A T&amp;R</t>
  </si>
  <si>
    <t>LM5113SDX/NOPB</t>
  </si>
  <si>
    <t>418688952</t>
  </si>
  <si>
    <t>140</t>
  </si>
  <si>
    <t>407338242</t>
  </si>
  <si>
    <t>U 5283-5298</t>
  </si>
  <si>
    <t>400004698</t>
  </si>
  <si>
    <t>143</t>
  </si>
  <si>
    <t>400280614</t>
  </si>
  <si>
    <t>Q 2244,5021</t>
  </si>
  <si>
    <t>144</t>
  </si>
  <si>
    <t>400703056</t>
  </si>
  <si>
    <t>Q 5004,5006-5020,5022</t>
  </si>
  <si>
    <t>145</t>
  </si>
  <si>
    <t>408125280</t>
  </si>
  <si>
    <t>Q 2241,2243</t>
  </si>
  <si>
    <t>146</t>
  </si>
  <si>
    <t>425569528</t>
  </si>
  <si>
    <t>Q 5040,5023-5037</t>
  </si>
  <si>
    <t>147</t>
  </si>
  <si>
    <t>402208918</t>
  </si>
  <si>
    <t>CR 5056</t>
  </si>
  <si>
    <t>400018291</t>
  </si>
  <si>
    <t>148</t>
  </si>
  <si>
    <t>401523219</t>
  </si>
  <si>
    <t>CR 2321</t>
  </si>
  <si>
    <t>MA44769-287T</t>
  </si>
  <si>
    <t>N51171353</t>
  </si>
  <si>
    <t>STEP RECOVERY DIODE    TAPE&amp;REEL</t>
  </si>
  <si>
    <t>150</t>
  </si>
  <si>
    <t>400068581</t>
  </si>
  <si>
    <t>CR 4,8,12,16,20-21,24,28,32,36-37,44-45,52-53,57,64,5047-5052,22,5028,5055</t>
  </si>
  <si>
    <t>DIODE REF 5.1V 5% 3000EA/RL SOD323-PKG</t>
  </si>
  <si>
    <t>151</t>
  </si>
  <si>
    <t xml:space="preserve">DUAL DIODE ULTRA FAST    </t>
  </si>
  <si>
    <t>CR 5000-5005</t>
  </si>
  <si>
    <t>152</t>
  </si>
  <si>
    <t>401347652</t>
  </si>
  <si>
    <t>CR 1-3,121-123,241-243,361-363,481-483,601-603,721-723,841-843,961-963,1081-1083,1201-1203,1321-1323,1441-1443,1561-1563,1681-1683,1801-1803</t>
  </si>
  <si>
    <t>CHIP PIN DIODE TAPE&amp;REEL</t>
  </si>
  <si>
    <t>153</t>
  </si>
  <si>
    <t>421483326</t>
  </si>
  <si>
    <t>CR 5025-5026</t>
  </si>
  <si>
    <t>MSMBJ2K3.3</t>
  </si>
  <si>
    <t>401188691</t>
  </si>
  <si>
    <t>DIODE TRANSIENT VOLTAGE SUPPRESSOR 2KW</t>
  </si>
  <si>
    <t>154</t>
  </si>
  <si>
    <t>400807358</t>
  </si>
  <si>
    <t>CR 1921,2242</t>
  </si>
  <si>
    <t>MURS120T3</t>
  </si>
  <si>
    <t>N49314313</t>
  </si>
  <si>
    <t xml:space="preserve">DIODE.RECT 200V 1A 35NS    </t>
  </si>
  <si>
    <t>155</t>
  </si>
  <si>
    <t>400828408</t>
  </si>
  <si>
    <t>CR 5007-5008,5010-5012,5023,5030,5053-5054</t>
  </si>
  <si>
    <t>400036194</t>
  </si>
  <si>
    <t>156</t>
  </si>
  <si>
    <t>400493373</t>
  </si>
  <si>
    <t>CR 5021-5022</t>
  </si>
  <si>
    <t>157</t>
  </si>
  <si>
    <t>TRAN. VOLT. SUPPR. 12V 600W TAPE&amp;REEL</t>
  </si>
  <si>
    <t>CR 5024</t>
  </si>
  <si>
    <t>158</t>
  </si>
  <si>
    <t>401480774</t>
  </si>
  <si>
    <t>CR 5027</t>
  </si>
  <si>
    <t>401244497</t>
  </si>
  <si>
    <t>SMBJ5.0AT/R</t>
  </si>
  <si>
    <t>N51806420</t>
  </si>
  <si>
    <t>159</t>
  </si>
  <si>
    <t>400571854</t>
  </si>
  <si>
    <t>TRAN. VOLT. SUPPR. ARRAY</t>
  </si>
  <si>
    <t>CR 5016-5020,5029</t>
  </si>
  <si>
    <t>165</t>
  </si>
  <si>
    <t>417103899</t>
  </si>
  <si>
    <t>C 5010</t>
  </si>
  <si>
    <t>CHIP CAP 2200PF 10% 50VOLT 40X20MIL X7R NI&amp;SOLDER TAPE/REEL</t>
  </si>
  <si>
    <t>166</t>
  </si>
  <si>
    <t>CHIP CAP 10PF 5% 50VOLT 63X32 ACCU-P TAPE/REEL</t>
  </si>
  <si>
    <t>C 2021-2022</t>
  </si>
  <si>
    <t>167</t>
  </si>
  <si>
    <t>CHIP CAP 4.7PF +-.25PF 50VOLT 63X32 ACCU-P TAPE/REEL</t>
  </si>
  <si>
    <t>C 69,183,346,429,549,706,785,946,1039,1186,1262,1427,1488,1666,1786,1802</t>
  </si>
  <si>
    <t>168</t>
  </si>
  <si>
    <t>405386622</t>
  </si>
  <si>
    <t>C 2424-2425,7937-7940</t>
  </si>
  <si>
    <t>CHIP CAP 120PF 5% 50VOLT 55X55 NPO NI-BARRIER TAPE/REEL</t>
  </si>
  <si>
    <t>400823549</t>
  </si>
  <si>
    <t>CHIP CAP 120PF 5^ 50VOLT 55X55 NPO N</t>
  </si>
  <si>
    <t>169</t>
  </si>
  <si>
    <t>405706434</t>
  </si>
  <si>
    <t>C 7257</t>
  </si>
  <si>
    <t>400063108</t>
  </si>
  <si>
    <t>CHIP CAP 130PF 1^ 50V NP0 T&amp;R</t>
  </si>
  <si>
    <t>400823551</t>
  </si>
  <si>
    <t>170</t>
  </si>
  <si>
    <t>404285313</t>
  </si>
  <si>
    <t>C 99,101,219,221,330,332,460,462,580,582,680,682,819,821,931,933,1060,1062,1083,1085,1289,1291,1389,1391,1528,1530,1609,1611,1719,1721,1889,1891</t>
  </si>
  <si>
    <t>400063106</t>
  </si>
  <si>
    <t>400823553</t>
  </si>
  <si>
    <t>171</t>
  </si>
  <si>
    <t>417983156</t>
  </si>
  <si>
    <t>C 87-92,107,193-198,227,279,338-343,451-456,467,567-572,587,654,697-702,803-808,827,887,924-929,1051-1056,1067,1143-1148,1176,1292-1297,1304,1362-1367,1416,1531-1536,1547,1602-1607,1635,1682-1687,1776,1895-1900,1906</t>
  </si>
  <si>
    <t>CHIP CAP 330PF 5% 50VOLT 55X55 NPO NI-BARRIER TAPE/REEL</t>
  </si>
  <si>
    <t>403834703</t>
  </si>
  <si>
    <t>172</t>
  </si>
  <si>
    <t>417083260</t>
  </si>
  <si>
    <t>C 2312,2333,2338,2347,2354</t>
  </si>
  <si>
    <t>CHIP CAP 10PF 5% 150VOLT 55X55 PORCELAIN NI-BARRIER TAPE/REEL</t>
  </si>
  <si>
    <t>403834698</t>
  </si>
  <si>
    <t>173</t>
  </si>
  <si>
    <t>424270755</t>
  </si>
  <si>
    <t>C 2342</t>
  </si>
  <si>
    <t>400062973</t>
  </si>
  <si>
    <t>400823552</t>
  </si>
  <si>
    <t>174</t>
  </si>
  <si>
    <t>424270751</t>
  </si>
  <si>
    <t>C 2348,7486</t>
  </si>
  <si>
    <t>400062976</t>
  </si>
  <si>
    <t>400810453</t>
  </si>
  <si>
    <t>176</t>
  </si>
  <si>
    <t>424270756</t>
  </si>
  <si>
    <t>C 96-97,215-216,333-334,449-450,576-577,683-684,815-816,941-942,1049-1050,1099-1100,1306-1307,1405-1406,1545-1546,1625-1626,1773-1774,1904-1905</t>
  </si>
  <si>
    <t>400062981</t>
  </si>
  <si>
    <t>400823555</t>
  </si>
  <si>
    <t>178</t>
  </si>
  <si>
    <t>424270760</t>
  </si>
  <si>
    <t>C 2355</t>
  </si>
  <si>
    <t>400062992</t>
  </si>
  <si>
    <t>400823563</t>
  </si>
  <si>
    <t>179</t>
  </si>
  <si>
    <t>409102771</t>
  </si>
  <si>
    <t>C 2353</t>
  </si>
  <si>
    <t>AQ12EM390FAJME/500V</t>
  </si>
  <si>
    <t>400823569</t>
  </si>
  <si>
    <t>CHIP CAP 39PF 1^ 150V PORCELAIN T&amp;R</t>
  </si>
  <si>
    <t>100A390FT150XTV</t>
  </si>
  <si>
    <t>424270764</t>
  </si>
  <si>
    <t>AQ12EM390FAJME/250V</t>
  </si>
  <si>
    <t>400063057</t>
  </si>
  <si>
    <t>180</t>
  </si>
  <si>
    <t>406492379</t>
  </si>
  <si>
    <t>C 2313</t>
  </si>
  <si>
    <t>400823570</t>
  </si>
  <si>
    <t>424270765</t>
  </si>
  <si>
    <t>400001180</t>
  </si>
  <si>
    <t>181</t>
  </si>
  <si>
    <t>401882176</t>
  </si>
  <si>
    <t>C 5669-5686,7258-7263,7482-7485</t>
  </si>
  <si>
    <t>400004870</t>
  </si>
  <si>
    <t>CHIP CAP MULTILAYER 0.1UF, SINGLE LAYER 82PF, 16V 20% T&amp;R</t>
  </si>
  <si>
    <t>182</t>
  </si>
  <si>
    <t>401172747</t>
  </si>
  <si>
    <t>C 40,122,347,418,538,707,738,947,964,1187,1282,1426,1501,1667,1787,1815,1999-2001,2155,2161,2171,2173,2265-2268,2421,5591-5600,7934,7941-7944</t>
  </si>
  <si>
    <t>400537079</t>
  </si>
  <si>
    <t>184</t>
  </si>
  <si>
    <t>400536577</t>
  </si>
  <si>
    <t>C 77,79,83-86,199,201,205-208,319,321,325-328,437,439,443-446,557,559,563-566,685,687,691-694,793,795,799-802,905,907,911-914,1025,1027,1031-1034,1159,1161,1165-1168,1270,1272,1276-1279,1378,1380,1384-1387,1489,1491,1495-1498,1646,1648,1652-1655,1763,1765,1769-1772,1803,1805,1809-1812,2017-2018,2143-2154,2249-2252,2254-2264,2315,2357,2361,2363-2366,2370,2372,2374,2400-2409,2423,3000-3014,3016,3019,3073,5371,5380-5381,6378,6381,7493,7741,7927-7928,7930-7932,8007,8019</t>
  </si>
  <si>
    <t>185</t>
  </si>
  <si>
    <t>400984937</t>
  </si>
  <si>
    <t>309</t>
  </si>
  <si>
    <t>C 48-49,52-54,130-131,134-136,297-298,301-303,363-364,367-369,523-524,527-529,662-663,666-668,723-724,727-729,895-896,899-901,978-979,982-984,1132-1133,1136-1138,1215-1216,1219-1221,1353-1354,1357-1359,1509-1510,1513-1515,1595-1596,1599-1601,1742-1743,1746-1748,1829-1830,1833-1835,1922-1938,2009,2020,2023,2113,2156-2160,2162,2167-2168,2174-2183,2244,2279,2290-2294,2335-2337,2373,2380-2381,2418-2420,2567-2570,2597-2598,5602-5605,5624-5626,5628-5629,6188,6721,6728-6797,6800,6802-6805,6808-6809,6811,6813-6814,6819-6828,6831-6832,6834-6837,7202-7204,7293-7296,7350-7381,7950,7956-7958,8006,8009,7896,7898,7900,7902,7904,7906,7908,7910,7912,7914,7916,7918,7920,7922,7924,7926</t>
  </si>
  <si>
    <t>400515201</t>
  </si>
  <si>
    <t>CHIP CAP 1000PF 10% 50VOLT 40X20 X7R NI-BARRIER TAPE/REEL</t>
  </si>
  <si>
    <t>186</t>
  </si>
  <si>
    <t>401246012</t>
  </si>
  <si>
    <t>252</t>
  </si>
  <si>
    <t>C 43-45,125-127,275-277,421-423,541-543,650-652,741-743,920-922,967-969,1088-1090,1204-1206,1394-1396,1504-1506,1614-1616,1724-1726,1818-1820,1982-1990,2192,2242-2243,2386-2387,2414-2416,2511-2512,2571-2574,2583-2584,5764,6154,6476-6485,6487-6507,6541-6544,6631,6633-6634,6654,6658,6661-6664,6666-6667,6669,6671-6672,6686,6966-7045,7049-7052,7057-7068,7072-7075,7245-7246,7300,7317,7686,7688,7690,7856-7857,7955,7975-7990,7993</t>
  </si>
  <si>
    <t>400538373</t>
  </si>
  <si>
    <t>187</t>
  </si>
  <si>
    <t>417049490</t>
  </si>
  <si>
    <t>1235</t>
  </si>
  <si>
    <t>C 15-27,29,31-34,39,142-154,156,158-161,166,261,263-266,271,371-373,375-387,389,391-394,399,419-420,483-485,487-499,501,503-506,511,539-540,607-619,621,623-626,631,746-748,750-762,764,766-769,774,858-860,862-874,876,878-881,886,918-919,965-966,986-988,990-1002,1323-1325,1327-1339,1004,1006-1009,1014,1106-1118,1120,1122-1125,1130,1227-1239,1241,1243-1246,1251,1341,1343-1346,1351,1392-1393,1443-1445,1447-1459,6958-6959,6134-6148,1461,1463-1466,1471,1563-1565,1581,1583-1586,1591,1689-1691,1693-1705,1707,1709-1712,1717,1722-1723,1816-1817,1567-1579,5982-5984,1841-1853,1855,1857-1860,1865,1876,1939-1971,2114-2138,2270-2278,2280-2288,2382,2581-2582,2892-2893,3030-3061,3066-3068,1921,2100,5986-5988,6936-6939,8010,3070,3080-3089,3091-3097,5009,5504,5506-5511,5631-5634,5765-5792,6152-6153,6156-6183,6189-6232,6234-6243,6379-6380,6382,6545-6546,6548-6551,6590-6591,6105-6132,6150,6629-6630,6642-6647,6838-6928,5794-5976,6944-6956,6961-6965,7205,7291-7292,7298,7303-7311,7318-7349,7415-7423,7428,7495-7497,7500,7503,7506,7509,5990-6103,7512,7515,7518,7521,7524,7527,7530,7533,7536,7539,7542,7550,7647,7682,7697-7698,7708-7740,7874-7894,7929,7951-7954,7991-7992,11-13,247-259,5978-5980,6185,6597</t>
  </si>
  <si>
    <t>417983105</t>
  </si>
  <si>
    <t>401047158</t>
  </si>
  <si>
    <t>400536575</t>
  </si>
  <si>
    <t>190</t>
  </si>
  <si>
    <t>417983106</t>
  </si>
  <si>
    <t>C 7707,2500-2502,2505-2507,2513-2530,2533-2552,2563-2566,3120-3149,8016-8018,7776,7781,7786,7791,7796,7801,7806,7811,7816,7821,7826,7831,7836,7841,7846,7851,8068-8115,41-42,123-124,138-140,243-245,273-274,603-605,739-740,648-649,6930-6933,1102-1104,1202-1203,1223-1225,1086-1087,1502-1503,1612-1613,1837-1839</t>
  </si>
  <si>
    <t>401225088</t>
  </si>
  <si>
    <t>400538371</t>
  </si>
  <si>
    <t>CHIP CAP 0.1UF 10^ 10V X7R T&amp;R</t>
  </si>
  <si>
    <t>191</t>
  </si>
  <si>
    <t>417983107</t>
  </si>
  <si>
    <t>C 70-76,184-190,312-318,430-436,550-556,672-678,786-792,934-940,1040-1046,1092-1098,1263-1269,1398-1404,1519-1525,1618-1624,1728-1734,1866-1872,2165-2166,2172,2253,3017,3020,7630,5303,8021-8067</t>
  </si>
  <si>
    <t>400465421</t>
  </si>
  <si>
    <t>192</t>
  </si>
  <si>
    <t>401516870</t>
  </si>
  <si>
    <t>C 5466-5497,7424</t>
  </si>
  <si>
    <t>417983109</t>
  </si>
  <si>
    <t>193</t>
  </si>
  <si>
    <t>400797925</t>
  </si>
  <si>
    <t>C 5498</t>
  </si>
  <si>
    <t>400539561</t>
  </si>
  <si>
    <t>194</t>
  </si>
  <si>
    <t>401524707</t>
  </si>
  <si>
    <t>C 7935-7936</t>
  </si>
  <si>
    <t>400973101</t>
  </si>
  <si>
    <t>195</t>
  </si>
  <si>
    <t>401325063</t>
  </si>
  <si>
    <t>C 2005-2006,2391,2426,7256</t>
  </si>
  <si>
    <t>400464409</t>
  </si>
  <si>
    <t>196</t>
  </si>
  <si>
    <t>402231970</t>
  </si>
  <si>
    <t>C 10,28,137,155,242,260,370,388,482,500,602,620,745,763,857,875,985,1003,1101,1119,1222,1240,1322,1340,1442,1460,1562,1580,1688,1706,1836,1854,7383-7414</t>
  </si>
  <si>
    <t>400770204</t>
  </si>
  <si>
    <t>400559229</t>
  </si>
  <si>
    <t>197</t>
  </si>
  <si>
    <t>400713753</t>
  </si>
  <si>
    <t>CHIP CAP .01UF 10% 50VOLT 63X32 X7R NI-BARRIER TAPE/REEL</t>
  </si>
  <si>
    <t>C 2007-2008,7426-7427,7290</t>
  </si>
  <si>
    <t>400539543</t>
  </si>
  <si>
    <t>198</t>
  </si>
  <si>
    <t>417983119</t>
  </si>
  <si>
    <t>C 1976-1977,2190,2326-2328</t>
  </si>
  <si>
    <t>400544547</t>
  </si>
  <si>
    <t>CHIP CAP 0.1UF 10% 25VOLT 1.6X0.8MM X7R NI-BARRIER TAPE/REEL</t>
  </si>
  <si>
    <t>199</t>
  </si>
  <si>
    <t>417983120</t>
  </si>
  <si>
    <t>C 2586-2587,2589-2594,2596,7264-7270,7651-7652,7655-7656,7681,7699-7706,7933,7996-7997,7280-7287,7289</t>
  </si>
  <si>
    <t>400624125</t>
  </si>
  <si>
    <t>400539538</t>
  </si>
  <si>
    <t>200</t>
  </si>
  <si>
    <t>400713754</t>
  </si>
  <si>
    <t>C 2247-2248,6594-6595,6598-6628,30,157,262,390,502,622,765,877,1005,1121,1242,1342,1462,1582,1708,1856</t>
  </si>
  <si>
    <t>400539548</t>
  </si>
  <si>
    <t>202</t>
  </si>
  <si>
    <t>417350122</t>
  </si>
  <si>
    <t>188</t>
  </si>
  <si>
    <t>C 1978-1981,2191,2214,2232,2245-2246,2390,2392,2410-2412,2698,2711,2723,2735,2746,2758,2770,2802,2814,2827,2839,2852,2865,2878,2879,2880-2881,2887-2888,2890,5016,5445,5448-5449,5453,5461,5518-5520,5522-5529,5538-5544,5550,5552-5562,6233,6632,6635,7076-7139,7143-7146,7151-7162,7166-7169,7182-7185,7210,7556-7557,7648,7759-7775,8008,8011-8013,6532,8014</t>
  </si>
  <si>
    <t>401064862</t>
  </si>
  <si>
    <t>CHIP CAP 1UF 10^ 16V X7R T&amp;R</t>
  </si>
  <si>
    <t>C0603C105K4RACTU</t>
  </si>
  <si>
    <t>400536587</t>
  </si>
  <si>
    <t>203</t>
  </si>
  <si>
    <t>425288485</t>
  </si>
  <si>
    <t>C 7255</t>
  </si>
  <si>
    <t>401172731</t>
  </si>
  <si>
    <t>400326314</t>
  </si>
  <si>
    <t>204</t>
  </si>
  <si>
    <t>400539544</t>
  </si>
  <si>
    <t>C 2024,2413</t>
  </si>
  <si>
    <t>205</t>
  </si>
  <si>
    <t>417983122</t>
  </si>
  <si>
    <t>C 2002-2004,2269</t>
  </si>
  <si>
    <t>400536584</t>
  </si>
  <si>
    <t>400326236</t>
  </si>
  <si>
    <t>206</t>
  </si>
  <si>
    <t>400538384</t>
  </si>
  <si>
    <t>C 2310</t>
  </si>
  <si>
    <t>207</t>
  </si>
  <si>
    <t>400326307</t>
  </si>
  <si>
    <t>C 94-95,213-214,310-311,447-448,574-575,635-636,813-814,845-846,1047-1048,1141-1142,1301-1302,1414-1415,1542-1543,1633-1634,1749-1750,1901-1902,2019</t>
  </si>
  <si>
    <t>400536588</t>
  </si>
  <si>
    <t>401172740</t>
  </si>
  <si>
    <t>417983125</t>
  </si>
  <si>
    <t>CHIP CAP 22PF 2^ 50V C0G T&amp;R</t>
  </si>
  <si>
    <t>208</t>
  </si>
  <si>
    <t>400737813</t>
  </si>
  <si>
    <t>C 2422,7487</t>
  </si>
  <si>
    <t>400538380</t>
  </si>
  <si>
    <t>400302975</t>
  </si>
  <si>
    <t>209</t>
  </si>
  <si>
    <t>417983130</t>
  </si>
  <si>
    <t>C 2311</t>
  </si>
  <si>
    <t>400538390</t>
  </si>
  <si>
    <t>400305908</t>
  </si>
  <si>
    <t>210</t>
  </si>
  <si>
    <t>417983131</t>
  </si>
  <si>
    <t>C 5383-5384</t>
  </si>
  <si>
    <t>400737825</t>
  </si>
  <si>
    <t>400305931</t>
  </si>
  <si>
    <t>211</t>
  </si>
  <si>
    <t>400538385</t>
  </si>
  <si>
    <t>C 93,217,344,457,573,704,817,944,1057,1185,1287,1425,1526,1665,1785,1887,2309</t>
  </si>
  <si>
    <t>CHIP CAP 560PF 10% 50VOLT 63X32 X7R NI-BARRIER TAPE/REEL</t>
  </si>
  <si>
    <t>212</t>
  </si>
  <si>
    <t>417983135</t>
  </si>
  <si>
    <t>C 1991-1995,2427</t>
  </si>
  <si>
    <t>401172733</t>
  </si>
  <si>
    <t>400538430</t>
  </si>
  <si>
    <t>400326313</t>
  </si>
  <si>
    <t>215</t>
  </si>
  <si>
    <t>414202262</t>
  </si>
  <si>
    <t>227</t>
  </si>
  <si>
    <t>C 1-2,4-6,103,105,121,223,225,241,307,309,361,463,465,481,583,585,601,632,634,721,823,825,841-842,844,961,1064,1066,1081,1180,1182,1201,1298,1300,1321,1420,1422,1441,1538,1540,1561,1656,1658,1681,1780,1782,1801,1892,1894,2213,2231,2303-2304,2510,2531-2532,2579-2580,2699,2710,2722,2734,2745,2757,2769,2801,2813,2826,2838,2851,2864,2877,2882,2886,2889,2891,2896-2897,5015,5627,5630,5698,6155,6251-6264,6267-6274,6279-6282,6287-6290,6295-6304,6306-6310,6312-6316,6318-6319,6321,6335-6337,6345-6347,6355-6357,6365-6367,6375-6377,6526-6530,6677,6681,6683-6685,6688-6689,6691,6695,7170-7181,7186-7195,7197-7201,7206,7208-7209,7302,7425,7429,7561-7562,7684,7685,7742-7758,2503,7994-7995,7301,8015</t>
  </si>
  <si>
    <t>401494941</t>
  </si>
  <si>
    <t>401507374</t>
  </si>
  <si>
    <t>216</t>
  </si>
  <si>
    <t>400468493</t>
  </si>
  <si>
    <t>C 8-9,191-192,335-336,416-417,536-537,695-696,736-737,915-916,962-963,1139-1140,1280-1281,1360-1361,1499-1500,1592-1593,1751-1752,1813-1814</t>
  </si>
  <si>
    <t>CHIP CAP .018UF 10% 50VOLT 80X50 X7R NI-BARRIER TAPE/REEL</t>
  </si>
  <si>
    <t>218</t>
  </si>
  <si>
    <t>400668884</t>
  </si>
  <si>
    <t>C 5000,5601,2101-2112,2297</t>
  </si>
  <si>
    <t>220</t>
  </si>
  <si>
    <t>401554938</t>
  </si>
  <si>
    <t>C 2305-2308,5376-5379,5462-5465,7683</t>
  </si>
  <si>
    <t>401503301</t>
  </si>
  <si>
    <t>221</t>
  </si>
  <si>
    <t>401571697</t>
  </si>
  <si>
    <t>C 2504,2221,2227,2239,2706,2718,2730,2741,2753,2765,2797,2809,2822,2834,2847,2860,2873,3100-3102,8002-8005,8116-8163</t>
  </si>
  <si>
    <t>222</t>
  </si>
  <si>
    <t>417983139</t>
  </si>
  <si>
    <t>C 7998-8001</t>
  </si>
  <si>
    <t>401194640</t>
  </si>
  <si>
    <t>400663400</t>
  </si>
  <si>
    <t>223</t>
  </si>
  <si>
    <t>400617087</t>
  </si>
  <si>
    <t>CHIP CAP .22UF 10% 50VOLT 126X63 X7R NI-BARRIER TAPE/REEL</t>
  </si>
  <si>
    <t>C 2575-2576</t>
  </si>
  <si>
    <t>400306761</t>
  </si>
  <si>
    <t>224</t>
  </si>
  <si>
    <t>401551290</t>
  </si>
  <si>
    <t>C 2241,2298-2302,2340-2341</t>
  </si>
  <si>
    <t>225</t>
  </si>
  <si>
    <t>417983176</t>
  </si>
  <si>
    <t>C 2010-2015,2184-2188,2399,2417,2577-2578,2599-2606</t>
  </si>
  <si>
    <t>400341082</t>
  </si>
  <si>
    <t>226</t>
  </si>
  <si>
    <t>400341072</t>
  </si>
  <si>
    <t>C 2016</t>
  </si>
  <si>
    <t>417531783</t>
  </si>
  <si>
    <t>C 6531,6547</t>
  </si>
  <si>
    <t>T491B476M010AS</t>
  </si>
  <si>
    <t>400026229</t>
  </si>
  <si>
    <t>400973894</t>
  </si>
  <si>
    <t>228</t>
  </si>
  <si>
    <t>400253610</t>
  </si>
  <si>
    <t>C 2920-2921,6573-6580</t>
  </si>
  <si>
    <t>229</t>
  </si>
  <si>
    <t>417983172</t>
  </si>
  <si>
    <t>C 2922-2923,2926-2927,6149,6553-6554,6569-6570</t>
  </si>
  <si>
    <t>400073690</t>
  </si>
  <si>
    <t>400284360</t>
  </si>
  <si>
    <t>230</t>
  </si>
  <si>
    <t>417531779</t>
  </si>
  <si>
    <t>C 1996-1998</t>
  </si>
  <si>
    <t>400341086</t>
  </si>
  <si>
    <t>231</t>
  </si>
  <si>
    <t>400341043</t>
  </si>
  <si>
    <t>C 6552,6559-6563</t>
  </si>
  <si>
    <t>232</t>
  </si>
  <si>
    <t>400073673</t>
  </si>
  <si>
    <t>C 1972-1974,2924-2925</t>
  </si>
  <si>
    <t>233</t>
  </si>
  <si>
    <t>420905006</t>
  </si>
  <si>
    <t>C 109,2229,2708,2720,2732,2743,2755,2767,2799,2811,2824,2836,2849,2862,2875,2885</t>
  </si>
  <si>
    <t>234</t>
  </si>
  <si>
    <t>417531785</t>
  </si>
  <si>
    <t>C 5403-5411,5414,6555-6558,6696-6707,6712-6720,6723-6727,7211,7945-7949</t>
  </si>
  <si>
    <t>411142198</t>
  </si>
  <si>
    <t>400675977</t>
  </si>
  <si>
    <t>235</t>
  </si>
  <si>
    <t>405656805</t>
  </si>
  <si>
    <t>C 2861,2211,2228,2240,2707,2719,2731,2742,2754,2766,2798,2810,2823,2835,2848,2874</t>
  </si>
  <si>
    <t>402192622</t>
  </si>
  <si>
    <t>401354469</t>
  </si>
  <si>
    <t>236</t>
  </si>
  <si>
    <t>413658119</t>
  </si>
  <si>
    <t>C 2212,2230,2697,2709,2721,2733,2744,2756,2768,2800,2812,2825,2837,2850,2863,2876</t>
  </si>
  <si>
    <t>401545790</t>
  </si>
  <si>
    <t>237</t>
  </si>
  <si>
    <t>403515526</t>
  </si>
  <si>
    <t>C 7779,7784,7789,7794,7799,7804,7809,7814,7819,7824,7829,7834,7839,7844,7849,7854,8164-8179</t>
  </si>
  <si>
    <t>240</t>
  </si>
  <si>
    <t>400709578</t>
  </si>
  <si>
    <t>336</t>
  </si>
  <si>
    <t>R 7,9-10,48-51,58-61,66-69,74-77,82-85,90-93,99-102,107-110,115-118,146,148-149,222-225,230-233,239-240,245,247-248,330-331,335-338,344-347,353-356,379,381-382,420-423,498,500-501,603,605-606,729,731-732,843,845-846,964,966-967,1100,1102-1103,1203,1205-1206,1340,1342-1343,1461,1463-1464,1578,1580-1581,1700,1702-1703,1807,1809-1810,1921,1929-1931,2152-2167,2244-2245,2390,2506-2510,3086,3090-3091,3094,5144-5147,5840,5842-5842,5845,5847,5849,5851,5853,5855,5857,5859,5861-5862,6485-6517,6519-6550,6666-6667,6735,6795,6797,6831-6862,6915,7097-7112,7161-7162,7207-7210,7212,7216,7262-7277,7278,7341-7372</t>
  </si>
  <si>
    <t>411170044</t>
  </si>
  <si>
    <t>400249752</t>
  </si>
  <si>
    <t>241</t>
  </si>
  <si>
    <t>400656752</t>
  </si>
  <si>
    <t>R 31,45,154,260,391,511,623,751,857,985,1086,1231,1322,1466,1562,1687,1830,2000,6240-6250,6256-6257</t>
  </si>
  <si>
    <t>411170045</t>
  </si>
  <si>
    <t>CHIP RESIS 100KOHM 1% .063WTT&amp;R</t>
  </si>
  <si>
    <t>400263980</t>
  </si>
  <si>
    <t>CHIP RESIS 100KOHM 1% .063W T&amp;R</t>
  </si>
  <si>
    <t>242</t>
  </si>
  <si>
    <t>400656753</t>
  </si>
  <si>
    <t>R 1933,1967-1969,2270,2285-2286,2309-2310,3065-3066,3070-3080,5142,5151,5165,5186,5188-5201,5655-5658,5902,6070,6223-6224,6293-6296,6415-6416,6766-6770,6772-6774,6785-6786,6864-6869,7096,7167-7182,6625</t>
  </si>
  <si>
    <t>411170046</t>
  </si>
  <si>
    <t>400249775</t>
  </si>
  <si>
    <t>243</t>
  </si>
  <si>
    <t>400656755</t>
  </si>
  <si>
    <t>R 43,163,258,403,523,608,763,848,1003,1105,1239,1345,1479,1585,1705,1838,1938,2221,2271,2273,2501-2504,2511-2512,5326,5340-5341,5343-5345,5348,5352,5354,5366-5392,5672-5673,5751,6213-6222,6232-6233,6258,6297-6311,6313-6314,6316,6419-6420,6742-6743,6746-6747,6781-6784,6787-6791,6798,6886-6903,6905,6907,6909,7202,7204,7228,7279-7281,6261-6265,6268-6269,6376-6380,6599,7290,7293-7296,7390-7391</t>
  </si>
  <si>
    <t>411170047</t>
  </si>
  <si>
    <t>400249778</t>
  </si>
  <si>
    <t>244</t>
  </si>
  <si>
    <t>400656757</t>
  </si>
  <si>
    <t>R 1728-1729,6980-6981,6986-6987,6992-6993,6998-6999,7004-7005,7010-7011,7016-7017,7022-7023,7028-7029,7034-7035,7040-7041,7046-7047,7052-7053,7058-7059,7064-7065,7070-7071</t>
  </si>
  <si>
    <t>411170048</t>
  </si>
  <si>
    <t>400270178</t>
  </si>
  <si>
    <t>246</t>
  </si>
  <si>
    <t>401479713</t>
  </si>
  <si>
    <t>R 18-19,132-133,250-251,368-369,488-489,614-615,744-745,868-869,975-976,1082-1083,1214-1215,1328-1329,1448-1449,1567-1568,1683-1684,1821-1822,1959-1963,1973,2101-2104,2299,2344,2391,2416,2418,2430-2431</t>
  </si>
  <si>
    <t>411170052</t>
  </si>
  <si>
    <t>400292412</t>
  </si>
  <si>
    <t>247</t>
  </si>
  <si>
    <t>401553982</t>
  </si>
  <si>
    <t>R 1951-1952,1964-1965,5505</t>
  </si>
  <si>
    <t>411170053</t>
  </si>
  <si>
    <t>400271524</t>
  </si>
  <si>
    <t>249</t>
  </si>
  <si>
    <t>401234987</t>
  </si>
  <si>
    <t>R 1953,1957,2115-2116,2448-2449,6592-6593</t>
  </si>
  <si>
    <t>411170061</t>
  </si>
  <si>
    <t>400271533</t>
  </si>
  <si>
    <t>250</t>
  </si>
  <si>
    <t>401553983</t>
  </si>
  <si>
    <t>R 36,162,276,400,520,640,762,876,1000,1126,1230,1366,1474,1606,1725,1840,1974,1976,2193-2194,2253,2262-2263,2371,2374,2428-2429,2438-2439,2445,3101,6555,6970-6971,7185,7215</t>
  </si>
  <si>
    <t>411170063</t>
  </si>
  <si>
    <t>400292464</t>
  </si>
  <si>
    <t>251</t>
  </si>
  <si>
    <t>400656760</t>
  </si>
  <si>
    <t>R 20,33-34,134,206,252,370,490,616,746,870,977,1084,1216,1330,1450,1569,1685,1823,1971-1972,1990-1991,2500,2513-2514,2524-2533,3017,5220-5222,5224-5226,5228-5232,5234-5299,5301-5317,5924,6210-6212,6236,6381-6412,6413-6414,6649,6723,6752-6753,6757-6765,6780,6968,7163-7166,7224,7282-7283</t>
  </si>
  <si>
    <t>411170066</t>
  </si>
  <si>
    <t>400249781</t>
  </si>
  <si>
    <t>401234957</t>
  </si>
  <si>
    <t>R 3000-3016,6344-6375,6655-6660</t>
  </si>
  <si>
    <t>411170068</t>
  </si>
  <si>
    <t>400263990</t>
  </si>
  <si>
    <t>253</t>
  </si>
  <si>
    <t>400658318</t>
  </si>
  <si>
    <t>R 6201-6202,6266</t>
  </si>
  <si>
    <t>411170077</t>
  </si>
  <si>
    <t>400271563</t>
  </si>
  <si>
    <t>254</t>
  </si>
  <si>
    <t>401447389</t>
  </si>
  <si>
    <t>175</t>
  </si>
  <si>
    <t>R 12-16,39-42,127-130,158-161,254-257,266-269,363-366,395-398,483-486,515-518,619-622,627-630,739-742,755-758,853-856,863-866,970-973,995-998,1110-1117,1209-1212,1225-1228,1351-1354,1357-1360,1443-1446,1456-1459,1591-1594,1597-1600,1710-1717,1813-1816,1825-1828,2211-2212,2280-2284,2287,2331-2332,2399,2443,3106-3107,6453-6484</t>
  </si>
  <si>
    <t>411170079</t>
  </si>
  <si>
    <t>400292465</t>
  </si>
  <si>
    <t>255</t>
  </si>
  <si>
    <t>401308900</t>
  </si>
  <si>
    <t>R 6234</t>
  </si>
  <si>
    <t>411170081</t>
  </si>
  <si>
    <t>400271572</t>
  </si>
  <si>
    <t>256</t>
  </si>
  <si>
    <t>401481543</t>
  </si>
  <si>
    <t>R 54-55,64-65,72-73,80-81,88-89,96-97,105-106,113-114,220-221,228-229,236-237,333-334,341-342,350-351,359-360,426-427,2195-2209,2242-2243,6969</t>
  </si>
  <si>
    <t>411170082</t>
  </si>
  <si>
    <t>400279622</t>
  </si>
  <si>
    <t>257</t>
  </si>
  <si>
    <t>405295603</t>
  </si>
  <si>
    <t>R 2210,2259,2304-2306,2360,2440,7284</t>
  </si>
  <si>
    <t>411170084</t>
  </si>
  <si>
    <t>400292466</t>
  </si>
  <si>
    <t>258</t>
  </si>
  <si>
    <t>401553986</t>
  </si>
  <si>
    <t>R 25-26,139-140,264-265,374-375,494-495,610-611,725-726,861-862,981-982,1095-1096,1242-1243,1335-1336,1481-1482,1574-1575,1695-1696,1841-1842,1948-1950,1954,2113-2114,2117-2118,2264-2269,2278-2279,2377-2378,2385-2386,2388,2422-2425,2441,3108-3109,6553-6554,6641,6933-6934,7183-7184,7213-7214</t>
  </si>
  <si>
    <t>411170088</t>
  </si>
  <si>
    <t>CHIP RESIS 294 OHM 1^ .063W T&amp;R</t>
  </si>
  <si>
    <t>400292469</t>
  </si>
  <si>
    <t>259</t>
  </si>
  <si>
    <t>400658323</t>
  </si>
  <si>
    <t>R 2255,5662-5665,6342-6343,6911-6912,7205-7206</t>
  </si>
  <si>
    <t>411170089</t>
  </si>
  <si>
    <t>400263993</t>
  </si>
  <si>
    <t>260</t>
  </si>
  <si>
    <t>401053359</t>
  </si>
  <si>
    <t>R 37-38,152-153,274-275,401-402,521-522,638-639,760-761,874-875,1001-1002,1119-1120,1235-1236,1355-1356,1475-1476,1595-1596,1723-1724,1834-1835,1977,2151,3019,7382,7388,7383,7384,7385,7386,7387,7380,7381,7300,7301,7302,7303,7304,7305,7306</t>
  </si>
  <si>
    <t>411170095</t>
  </si>
  <si>
    <t>400271632</t>
  </si>
  <si>
    <t>261</t>
  </si>
  <si>
    <t>400658325</t>
  </si>
  <si>
    <t>R 46-47,166-167,242-243,406-407,526-527,612-613,766-767,850-851,1006-1007,1107-1108,1244-1245,1347-1348,1483-1484,1587-1588,1707-1708,1844-1845</t>
  </si>
  <si>
    <t>411170097</t>
  </si>
  <si>
    <t>400264006</t>
  </si>
  <si>
    <t>262</t>
  </si>
  <si>
    <t>401041455</t>
  </si>
  <si>
    <t>R 5765-5828,5830-5833,6292,6626</t>
  </si>
  <si>
    <t>411170101</t>
  </si>
  <si>
    <t>400274354</t>
  </si>
  <si>
    <t>263</t>
  </si>
  <si>
    <t>400693192</t>
  </si>
  <si>
    <t>R 17,131,287,367,487,647,743,887,974,1127,1213,1367,1447,1607,1727,1817,2308,2338,6661-6662,6754</t>
  </si>
  <si>
    <t>411170107</t>
  </si>
  <si>
    <t>400271641</t>
  </si>
  <si>
    <t>264</t>
  </si>
  <si>
    <t>401372496</t>
  </si>
  <si>
    <t>R 21-24,135-138,277-280,384-387,503-506,634-637,734-737,877-880,989-992,1121-1124,1217-1220,1361-1364,1451-1454,1601-1604,1719-1722,1802-1805,1923-1928,1955-1956,2105-2112,2294-2295,2340-2341,2407-2408,2413-2414,2420,2432-2436,6913</t>
  </si>
  <si>
    <t>411170111</t>
  </si>
  <si>
    <t>400292477</t>
  </si>
  <si>
    <t>266</t>
  </si>
  <si>
    <t>400658327</t>
  </si>
  <si>
    <t>R 1,53,63,71,79,87,95,104,112,120-121,227,235,241,332,340,349,358,361,425,481,601,721,841,961,1081,1201,1321,1441,1561,1681,1801,2290,2293,6421-6452</t>
  </si>
  <si>
    <t>411170116</t>
  </si>
  <si>
    <t>400271662</t>
  </si>
  <si>
    <t>267</t>
  </si>
  <si>
    <t>400658330</t>
  </si>
  <si>
    <t>131</t>
  </si>
  <si>
    <t>R 1975,1978-1980,1982-1985,2100,2213-2214,2288-2289,2292,2298,2426,2444,5105,5116-5118,5121-5128,5550-5621,5625-5643,5911,5936-5938,6627-6628,6972-6976</t>
  </si>
  <si>
    <t>411170118</t>
  </si>
  <si>
    <t>400264010</t>
  </si>
  <si>
    <t>268</t>
  </si>
  <si>
    <t>401282161</t>
  </si>
  <si>
    <t>R 2261,6936,6938,6940,6942,6944,6946,6948,6950,6952,6954,6956,6958,6960,6962,6964,6966</t>
  </si>
  <si>
    <t>400292480</t>
  </si>
  <si>
    <t>269</t>
  </si>
  <si>
    <t>401308902</t>
  </si>
  <si>
    <t>R 2254,5942,6251-6254,6629-6640,6935,7291,6870-6885</t>
  </si>
  <si>
    <t>411170123</t>
  </si>
  <si>
    <t>400271675</t>
  </si>
  <si>
    <t>270</t>
  </si>
  <si>
    <t>400658331</t>
  </si>
  <si>
    <t>R 2369</t>
  </si>
  <si>
    <t>411170124</t>
  </si>
  <si>
    <t>400276784</t>
  </si>
  <si>
    <t>272</t>
  </si>
  <si>
    <t>401234955</t>
  </si>
  <si>
    <t>R 5205-5208</t>
  </si>
  <si>
    <t>411170146</t>
  </si>
  <si>
    <t>400271710</t>
  </si>
  <si>
    <t>273</t>
  </si>
  <si>
    <t>401679598</t>
  </si>
  <si>
    <t>R 5400,5402,5405-5406,5408,5410-5411,5419-5420,5422,5495,6194-6195,6739</t>
  </si>
  <si>
    <t>400292486</t>
  </si>
  <si>
    <t>274</t>
  </si>
  <si>
    <t>414258414</t>
  </si>
  <si>
    <t>R 2176-2190</t>
  </si>
  <si>
    <t>411170155</t>
  </si>
  <si>
    <t>400292491</t>
  </si>
  <si>
    <t>275</t>
  </si>
  <si>
    <t>400679613</t>
  </si>
  <si>
    <t>R 2534-2536,5680,5685-5687,5691,5695-5696,5700,5704,5709-5712,5717-5719,5752-5753,5756,5758,5890-5893,6320-6324,6327,6329,6331,6333,6597-6598,7078-7082,7085-7088,6338-6339,7090-7093</t>
  </si>
  <si>
    <t>400264013</t>
  </si>
  <si>
    <t>276</t>
  </si>
  <si>
    <t>400693196</t>
  </si>
  <si>
    <t>R 2224,2538-2539,5210,5104,5409,5412-5418,6183-6184,6186-6193,6205-6209</t>
  </si>
  <si>
    <t>400249794</t>
  </si>
  <si>
    <t>277</t>
  </si>
  <si>
    <t>400693201</t>
  </si>
  <si>
    <t>R 6863</t>
  </si>
  <si>
    <t>411170157</t>
  </si>
  <si>
    <t>400249974</t>
  </si>
  <si>
    <t>278</t>
  </si>
  <si>
    <t>401053474</t>
  </si>
  <si>
    <t>R 2542,3018,5440-5447,5459,6778-6779,6281,6283-6284,7219-7222</t>
  </si>
  <si>
    <t>400264019</t>
  </si>
  <si>
    <t>279</t>
  </si>
  <si>
    <t>414258415</t>
  </si>
  <si>
    <t>R 6728</t>
  </si>
  <si>
    <t>400292492</t>
  </si>
  <si>
    <t>280</t>
  </si>
  <si>
    <t>400693203</t>
  </si>
  <si>
    <t>R 5215-5217,5907,6652-6653</t>
  </si>
  <si>
    <t>400264060</t>
  </si>
  <si>
    <t>282</t>
  </si>
  <si>
    <t>400931576</t>
  </si>
  <si>
    <t>R 1993-1996,1998,2222,2241,2302,2543-2544,5000,5086-5090,5096,5098,5102,5107-5108,5922,6279-6280</t>
  </si>
  <si>
    <t>411170191</t>
  </si>
  <si>
    <t>CHIP RESIS 1KOHM 1^ .1W T&amp;R</t>
  </si>
  <si>
    <t>400264202</t>
  </si>
  <si>
    <t>283</t>
  </si>
  <si>
    <t>401235521</t>
  </si>
  <si>
    <t>R 1970,5500</t>
  </si>
  <si>
    <t>400264204</t>
  </si>
  <si>
    <t>411170193</t>
  </si>
  <si>
    <t>284</t>
  </si>
  <si>
    <t>402515066</t>
  </si>
  <si>
    <t>R 5675-5676,5865-5866</t>
  </si>
  <si>
    <t>400371666</t>
  </si>
  <si>
    <t>285</t>
  </si>
  <si>
    <t>414258417</t>
  </si>
  <si>
    <t>R 2540</t>
  </si>
  <si>
    <t>400386911</t>
  </si>
  <si>
    <t>286</t>
  </si>
  <si>
    <t>401382479</t>
  </si>
  <si>
    <t>R 5887</t>
  </si>
  <si>
    <t>400264229</t>
  </si>
  <si>
    <t>287</t>
  </si>
  <si>
    <t>400658342</t>
  </si>
  <si>
    <t>R 5547,5645-5652,5934-5935,6225-6227,7073-7074</t>
  </si>
  <si>
    <t>400264257</t>
  </si>
  <si>
    <t>288</t>
  </si>
  <si>
    <t>401225493</t>
  </si>
  <si>
    <t>R 1986-1987,2191-2192,2307,7285-7286,2446,7287,6270</t>
  </si>
  <si>
    <t>411170204</t>
  </si>
  <si>
    <t>400264264</t>
  </si>
  <si>
    <t>289</t>
  </si>
  <si>
    <t>401007782</t>
  </si>
  <si>
    <t>R 1958</t>
  </si>
  <si>
    <t>400249984</t>
  </si>
  <si>
    <t>403808004</t>
  </si>
  <si>
    <t>290</t>
  </si>
  <si>
    <t>401459280</t>
  </si>
  <si>
    <t>R 1939-1947,5510-5519</t>
  </si>
  <si>
    <t>400264276</t>
  </si>
  <si>
    <t>411170211</t>
  </si>
  <si>
    <t>291</t>
  </si>
  <si>
    <t>401470548</t>
  </si>
  <si>
    <t>R 5130-5132,5908,7075-7077,6287-6288</t>
  </si>
  <si>
    <t>400265670</t>
  </si>
  <si>
    <t>411170225</t>
  </si>
  <si>
    <t>292</t>
  </si>
  <si>
    <t>401236806</t>
  </si>
  <si>
    <t>R 1922,2223</t>
  </si>
  <si>
    <t>411170230</t>
  </si>
  <si>
    <t>400272205</t>
  </si>
  <si>
    <t>293</t>
  </si>
  <si>
    <t>401008440</t>
  </si>
  <si>
    <t>R 5507,5882,6291</t>
  </si>
  <si>
    <t>400265707</t>
  </si>
  <si>
    <t>411170260</t>
  </si>
  <si>
    <t>294</t>
  </si>
  <si>
    <t>401382480</t>
  </si>
  <si>
    <t>R 2537</t>
  </si>
  <si>
    <t>411170267</t>
  </si>
  <si>
    <t>400265714</t>
  </si>
  <si>
    <t>295</t>
  </si>
  <si>
    <t>401485722</t>
  </si>
  <si>
    <t>R 6799-6830</t>
  </si>
  <si>
    <t>411170274</t>
  </si>
  <si>
    <t>400265725</t>
  </si>
  <si>
    <t>CHIP RESIS 432 OHM 1^ .1W T&amp;R</t>
  </si>
  <si>
    <t>296</t>
  </si>
  <si>
    <t>401519147</t>
  </si>
  <si>
    <t>R 5912,6228</t>
  </si>
  <si>
    <t>411170275</t>
  </si>
  <si>
    <t>400292509</t>
  </si>
  <si>
    <t>297</t>
  </si>
  <si>
    <t>401352394</t>
  </si>
  <si>
    <t>R 2246,5209,5475,6643</t>
  </si>
  <si>
    <t>400265727</t>
  </si>
  <si>
    <t>411170279</t>
  </si>
  <si>
    <t>298</t>
  </si>
  <si>
    <t>401053477</t>
  </si>
  <si>
    <t>R 5872-5877</t>
  </si>
  <si>
    <t>411170283</t>
  </si>
  <si>
    <t>400265731</t>
  </si>
  <si>
    <t>299</t>
  </si>
  <si>
    <t>401053377</t>
  </si>
  <si>
    <t>R 5486</t>
  </si>
  <si>
    <t>411170291</t>
  </si>
  <si>
    <t>400265763</t>
  </si>
  <si>
    <t>300</t>
  </si>
  <si>
    <t>400658345</t>
  </si>
  <si>
    <t>R 5490-5491,7211</t>
  </si>
  <si>
    <t>400265764</t>
  </si>
  <si>
    <t>302</t>
  </si>
  <si>
    <t>402118346</t>
  </si>
  <si>
    <t>R 2256-2257</t>
  </si>
  <si>
    <t>411160645</t>
  </si>
  <si>
    <t>400265775</t>
  </si>
  <si>
    <t>303</t>
  </si>
  <si>
    <t>401053473</t>
  </si>
  <si>
    <t>R 1966</t>
  </si>
  <si>
    <t>411160650</t>
  </si>
  <si>
    <t>400249990</t>
  </si>
  <si>
    <t>304</t>
  </si>
  <si>
    <t>401282464</t>
  </si>
  <si>
    <t>R 2274-2275</t>
  </si>
  <si>
    <t>400272399</t>
  </si>
  <si>
    <t>305</t>
  </si>
  <si>
    <t>401468750</t>
  </si>
  <si>
    <t>R 5467-5472,7292</t>
  </si>
  <si>
    <t>411160670</t>
  </si>
  <si>
    <t>400265789</t>
  </si>
  <si>
    <t>306</t>
  </si>
  <si>
    <t>411160675</t>
  </si>
  <si>
    <t>R 2216-2217,2303</t>
  </si>
  <si>
    <t>400265791</t>
  </si>
  <si>
    <t>307</t>
  </si>
  <si>
    <t>411321351</t>
  </si>
  <si>
    <t>R 2311</t>
  </si>
  <si>
    <t>411160719</t>
  </si>
  <si>
    <t>400265824</t>
  </si>
  <si>
    <t>310</t>
  </si>
  <si>
    <t>400693193</t>
  </si>
  <si>
    <t>R 1934-1936</t>
  </si>
  <si>
    <t>400292785</t>
  </si>
  <si>
    <t>311</t>
  </si>
  <si>
    <t>411160655</t>
  </si>
  <si>
    <t>R 2220,3023</t>
  </si>
  <si>
    <t>400386902</t>
  </si>
  <si>
    <t>CHIP RESIS 6.2 OHM 1% .1WATT 1.55X0.85MM TAPE/REEL</t>
  </si>
  <si>
    <t>312</t>
  </si>
  <si>
    <t>400700886</t>
  </si>
  <si>
    <t>R 7298</t>
  </si>
  <si>
    <t>401042459</t>
  </si>
  <si>
    <t>313</t>
  </si>
  <si>
    <t>401655756</t>
  </si>
  <si>
    <t>R 2250-2252</t>
  </si>
  <si>
    <t>400433218</t>
  </si>
  <si>
    <t>CHIP RESIS 249 OHM 1% .125WATT 2.00X1.25MM TAPE/REEL</t>
  </si>
  <si>
    <t>314</t>
  </si>
  <si>
    <t>408369100</t>
  </si>
  <si>
    <t>R 2389,3084</t>
  </si>
  <si>
    <t>400273433</t>
  </si>
  <si>
    <t>CHIP RESIS 90.9 OHM 1% .125WATT 2.00X1.25MM TAPE/REEL</t>
  </si>
  <si>
    <t>315</t>
  </si>
  <si>
    <t>401519148</t>
  </si>
  <si>
    <t>R 1992,2421,2447,3020,3085,3083,7288-7289</t>
  </si>
  <si>
    <t>400265780</t>
  </si>
  <si>
    <t>317</t>
  </si>
  <si>
    <t>405970108</t>
  </si>
  <si>
    <t>R 3-4,123-124,283-284,371-372,491-492,642-643,722-723,882-883,978-979,1092-1093,1221-1222,1332-1333,1470-1471,1571-1572,1692-1693,1818-1819,3030-3061</t>
  </si>
  <si>
    <t>400292508</t>
  </si>
  <si>
    <t>318</t>
  </si>
  <si>
    <t>401316098</t>
  </si>
  <si>
    <t>R 7223,7225-7227</t>
  </si>
  <si>
    <t>400265785</t>
  </si>
  <si>
    <t>320</t>
  </si>
  <si>
    <t>400230812</t>
  </si>
  <si>
    <t>L 2334-2335</t>
  </si>
  <si>
    <t>321</t>
  </si>
  <si>
    <t>405810263</t>
  </si>
  <si>
    <t>L 5244-5245</t>
  </si>
  <si>
    <t>400567115</t>
  </si>
  <si>
    <t>323</t>
  </si>
  <si>
    <t>416253566</t>
  </si>
  <si>
    <t>L 1921,1923-1926,2254,3010,5160</t>
  </si>
  <si>
    <t>COIL FIXED 1UH 5% 35-Q 685MA .320-OHM 125MHZ SMT /RL UNSHIELDEDFERRITE-CORE</t>
  </si>
  <si>
    <t>324</t>
  </si>
  <si>
    <t>COIL FIXED .082UH 10% 25-Q 801MA .19-OHM 915MHZ SMT 500EA/RL UNSHIELDED PHENOLIC-CORE</t>
  </si>
  <si>
    <t>L 1927,2392-2393</t>
  </si>
  <si>
    <t>325</t>
  </si>
  <si>
    <t>400576799</t>
  </si>
  <si>
    <t>L 2246</t>
  </si>
  <si>
    <t>1008CS-182XJLB</t>
  </si>
  <si>
    <t>400565356</t>
  </si>
  <si>
    <t>326</t>
  </si>
  <si>
    <t>400763131</t>
  </si>
  <si>
    <t>L 2397</t>
  </si>
  <si>
    <t>CHIP INDUCT .27UHY 2% 110X80MIL TAPE/REEL</t>
  </si>
  <si>
    <t>327</t>
  </si>
  <si>
    <t>400192792</t>
  </si>
  <si>
    <t>L 2242-2245</t>
  </si>
  <si>
    <t>1008CS-472XJBC</t>
  </si>
  <si>
    <t>400019994</t>
  </si>
  <si>
    <t>CHIP INDUCT 4700NHY 5^  T&amp;R</t>
  </si>
  <si>
    <t>328</t>
  </si>
  <si>
    <t>400229117</t>
  </si>
  <si>
    <t>L 1-8,121-128,241-248,361-368,481-488,601-608,721-728,841-848,961-968,1081,1090-1096,1201-1208,1321,1330-1336,1441,1450-1456,1561,1570-1576,1681,1690-1696,1801-1808</t>
  </si>
  <si>
    <t>329</t>
  </si>
  <si>
    <t>400043188</t>
  </si>
  <si>
    <t>L 5162-5241</t>
  </si>
  <si>
    <t>330</t>
  </si>
  <si>
    <t>400117128</t>
  </si>
  <si>
    <t>L 1932,3017</t>
  </si>
  <si>
    <t>331</t>
  </si>
  <si>
    <t>401059905</t>
  </si>
  <si>
    <t>L 1922,2241,2391,5323</t>
  </si>
  <si>
    <t>332</t>
  </si>
  <si>
    <t>405968065</t>
  </si>
  <si>
    <t>L 1933</t>
  </si>
  <si>
    <t>HK100522NJ-T</t>
  </si>
  <si>
    <t>400251008</t>
  </si>
  <si>
    <t>CHIP INDUCT 22NH 5^ T&amp;R</t>
  </si>
  <si>
    <t>333</t>
  </si>
  <si>
    <t>408730037</t>
  </si>
  <si>
    <t>L 190,290,390,490,590,690,790,890,990,1934,1937,1940,1943,1948,1952,1955,2247-2249</t>
  </si>
  <si>
    <t>334</t>
  </si>
  <si>
    <t>405968069</t>
  </si>
  <si>
    <t>L 1929-1930,2101-2103,2252,2395,5057</t>
  </si>
  <si>
    <t>335</t>
  </si>
  <si>
    <t>409051129</t>
  </si>
  <si>
    <t>L 2328,2398-2399</t>
  </si>
  <si>
    <t>400479535</t>
  </si>
  <si>
    <t>L 1956,1960-1964,5000-5001,5003-5004</t>
  </si>
  <si>
    <t xml:space="preserve">HIGH CURRENT INDUCTOR 1UH 20%    </t>
  </si>
  <si>
    <t>337</t>
  </si>
  <si>
    <t>400345615</t>
  </si>
  <si>
    <t>L 5020-5024</t>
  </si>
  <si>
    <t>338</t>
  </si>
  <si>
    <t>408730039</t>
  </si>
  <si>
    <t>L 2324,5161</t>
  </si>
  <si>
    <t>339</t>
  </si>
  <si>
    <t>408730035</t>
  </si>
  <si>
    <t>L 2321-2322</t>
  </si>
  <si>
    <t>340</t>
  </si>
  <si>
    <t>406813819</t>
  </si>
  <si>
    <t>L 2323,2325</t>
  </si>
  <si>
    <t>342</t>
  </si>
  <si>
    <t>400435018</t>
  </si>
  <si>
    <t>L 2250-2251</t>
  </si>
  <si>
    <t>343</t>
  </si>
  <si>
    <t>400911776</t>
  </si>
  <si>
    <t>CHIP INDUCT 0.12UHY 5% AIR COR 63X32MIL TAPE/REEL</t>
  </si>
  <si>
    <t>L 1928,2394,2396</t>
  </si>
  <si>
    <t>344</t>
  </si>
  <si>
    <t>401417242</t>
  </si>
  <si>
    <t>L 5247-5254</t>
  </si>
  <si>
    <t>345</t>
  </si>
  <si>
    <t>CHIP INDUCT 0.033UHY 5% AIR COR 63X32MIL TAPE/REEL</t>
  </si>
  <si>
    <t>L 2331</t>
  </si>
  <si>
    <t>346</t>
  </si>
  <si>
    <t>400029393</t>
  </si>
  <si>
    <t>L 11,131,255,371,615,731,855,971,1088,1211,1328,1444,1564,1688,1811,1958,5025-5056,5142-5157</t>
  </si>
  <si>
    <t>347</t>
  </si>
  <si>
    <t>400121556</t>
  </si>
  <si>
    <t>L 2330,2333</t>
  </si>
  <si>
    <t>348</t>
  </si>
  <si>
    <t>401339819</t>
  </si>
  <si>
    <t>L 13-16,133-136,249-252,373-376,493-496,609-612,733-736,849-852,973-976,1082-1085,1213-1216,1322-1325,1446-1449,1566-1569,1682-1685,1813-1816</t>
  </si>
  <si>
    <t>LQW18ANR12J00D</t>
  </si>
  <si>
    <t>N62298971</t>
  </si>
  <si>
    <t>349</t>
  </si>
  <si>
    <t>400911772</t>
  </si>
  <si>
    <t>L 5319-5322</t>
  </si>
  <si>
    <t>350</t>
  </si>
  <si>
    <t>CHIP INDUCT 0.18UHY 2% AIR- COR TAPE/REEL</t>
  </si>
  <si>
    <t>L 9-10,12,129-130,132,253-254,256,369-370,372,489,613-614,616,729-730,732,853-854,856,969-970,972,1086-1087,1089,1209-1210,1212,1326-1327,1329,1442-1443,1445,1562-1563,1565,1686-1687,1689,1809-1810,1812,1957,1959,5126-5141,5246</t>
  </si>
  <si>
    <t>351</t>
  </si>
  <si>
    <t>400333049</t>
  </si>
  <si>
    <t>CHIP FERRITE BEAD EMI-FILTER 1000-OHM T&amp;R</t>
  </si>
  <si>
    <t>L 5324-5339,5341-5356</t>
  </si>
  <si>
    <t>357</t>
  </si>
  <si>
    <t>403581733</t>
  </si>
  <si>
    <t>T 5001</t>
  </si>
  <si>
    <t>1000B-5001X</t>
  </si>
  <si>
    <t>401225086</t>
  </si>
  <si>
    <t>358</t>
  </si>
  <si>
    <t>400292374</t>
  </si>
  <si>
    <t>T 1922,2101</t>
  </si>
  <si>
    <t>359</t>
  </si>
  <si>
    <t>400649520</t>
  </si>
  <si>
    <t>T 5000,5004</t>
  </si>
  <si>
    <t>360</t>
  </si>
  <si>
    <t>401570652</t>
  </si>
  <si>
    <t>T 1921,2100</t>
  </si>
  <si>
    <t xml:space="preserve">RF 1:1 TRANSMISSION LINE TRANSFORMER    </t>
  </si>
  <si>
    <t>361</t>
  </si>
  <si>
    <t>400551730</t>
  </si>
  <si>
    <t>T 5003</t>
  </si>
  <si>
    <t>367</t>
  </si>
  <si>
    <t>402955655</t>
  </si>
  <si>
    <t>FL 5119-5120</t>
  </si>
  <si>
    <t>368</t>
  </si>
  <si>
    <t>400019067</t>
  </si>
  <si>
    <t>FL 5025,5069-5070</t>
  </si>
  <si>
    <t>369</t>
  </si>
  <si>
    <t>400043186</t>
  </si>
  <si>
    <t>FL 2106-2107,2109,2241-2242,2253,2391-2392,2400,2465</t>
  </si>
  <si>
    <t>370</t>
  </si>
  <si>
    <t>400092918</t>
  </si>
  <si>
    <t>FL 5000,5002-5003,5011,5013-5015,5021,5023-5024,5027,5032-5041,5043,5045-5053,5056-5057,5072-5074,5107-5109,5110-5114,5116-5118</t>
  </si>
  <si>
    <t>371</t>
  </si>
  <si>
    <t>400112300</t>
  </si>
  <si>
    <t>FL 2501</t>
  </si>
  <si>
    <t>372</t>
  </si>
  <si>
    <t>CHIP FILTER EMI 50-OHM 3.2X1.6MM T&amp;R</t>
  </si>
  <si>
    <t>FL 2460,2506,5340</t>
  </si>
  <si>
    <t>BLM31P500S</t>
  </si>
  <si>
    <t>N62713862</t>
  </si>
  <si>
    <t>EMI FILTER FERRITE BEAD  TAPE&amp;REEL</t>
  </si>
  <si>
    <t>373</t>
  </si>
  <si>
    <t>400095749</t>
  </si>
  <si>
    <t>FL 5005,5009,5058-5068</t>
  </si>
  <si>
    <t>HI1206P121R-00</t>
  </si>
  <si>
    <t>400040666</t>
  </si>
  <si>
    <t>374</t>
  </si>
  <si>
    <t>400149265</t>
  </si>
  <si>
    <t>FL 1-2,5,7,12,17,22,27,32,37,42,47,52,57,62,67,72,77,302,1921-1924,1926-1933,2100-2101,2110-2112,2322,2393-2399,2401-2412,2414-2429,2450-2453,2455-2456,2459,2463-2464,2466-2467,2500,2503-2505,2507-2511,3000-3002,3004-3020,3022-3025,3030-3033,5075-5106,5242-5243</t>
  </si>
  <si>
    <t>MI0603J601R-00</t>
  </si>
  <si>
    <t>N62712138</t>
  </si>
  <si>
    <t xml:space="preserve">EMI FERRITE CHIP BEAD    </t>
  </si>
  <si>
    <t>381</t>
  </si>
  <si>
    <t>400524033</t>
  </si>
  <si>
    <t>RIGHT ANGLE SURFACE MOUNT CHIP GRE EN LED TAPE&amp;REEL</t>
  </si>
  <si>
    <t>DS 5000-5003,5009-5012,5038-5042</t>
  </si>
  <si>
    <t>382</t>
  </si>
  <si>
    <t>400523828</t>
  </si>
  <si>
    <t>DS 5008,5013-5016,5019-5030,5034-5035,5037,5043</t>
  </si>
  <si>
    <t>400</t>
  </si>
  <si>
    <t>732009568</t>
  </si>
  <si>
    <t>ADHESIVE STRUCTURAL EPOXY BASE, TWO-PART,EC2216A/B,KIT OF 2OZ,GRAY</t>
  </si>
  <si>
    <t>ARALDITE STANDARD (SLOW)</t>
  </si>
  <si>
    <t>732073689</t>
  </si>
  <si>
    <t>ADHESIVE EPOXY BASE,SLOW SETTING SYSTEM,2-PART KIT OF 17ML/TU.</t>
  </si>
  <si>
    <t>ARALDITE STANDARD GREEN</t>
  </si>
  <si>
    <t>732062633</t>
  </si>
  <si>
    <t>ARALDITE-STANDARD/2X17ML</t>
  </si>
  <si>
    <t>732007778</t>
  </si>
  <si>
    <t>732063755</t>
  </si>
  <si>
    <t>ADHESIVE STRUCTURAL EPOXY BASE, TWO-PART,EC2216A/B,KIT OF 3OZ,GRAY</t>
  </si>
  <si>
    <t>732077813</t>
  </si>
  <si>
    <t>ADHESIVE STRUCTURAL EPOXY BASE, TWO-PART,EC2216A/B,GRAY</t>
  </si>
  <si>
    <t>401</t>
  </si>
  <si>
    <t>400955400</t>
  </si>
  <si>
    <t>402</t>
  </si>
  <si>
    <t>400952147</t>
  </si>
  <si>
    <t>403</t>
  </si>
  <si>
    <t>401318341</t>
  </si>
  <si>
    <t>404</t>
  </si>
  <si>
    <t>402237173</t>
  </si>
  <si>
    <t>1018E346-001</t>
  </si>
  <si>
    <t>400515112</t>
  </si>
  <si>
    <t>GPS MODULE LASSEN IQ-V-1.16</t>
  </si>
  <si>
    <t>410</t>
  </si>
  <si>
    <t>514301928</t>
  </si>
  <si>
    <t>WASHER FLAT METAL ROUND GENERAL PURPOSE</t>
  </si>
  <si>
    <t>411</t>
  </si>
  <si>
    <t>512307984</t>
  </si>
  <si>
    <t>413</t>
  </si>
  <si>
    <t>404013097</t>
  </si>
  <si>
    <t>414</t>
  </si>
  <si>
    <t>421165501</t>
  </si>
  <si>
    <t>415</t>
  </si>
  <si>
    <t>WIRE SOLID. BUS BAR 22AWG COPPER TIN-PLATED-PLT ROUND</t>
  </si>
  <si>
    <t>.1</t>
  </si>
  <si>
    <t>416</t>
  </si>
  <si>
    <t>מחיר AVL</t>
  </si>
  <si>
    <t>מחיר עדכני</t>
  </si>
  <si>
    <t>כמות שנרכשה</t>
  </si>
  <si>
    <t>סה"כ PPV</t>
  </si>
  <si>
    <t>גורם מאשר באלתא (מגובה במייל)</t>
  </si>
  <si>
    <t>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</si>
</sst>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B1mmm\-yy"/>
  </numFmts>
  <fonts count="20">
    <font>
      <sz val="11"/>
      <color theme="1"/>
      <name val="Arial"/>
      <family val="2"/>
      <charset val="177"/>
      <scheme val="minor"/>
    </font>
    <font>
      <sz val="11"/>
      <color theme="1"/>
      <name val="Arial"/>
      <family val="2"/>
      <charset val="177"/>
      <scheme val="minor"/>
    </font>
    <font>
      <u/>
      <sz val="11"/>
      <color theme="10"/>
      <name val="Arial"/>
      <family val="2"/>
      <charset val="177"/>
      <scheme val="minor"/>
    </font>
    <font>
      <sz val="10"/>
      <name val="Arial"/>
      <family val="2"/>
    </font>
    <font>
      <b/>
      <sz val="10"/>
      <color rgb="FFFF0000"/>
      <name val="Arial"/>
      <family val="2"/>
    </font>
    <font>
      <b/>
      <sz val="72"/>
      <color rgb="FF000000"/>
      <name val="Arial"/>
      <family val="2"/>
    </font>
    <font>
      <sz val="11"/>
      <color rgb="FF000000"/>
      <name val="Arial"/>
      <family val="2"/>
    </font>
    <font>
      <b/>
      <sz val="11"/>
      <color rgb="FF000000"/>
      <name val="Arial"/>
      <family val="2"/>
    </font>
    <font>
      <sz val="10"/>
      <color rgb="FFFF0000"/>
      <name val="Arial"/>
      <family val="2"/>
    </font>
    <font>
      <sz val="11"/>
      <name val="Arial"/>
      <family val="2"/>
    </font>
    <font>
      <sz val="12"/>
      <name val="Arial"/>
      <family val="2"/>
    </font>
    <font>
      <sz val="12"/>
      <color rgb="FF000000"/>
      <name val="Arial"/>
      <family val="2"/>
    </font>
    <font>
      <sz val="10"/>
      <name val="Times New Roman"/>
      <family val="1"/>
    </font>
    <font>
      <u/>
      <sz val="10"/>
      <color indexed="12"/>
      <name val="Arial"/>
      <family val="2"/>
    </font>
    <font>
      <sz val="10"/>
      <color theme="1"/>
      <name val="Arial"/>
      <family val="2"/>
    </font>
    <font>
      <u/>
      <sz val="10"/>
      <color rgb="FFFF0000"/>
      <name val="Arial"/>
      <family val="2"/>
    </font>
    <font>
      <b/>
      <sz val="14"/>
      <color rgb="FFFF0000"/>
      <name val="Arial"/>
      <family val="2"/>
    </font>
    <font>
      <u/>
      <sz val="10"/>
      <color theme="10"/>
      <name val="Arial"/>
      <family val="2"/>
    </font>
    <font>
      <sz val="10"/>
      <color indexed="8"/>
      <name val="SansSerif"/>
    </font>
    <font>
      <b/>
      <sz val="10"/>
      <color indexed="8"/>
      <name val="SansSerif"/>
    </font>
  </fonts>
  <fills count="9">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D9D9D9"/>
        <bgColor indexed="64"/>
      </patternFill>
    </fill>
    <fill>
      <patternFill patternType="solid">
        <fgColor indexed="24"/>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8"/>
      </left>
      <right style="thin">
        <color indexed="8"/>
      </right>
      <top style="thin">
        <color indexed="8"/>
      </top>
      <bottom style="thin">
        <color indexed="8"/>
      </bottom>
      <diagonal/>
    </border>
  </borders>
  <cellStyleXfs count="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0"/>
    <xf numFmtId="43" fontId="3" fillId="0" borderId="0" applyFont="0" applyFill="0" applyBorder="0" applyAlignment="0" applyProtection="0"/>
    <xf numFmtId="0" fontId="17" fillId="0" borderId="0" applyNumberFormat="0" applyFill="0" applyBorder="0" applyAlignment="0" applyProtection="0"/>
  </cellStyleXfs>
  <cellXfs count="72">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2" borderId="0" xfId="0" applyFill="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center" vertical="center" readingOrder="2"/>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7" fillId="4" borderId="6" xfId="0" applyFont="1" applyFill="1" applyBorder="1" applyAlignment="1">
      <alignment horizontal="center" vertical="center" wrapText="1" readingOrder="1"/>
    </xf>
    <xf numFmtId="0" fontId="0" fillId="0" borderId="7" xfId="0" applyBorder="1"/>
    <xf numFmtId="0" fontId="6" fillId="0" borderId="7" xfId="0" applyFont="1" applyBorder="1" applyAlignment="1">
      <alignment horizontal="center" vertical="center" readingOrder="1"/>
    </xf>
    <xf numFmtId="0" fontId="8" fillId="0" borderId="0" xfId="0" applyFont="1" applyAlignment="1">
      <alignment horizontal="center" vertical="center"/>
    </xf>
    <xf numFmtId="0" fontId="7" fillId="4" borderId="11" xfId="0" applyFont="1" applyFill="1" applyBorder="1" applyAlignment="1">
      <alignment horizontal="center" vertical="center" wrapText="1" readingOrder="1"/>
    </xf>
    <xf numFmtId="0" fontId="6" fillId="0" borderId="7" xfId="0" applyFont="1" applyBorder="1" applyAlignment="1">
      <alignment horizontal="center" vertical="center" wrapText="1" readingOrder="1"/>
    </xf>
    <xf numFmtId="0" fontId="9" fillId="0" borderId="7" xfId="0" applyFont="1" applyBorder="1" applyAlignment="1">
      <alignment horizontal="center" vertical="center" wrapText="1" readingOrder="1"/>
    </xf>
    <xf numFmtId="0" fontId="10" fillId="0" borderId="7" xfId="0" applyFont="1" applyBorder="1" applyAlignment="1">
      <alignment horizontal="center" vertical="center" wrapText="1" readingOrder="1"/>
    </xf>
    <xf numFmtId="0" fontId="11" fillId="0" borderId="7" xfId="0" applyFont="1" applyBorder="1" applyAlignment="1">
      <alignment horizontal="center" vertical="center" wrapText="1" readingOrder="1"/>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5" borderId="1" xfId="0" applyFill="1" applyBorder="1" applyAlignment="1">
      <alignment horizontal="center" vertical="center"/>
    </xf>
    <xf numFmtId="0" fontId="3" fillId="3"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3" fillId="6" borderId="0" xfId="0" applyFont="1" applyFill="1" applyAlignment="1">
      <alignment horizontal="center" vertical="center" wrapText="1"/>
    </xf>
    <xf numFmtId="0" fontId="3" fillId="6" borderId="7" xfId="0" applyFont="1" applyFill="1" applyBorder="1" applyAlignment="1">
      <alignment horizontal="center" vertical="center"/>
    </xf>
    <xf numFmtId="0" fontId="0" fillId="6" borderId="7" xfId="0" applyFill="1" applyBorder="1" applyAlignment="1">
      <alignment horizontal="center" vertical="center"/>
    </xf>
    <xf numFmtId="165" fontId="7" fillId="0" borderId="0" xfId="0" applyNumberFormat="1" applyFont="1" applyAlignment="1">
      <alignment horizontal="center" vertical="center" readingOrder="1"/>
    </xf>
    <xf numFmtId="0" fontId="12" fillId="0" borderId="0" xfId="0" applyFont="1"/>
    <xf numFmtId="0" fontId="13" fillId="0" borderId="0" xfId="0" applyFont="1" applyAlignment="1">
      <alignment horizontal="left" vertical="center"/>
    </xf>
    <xf numFmtId="0" fontId="0" fillId="7" borderId="0" xfId="0" applyFill="1" applyAlignment="1">
      <alignment horizontal="left" vertical="center"/>
    </xf>
    <xf numFmtId="0" fontId="14" fillId="0" borderId="0" xfId="0" applyFont="1" applyAlignment="1">
      <alignment horizontal="left" vertical="center"/>
    </xf>
    <xf numFmtId="0" fontId="14" fillId="0" borderId="0" xfId="0" applyFont="1" applyAlignment="1">
      <alignment horizontal="center" vertical="center"/>
    </xf>
    <xf numFmtId="0" fontId="2" fillId="0" borderId="0" xfId="2" applyAlignment="1">
      <alignment horizontal="center" vertical="center"/>
    </xf>
    <xf numFmtId="0" fontId="2" fillId="0" borderId="0" xfId="2" applyFill="1" applyAlignment="1">
      <alignment horizontal="center" vertical="center"/>
    </xf>
    <xf numFmtId="0" fontId="0" fillId="7" borderId="0" xfId="0" applyFill="1" applyAlignment="1">
      <alignment horizontal="center" vertical="center"/>
    </xf>
    <xf numFmtId="0" fontId="13" fillId="7" borderId="0" xfId="0" applyFont="1" applyFill="1" applyAlignment="1">
      <alignment horizontal="left" vertical="center"/>
    </xf>
    <xf numFmtId="0" fontId="0" fillId="7" borderId="0" xfId="0" applyFill="1" applyAlignment="1">
      <alignment vertical="center"/>
    </xf>
    <xf numFmtId="0" fontId="3" fillId="7" borderId="0" xfId="0" applyFont="1" applyFill="1" applyAlignment="1">
      <alignment horizontal="left" vertical="center"/>
    </xf>
    <xf numFmtId="0" fontId="14" fillId="7" borderId="0" xfId="0" applyFont="1" applyFill="1" applyAlignment="1">
      <alignment horizontal="left" vertical="center"/>
    </xf>
    <xf numFmtId="0" fontId="14" fillId="7" borderId="0" xfId="0" applyFont="1" applyFill="1" applyAlignment="1">
      <alignment horizontal="center" vertical="center"/>
    </xf>
    <xf numFmtId="0" fontId="2" fillId="7" borderId="0" xfId="2" applyFill="1" applyAlignment="1">
      <alignment horizontal="center" vertical="center"/>
    </xf>
    <xf numFmtId="0" fontId="0" fillId="2" borderId="0" xfId="0" applyFill="1" applyAlignment="1">
      <alignment horizontal="left" vertical="center"/>
    </xf>
    <xf numFmtId="0" fontId="2" fillId="0" borderId="7" xfId="2" applyFill="1" applyBorder="1" applyAlignment="1">
      <alignment horizontal="center" vertical="center"/>
    </xf>
    <xf numFmtId="0" fontId="0" fillId="0" borderId="7" xfId="0" applyBorder="1" applyAlignment="1">
      <alignment horizontal="center" vertical="center"/>
    </xf>
    <xf numFmtId="0" fontId="2" fillId="0" borderId="7" xfId="2" applyBorder="1" applyAlignment="1">
      <alignment horizontal="center" vertical="center"/>
    </xf>
    <xf numFmtId="0" fontId="13" fillId="8" borderId="0" xfId="0" applyFont="1" applyFill="1" applyAlignment="1">
      <alignment horizontal="left" vertical="center"/>
    </xf>
    <xf numFmtId="0" fontId="2" fillId="0" borderId="0" xfId="2" applyFill="1" applyBorder="1" applyAlignment="1">
      <alignment horizontal="center" vertical="center"/>
    </xf>
    <xf numFmtId="0" fontId="3" fillId="0" borderId="0" xfId="0" applyFont="1" applyAlignment="1">
      <alignment horizontal="left" vertical="center"/>
    </xf>
    <xf numFmtId="0" fontId="15"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vertical="center"/>
    </xf>
    <xf numFmtId="2" fontId="16" fillId="2" borderId="0" xfId="0" applyNumberFormat="1" applyFont="1" applyFill="1" applyAlignment="1">
      <alignment horizontal="center" vertical="center"/>
    </xf>
    <xf numFmtId="43" fontId="16" fillId="2" borderId="0" xfId="1" applyFont="1" applyFill="1" applyAlignment="1">
      <alignment horizontal="center" vertical="center"/>
    </xf>
    <xf numFmtId="0" fontId="3" fillId="0" borderId="7" xfId="3" applyBorder="1"/>
    <xf numFmtId="0" fontId="3" fillId="0" borderId="0" xfId="3"/>
    <xf numFmtId="0" fontId="3" fillId="0" borderId="7" xfId="3" applyBorder="1" applyAlignment="1">
      <alignment horizontal="center" vertical="center"/>
    </xf>
    <xf numFmtId="0" fontId="3" fillId="3" borderId="7" xfId="3" applyFill="1" applyBorder="1" applyAlignment="1">
      <alignment horizontal="left" vertical="center"/>
    </xf>
    <xf numFmtId="0" fontId="3" fillId="3" borderId="7" xfId="3" applyFill="1" applyBorder="1" applyAlignment="1">
      <alignment horizontal="center" vertical="center"/>
    </xf>
    <xf numFmtId="0" fontId="13" fillId="0" borderId="7" xfId="3" applyFont="1" applyBorder="1" applyAlignment="1">
      <alignment horizontal="left" vertical="center"/>
    </xf>
    <xf numFmtId="0" fontId="3" fillId="0" borderId="7" xfId="3" applyBorder="1" applyAlignment="1">
      <alignment vertical="center"/>
    </xf>
    <xf numFmtId="0" fontId="3" fillId="0" borderId="0" xfId="3" applyAlignment="1">
      <alignment horizontal="left"/>
    </xf>
    <xf numFmtId="0" fontId="18" fillId="0" borderId="0" xfId="3" applyFont="1" applyAlignment="1">
      <alignment horizontal="left" vertical="top" wrapText="1"/>
    </xf>
    <xf numFmtId="0" fontId="19" fillId="3" borderId="12" xfId="3" applyFont="1" applyFill="1" applyBorder="1" applyAlignment="1">
      <alignment horizontal="center" vertical="center" wrapText="1"/>
    </xf>
    <xf numFmtId="0" fontId="0" fillId="2" borderId="8" xfId="0" applyFill="1" applyBorder="1" applyAlignment="1">
      <alignment horizontal="center" vertical="center"/>
    </xf>
    <xf numFmtId="0" fontId="0" fillId="0" borderId="0" xfId="0" applyAlignment="1">
      <alignment horizontal="center"/>
    </xf>
    <xf numFmtId="0" fontId="0" fillId="0" borderId="2" xfId="0" applyBorder="1" applyAlignment="1">
      <alignment horizontal="center"/>
    </xf>
    <xf numFmtId="0" fontId="5" fillId="4" borderId="3" xfId="0" applyFont="1" applyFill="1" applyBorder="1" applyAlignment="1">
      <alignment horizontal="center" vertical="center" wrapText="1" readingOrder="1"/>
    </xf>
    <xf numFmtId="0" fontId="5" fillId="4" borderId="4" xfId="0" applyFont="1" applyFill="1" applyBorder="1" applyAlignment="1">
      <alignment horizontal="center" vertical="center" wrapText="1" readingOrder="1"/>
    </xf>
    <xf numFmtId="0" fontId="5" fillId="4" borderId="8" xfId="0" applyFont="1" applyFill="1" applyBorder="1" applyAlignment="1">
      <alignment horizontal="center" vertical="center" wrapText="1" readingOrder="1"/>
    </xf>
    <xf numFmtId="0" fontId="5" fillId="4" borderId="9" xfId="0" applyFont="1" applyFill="1" applyBorder="1" applyAlignment="1">
      <alignment horizontal="center" vertical="center" wrapText="1" readingOrder="1"/>
    </xf>
    <xf numFmtId="0" fontId="6" fillId="0" borderId="5" xfId="0" applyFont="1" applyBorder="1" applyAlignment="1">
      <alignment horizontal="center" vertical="center" readingOrder="1"/>
    </xf>
    <xf numFmtId="0" fontId="6" fillId="0" borderId="10" xfId="0" applyFont="1" applyBorder="1" applyAlignment="1">
      <alignment horizontal="center" vertical="center" readingOrder="1"/>
    </xf>
  </cellXfs>
  <cellStyles count="6">
    <cellStyle name="Comma" xfId="1" builtinId="3"/>
    <cellStyle name="Comma 2" xfId="4" xr:uid="{EB125E15-8F08-47A2-A0CE-1B431BBC6B1B}"/>
    <cellStyle name="Hyperlink 2" xfId="5" xr:uid="{14E1929A-CEF6-4CC9-BFED-C7CB5AD22CAE}"/>
    <cellStyle name="Normal" xfId="0" builtinId="0"/>
    <cellStyle name="Normal 2" xfId="3" xr:uid="{CD335466-F0C9-401D-BCC1-FA88795A9E74}"/>
    <cellStyle name="היפר-קישור" xfId="2" builtinId="8"/>
  </cellStyles>
  <dxfs count="4">
    <dxf>
      <font>
        <color rgb="FF9C0006"/>
      </font>
      <fill>
        <patternFill>
          <bgColor rgb="FFFFC7CE"/>
        </patternFill>
      </fill>
    </dxf>
    <dxf>
      <font>
        <color rgb="FF9C0006"/>
      </font>
      <fill>
        <patternFill>
          <bgColor rgb="FFFFC7CE"/>
        </patternFill>
      </fill>
    </dxf>
    <dxf>
      <font>
        <color theme="0"/>
      </font>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ltifs1\out$\Users\a27403\Desktop\&#1514;&#1511;&#1497;&#1493;&#1514;\AD%20STAR\Downloads\476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material balance (2)"/>
      <sheetName val="Sheet0"/>
      <sheetName val="הזנת נתונים"/>
      <sheetName val="material balance"/>
    </sheetNames>
    <sheetDataSet>
      <sheetData sheetId="0" refreshError="1"/>
      <sheetData sheetId="1" refreshError="1"/>
      <sheetData sheetId="2" refreshError="1"/>
      <sheetData sheetId="3" refreshError="1">
        <row r="2">
          <cell r="K2" t="str">
            <v>ID</v>
          </cell>
        </row>
        <row r="3">
          <cell r="K3" t="str">
            <v>6930B621-002</v>
          </cell>
          <cell r="L3">
            <v>0</v>
          </cell>
        </row>
        <row r="4">
          <cell r="K4" t="str">
            <v>1022L482-001</v>
          </cell>
          <cell r="L4">
            <v>1</v>
          </cell>
        </row>
        <row r="5">
          <cell r="K5" t="str">
            <v>1022L485-002</v>
          </cell>
          <cell r="L5">
            <v>1</v>
          </cell>
        </row>
        <row r="6">
          <cell r="K6" t="str">
            <v>2001G911-001</v>
          </cell>
          <cell r="L6">
            <v>1</v>
          </cell>
        </row>
        <row r="7">
          <cell r="K7" t="str">
            <v>6930B676-001</v>
          </cell>
          <cell r="L7">
            <v>1</v>
          </cell>
        </row>
        <row r="8">
          <cell r="K8" t="str">
            <v>5206F007-001</v>
          </cell>
          <cell r="L8">
            <v>1</v>
          </cell>
        </row>
        <row r="9">
          <cell r="K9" t="str">
            <v>5206F008-001</v>
          </cell>
          <cell r="L9">
            <v>2</v>
          </cell>
        </row>
        <row r="10">
          <cell r="K10" t="str">
            <v>5205F532-001</v>
          </cell>
          <cell r="L10">
            <v>3</v>
          </cell>
        </row>
        <row r="11">
          <cell r="K11" t="str">
            <v>5203F511-002</v>
          </cell>
          <cell r="L11">
            <v>3</v>
          </cell>
        </row>
        <row r="12">
          <cell r="K12" t="str">
            <v>5206F009-001</v>
          </cell>
          <cell r="L12">
            <v>3</v>
          </cell>
        </row>
        <row r="13">
          <cell r="K13" t="str">
            <v>1022L985-001</v>
          </cell>
          <cell r="L13">
            <v>1</v>
          </cell>
        </row>
        <row r="14">
          <cell r="K14" t="str">
            <v>1022L984-001</v>
          </cell>
          <cell r="L14">
            <v>1</v>
          </cell>
        </row>
        <row r="15">
          <cell r="K15" t="str">
            <v>1094K658-001</v>
          </cell>
          <cell r="L15">
            <v>1</v>
          </cell>
        </row>
        <row r="16">
          <cell r="K16" t="str">
            <v>1038B870-001</v>
          </cell>
          <cell r="L16">
            <v>0</v>
          </cell>
        </row>
        <row r="17">
          <cell r="K17" t="str">
            <v>1094W510-003</v>
          </cell>
          <cell r="L17">
            <v>1</v>
          </cell>
        </row>
        <row r="18">
          <cell r="K18" t="str">
            <v>1094W511-002</v>
          </cell>
          <cell r="L18">
            <v>1</v>
          </cell>
        </row>
        <row r="19">
          <cell r="K19" t="str">
            <v>1038B880-001</v>
          </cell>
          <cell r="L19">
            <v>1</v>
          </cell>
        </row>
        <row r="20">
          <cell r="K20" t="str">
            <v>1094W524-001</v>
          </cell>
          <cell r="L20">
            <v>2</v>
          </cell>
        </row>
        <row r="21">
          <cell r="K21" t="str">
            <v>1094W518-001</v>
          </cell>
          <cell r="L21">
            <v>1</v>
          </cell>
        </row>
      </sheetData>
      <sheetData sheetId="4"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eltweb04.elta.iai/pls/iman_Production/link_to_iman?item_id=C0603C103K5RAC7867" TargetMode="External"/><Relationship Id="rId299" Type="http://schemas.openxmlformats.org/officeDocument/2006/relationships/hyperlink" Target="http://eltweb04.elta.iai/pls/iman_Production/link_to_iman?item_id=LT1175IS8" TargetMode="External"/><Relationship Id="rId21" Type="http://schemas.openxmlformats.org/officeDocument/2006/relationships/hyperlink" Target="http://eltweb04.elta.iai/pls/iman_Production/link_to_iman?item_id=100A270FT150XTV" TargetMode="External"/><Relationship Id="rId63" Type="http://schemas.openxmlformats.org/officeDocument/2006/relationships/hyperlink" Target="http://eltweb04.elta.iai/pls/iman_Production/link_to_iman?item_id=594D337X9016R2T" TargetMode="External"/><Relationship Id="rId159" Type="http://schemas.openxmlformats.org/officeDocument/2006/relationships/hyperlink" Target="http://eltweb04.elta.iai/pls/iman_Production/link_to_iman?item_id=CRCW040212R1FKED" TargetMode="External"/><Relationship Id="rId324" Type="http://schemas.openxmlformats.org/officeDocument/2006/relationships/hyperlink" Target="http://eltweb04.elta.iai/pls/iman_Production/link_to_iman?item_id=MM8030-2610RJ3" TargetMode="External"/><Relationship Id="rId366" Type="http://schemas.openxmlformats.org/officeDocument/2006/relationships/hyperlink" Target="http://eltweb04.elta.iai/pls/iman_Production/link_to_iman?item_id=REF192ESZ-REEL7" TargetMode="External"/><Relationship Id="rId170" Type="http://schemas.openxmlformats.org/officeDocument/2006/relationships/hyperlink" Target="http://eltweb04.elta.iai/pls/iman_Production/link_to_iman?item_id=CRCW0402294RFKED" TargetMode="External"/><Relationship Id="rId226" Type="http://schemas.openxmlformats.org/officeDocument/2006/relationships/hyperlink" Target="http://eltweb04.elta.iai/pls/iman_Production/link_to_iman?item_id=CRCW0805100RFKEA" TargetMode="External"/><Relationship Id="rId268" Type="http://schemas.openxmlformats.org/officeDocument/2006/relationships/hyperlink" Target="http://eltweb04.elta.iai/pls/iman_Production/link_to_iman?item_id=HMC547ALP3E" TargetMode="External"/><Relationship Id="rId32" Type="http://schemas.openxmlformats.org/officeDocument/2006/relationships/hyperlink" Target="http://eltweb04.elta.iai/pls/iman_Production/link_to_iman?item_id=1094K658-001" TargetMode="External"/><Relationship Id="rId74" Type="http://schemas.openxmlformats.org/officeDocument/2006/relationships/hyperlink" Target="http://eltweb04.elta.iai/pls/iman_Production/link_to_iman?item_id=82MMCX-50-0-1/111NE" TargetMode="External"/><Relationship Id="rId128" Type="http://schemas.openxmlformats.org/officeDocument/2006/relationships/hyperlink" Target="http://eltweb04.elta.iai/pls/iman_Production/link_to_iman?item_id=C0805C225K4RAC7800" TargetMode="External"/><Relationship Id="rId335" Type="http://schemas.openxmlformats.org/officeDocument/2006/relationships/hyperlink" Target="http://eltweb04.elta.iai/pls/iman_Production/link_to_iman?item_id=MS51957-13" TargetMode="External"/><Relationship Id="rId377" Type="http://schemas.openxmlformats.org/officeDocument/2006/relationships/hyperlink" Target="http://eltweb04.elta.iai/pls/iman_Production/link_to_iman?item_id=SIA519EDJ-T1-GE3" TargetMode="External"/><Relationship Id="rId5" Type="http://schemas.openxmlformats.org/officeDocument/2006/relationships/hyperlink" Target="http://eltweb04.elta.iai/pls/iman_Production/link_to_iman?item_id=0603CS-18NXGLW" TargetMode="External"/><Relationship Id="rId181" Type="http://schemas.openxmlformats.org/officeDocument/2006/relationships/hyperlink" Target="http://eltweb04.elta.iai/pls/iman_Production/link_to_iman?item_id=CRCW04024K99FKED" TargetMode="External"/><Relationship Id="rId237" Type="http://schemas.openxmlformats.org/officeDocument/2006/relationships/hyperlink" Target="http://eltweb04.elta.iai/pls/iman_Production/link_to_iman?item_id=DG636EEN-T1-GE4" TargetMode="External"/><Relationship Id="rId402" Type="http://schemas.openxmlformats.org/officeDocument/2006/relationships/hyperlink" Target="http://eltweb04.elta.iai/pls/iman_Production/link_to_iman?item_id=TC1-1T+" TargetMode="External"/><Relationship Id="rId279" Type="http://schemas.openxmlformats.org/officeDocument/2006/relationships/hyperlink" Target="http://eltweb04.elta.iai/pls/iman_Production/link_to_iman?item_id=LFCN-400" TargetMode="External"/><Relationship Id="rId43" Type="http://schemas.openxmlformats.org/officeDocument/2006/relationships/hyperlink" Target="http://eltweb04.elta.iai/pls/iman_Production/link_to_iman?item_id=1094W522-002" TargetMode="External"/><Relationship Id="rId139" Type="http://schemas.openxmlformats.org/officeDocument/2006/relationships/hyperlink" Target="http://eltweb04.elta.iai/pls/iman_Production/link_to_iman?item_id=CL05C4R7CB5NNNC" TargetMode="External"/><Relationship Id="rId290" Type="http://schemas.openxmlformats.org/officeDocument/2006/relationships/hyperlink" Target="http://eltweb04.elta.iai/pls/iman_Production/link_to_iman?item_id=LQW18AN20NG00D" TargetMode="External"/><Relationship Id="rId304" Type="http://schemas.openxmlformats.org/officeDocument/2006/relationships/hyperlink" Target="http://eltweb04.elta.iai/pls/iman_Production/link_to_iman?item_id=LTC4444HMS8E-5" TargetMode="External"/><Relationship Id="rId346" Type="http://schemas.openxmlformats.org/officeDocument/2006/relationships/hyperlink" Target="http://eltweb04.elta.iai/pls/iman_Production/link_to_iman?item_id=NAS620C2" TargetMode="External"/><Relationship Id="rId388" Type="http://schemas.openxmlformats.org/officeDocument/2006/relationships/hyperlink" Target="http://eltweb04.elta.iai/pls/iman_Production/link_to_iman?item_id=SN74LVC2GU04DCKT" TargetMode="External"/><Relationship Id="rId85" Type="http://schemas.openxmlformats.org/officeDocument/2006/relationships/hyperlink" Target="http://eltweb04.elta.iai/pls/iman_Production/link_to_iman?item_id=AD9228ABCPZ-65" TargetMode="External"/><Relationship Id="rId150" Type="http://schemas.openxmlformats.org/officeDocument/2006/relationships/hyperlink" Target="http://eltweb04.elta.iai/pls/iman_Production/link_to_iman?item_id=CLP-104-02-L-D-BE-TR" TargetMode="External"/><Relationship Id="rId192" Type="http://schemas.openxmlformats.org/officeDocument/2006/relationships/hyperlink" Target="http://eltweb04.elta.iai/pls/iman_Production/link_to_iman?item_id=CRCW0603150RFKEA" TargetMode="External"/><Relationship Id="rId206" Type="http://schemas.openxmlformats.org/officeDocument/2006/relationships/hyperlink" Target="http://eltweb04.elta.iai/pls/iman_Production/link_to_iman?item_id=CRCW060339R2FKEA" TargetMode="External"/><Relationship Id="rId413" Type="http://schemas.openxmlformats.org/officeDocument/2006/relationships/hyperlink" Target="http://eltweb04.elta.iai/pls/iman_Production/link_to_iman?item_id=TS0505S" TargetMode="External"/><Relationship Id="rId248" Type="http://schemas.openxmlformats.org/officeDocument/2006/relationships/hyperlink" Target="http://eltweb04.elta.iai/pls/iman_Production/link_to_iman?item_id=ERM8-013-05-S-DV-DS-K-TR" TargetMode="External"/><Relationship Id="rId12" Type="http://schemas.openxmlformats.org/officeDocument/2006/relationships/hyperlink" Target="http://eltweb04.elta.iai/pls/iman_Production/link_to_iman?item_id=1000B-5001FX" TargetMode="External"/><Relationship Id="rId108" Type="http://schemas.openxmlformats.org/officeDocument/2006/relationships/hyperlink" Target="http://eltweb04.elta.iai/pls/iman_Production/link_to_iman?item_id=C0402C100C5GAC7867" TargetMode="External"/><Relationship Id="rId315" Type="http://schemas.openxmlformats.org/officeDocument/2006/relationships/hyperlink" Target="http://eltweb04.elta.iai/pls/iman_Production/link_to_iman?item_id=MC100EP16DTG" TargetMode="External"/><Relationship Id="rId357" Type="http://schemas.openxmlformats.org/officeDocument/2006/relationships/hyperlink" Target="http://eltweb04.elta.iai/pls/iman_Production/link_to_iman?item_id=NL27WZ125USG-F22190" TargetMode="External"/><Relationship Id="rId54" Type="http://schemas.openxmlformats.org/officeDocument/2006/relationships/hyperlink" Target="http://eltweb04.elta.iai/pls/iman_Production/link_to_iman?item_id=293D106X9010A2TE3" TargetMode="External"/><Relationship Id="rId96" Type="http://schemas.openxmlformats.org/officeDocument/2006/relationships/hyperlink" Target="http://eltweb04.elta.iai/pls/iman_Production/link_to_iman?item_id=AT24C16D-XHM-T" TargetMode="External"/><Relationship Id="rId161" Type="http://schemas.openxmlformats.org/officeDocument/2006/relationships/hyperlink" Target="http://eltweb04.elta.iai/pls/iman_Production/link_to_iman?item_id=CRCW0402178RFKED" TargetMode="External"/><Relationship Id="rId217" Type="http://schemas.openxmlformats.org/officeDocument/2006/relationships/hyperlink" Target="http://eltweb04.elta.iai/pls/iman_Production/link_to_iman?item_id=CRCW06034K99FKEA" TargetMode="External"/><Relationship Id="rId399" Type="http://schemas.openxmlformats.org/officeDocument/2006/relationships/hyperlink" Target="http://eltweb04.elta.iai/pls/iman_Production/link_to_iman?item_id=TA0564A" TargetMode="External"/><Relationship Id="rId259" Type="http://schemas.openxmlformats.org/officeDocument/2006/relationships/hyperlink" Target="http://eltweb04.elta.iai/pls/iman_Production/link_to_iman?item_id=HMC365S8G" TargetMode="External"/><Relationship Id="rId424" Type="http://schemas.openxmlformats.org/officeDocument/2006/relationships/hyperlink" Target="mailto:rivi@starlight@" TargetMode="External"/><Relationship Id="rId23" Type="http://schemas.openxmlformats.org/officeDocument/2006/relationships/hyperlink" Target="http://eltweb04.elta.iai/pls/iman_Production/link_to_iman?item_id=100A4R3BT150XTV1K" TargetMode="External"/><Relationship Id="rId119" Type="http://schemas.openxmlformats.org/officeDocument/2006/relationships/hyperlink" Target="http://eltweb04.elta.iai/pls/iman_Production/link_to_iman?item_id=C0603C105K3RACTU" TargetMode="External"/><Relationship Id="rId270" Type="http://schemas.openxmlformats.org/officeDocument/2006/relationships/hyperlink" Target="http://eltweb04.elta.iai/pls/iman_Production/link_to_iman?item_id=HSMG-C680" TargetMode="External"/><Relationship Id="rId326" Type="http://schemas.openxmlformats.org/officeDocument/2006/relationships/hyperlink" Target="http://eltweb04.elta.iai/pls/iman_Production/link_to_iman?item_id=MMBD4148SE" TargetMode="External"/><Relationship Id="rId65" Type="http://schemas.openxmlformats.org/officeDocument/2006/relationships/hyperlink" Target="http://eltweb04.elta.iai/pls/iman_Production/link_to_iman?item_id=65%20SMA-50-0-25/11-%20YE" TargetMode="External"/><Relationship Id="rId130" Type="http://schemas.openxmlformats.org/officeDocument/2006/relationships/hyperlink" Target="http://eltweb04.elta.iai/pls/iman_Production/link_to_iman?item_id=C10-218" TargetMode="External"/><Relationship Id="rId368" Type="http://schemas.openxmlformats.org/officeDocument/2006/relationships/hyperlink" Target="http://eltweb04.elta.iai/pls/iman_Production/link_to_iman?item_id=ROS-3760+" TargetMode="External"/><Relationship Id="rId172" Type="http://schemas.openxmlformats.org/officeDocument/2006/relationships/hyperlink" Target="http://eltweb04.elta.iai/pls/iman_Production/link_to_iman?item_id=CRCW040230R1FKED" TargetMode="External"/><Relationship Id="rId228" Type="http://schemas.openxmlformats.org/officeDocument/2006/relationships/hyperlink" Target="http://eltweb04.elta.iai/pls/iman_Production/link_to_iman?item_id=CRCW0805249RFKEA" TargetMode="External"/><Relationship Id="rId281" Type="http://schemas.openxmlformats.org/officeDocument/2006/relationships/hyperlink" Target="http://eltweb04.elta.iai/pls/iman_Production/link_to_iman?item_id=LFCN-900+" TargetMode="External"/><Relationship Id="rId337" Type="http://schemas.openxmlformats.org/officeDocument/2006/relationships/hyperlink" Target="http://eltweb04.elta.iai/pls/iman_Production/link_to_iman?item_id=MS51957-3" TargetMode="External"/><Relationship Id="rId34" Type="http://schemas.openxmlformats.org/officeDocument/2006/relationships/hyperlink" Target="http://eltweb04.elta.iai/pls/iman_Production/link_to_iman?item_id=1094W510-003" TargetMode="External"/><Relationship Id="rId76" Type="http://schemas.openxmlformats.org/officeDocument/2006/relationships/hyperlink" Target="http://eltweb04.elta.iai/pls/iman_Production/link_to_iman?item_id=AD5623RBRMZ-5" TargetMode="External"/><Relationship Id="rId141" Type="http://schemas.openxmlformats.org/officeDocument/2006/relationships/hyperlink" Target="http://eltweb04.elta.iai/pls/iman_Production/link_to_iman?item_id=CL10B104KA8NNNC" TargetMode="External"/><Relationship Id="rId379" Type="http://schemas.openxmlformats.org/officeDocument/2006/relationships/hyperlink" Target="http://eltweb04.elta.iai/pls/iman_Production/link_to_iman?item_id=SIZ342DT-T1-GE3" TargetMode="External"/><Relationship Id="rId7" Type="http://schemas.openxmlformats.org/officeDocument/2006/relationships/hyperlink" Target="http://eltweb04.elta.iai/pls/iman_Production/link_to_iman?item_id=0603HP-R22XJRW" TargetMode="External"/><Relationship Id="rId183" Type="http://schemas.openxmlformats.org/officeDocument/2006/relationships/hyperlink" Target="http://eltweb04.elta.iai/pls/iman_Production/link_to_iman?item_id=CRCW040282R5FKED" TargetMode="External"/><Relationship Id="rId239" Type="http://schemas.openxmlformats.org/officeDocument/2006/relationships/hyperlink" Target="http://eltweb04.elta.iai/pls/iman_Production/link_to_iman?item_id=DS1608C-102MLC" TargetMode="External"/><Relationship Id="rId390" Type="http://schemas.openxmlformats.org/officeDocument/2006/relationships/hyperlink" Target="http://eltweb04.elta.iai/pls/iman_Production/link_to_iman?item_id=SPF-5122ZSR" TargetMode="External"/><Relationship Id="rId404" Type="http://schemas.openxmlformats.org/officeDocument/2006/relationships/hyperlink" Target="http://eltweb04.elta.iai/pls/iman_Production/link_to_iman?item_id=TGA2731-SM" TargetMode="External"/><Relationship Id="rId250" Type="http://schemas.openxmlformats.org/officeDocument/2006/relationships/hyperlink" Target="http://eltweb04.elta.iai/pls/iman_Production/link_to_iman?item_id=FDN339AN" TargetMode="External"/><Relationship Id="rId292" Type="http://schemas.openxmlformats.org/officeDocument/2006/relationships/hyperlink" Target="http://eltweb04.elta.iai/pls/iman_Production/link_to_iman?item_id=LQW18AN33NJ00D" TargetMode="External"/><Relationship Id="rId306" Type="http://schemas.openxmlformats.org/officeDocument/2006/relationships/hyperlink" Target="http://eltweb04.elta.iai/pls/iman_Production/link_to_iman?item_id=LTM4608AIV" TargetMode="External"/><Relationship Id="rId45" Type="http://schemas.openxmlformats.org/officeDocument/2006/relationships/hyperlink" Target="http://eltweb04.elta.iai/pls/iman_Production/link_to_iman?item_id=1119-2199-6240" TargetMode="External"/><Relationship Id="rId87" Type="http://schemas.openxmlformats.org/officeDocument/2006/relationships/hyperlink" Target="http://eltweb04.elta.iai/pls/iman_Production/link_to_iman?item_id=ADA4932-1YCPZ-R2" TargetMode="External"/><Relationship Id="rId110" Type="http://schemas.openxmlformats.org/officeDocument/2006/relationships/hyperlink" Target="http://eltweb04.elta.iai/pls/iman_Production/link_to_iman?item_id=C0402C102K5RAC7867" TargetMode="External"/><Relationship Id="rId348" Type="http://schemas.openxmlformats.org/officeDocument/2006/relationships/hyperlink" Target="http://eltweb04.elta.iai/pls/iman_Production/link_to_iman?item_id=NAS662C2R4" TargetMode="External"/><Relationship Id="rId152" Type="http://schemas.openxmlformats.org/officeDocument/2006/relationships/hyperlink" Target="http://eltweb04.elta.iai/pls/iman_Production/link_to_iman?item_id=CR0603-FX-9090-ELF" TargetMode="External"/><Relationship Id="rId194" Type="http://schemas.openxmlformats.org/officeDocument/2006/relationships/hyperlink" Target="http://eltweb04.elta.iai/pls/iman_Production/link_to_iman?item_id=CRCW06031K21FKEA" TargetMode="External"/><Relationship Id="rId208" Type="http://schemas.openxmlformats.org/officeDocument/2006/relationships/hyperlink" Target="http://eltweb04.elta.iai/pls/iman_Production/link_to_iman?item_id=CRCW06033K92FKEA" TargetMode="External"/><Relationship Id="rId415" Type="http://schemas.openxmlformats.org/officeDocument/2006/relationships/hyperlink" Target="http://eltweb04.elta.iai/pls/iman_Production/link_to_iman?item_id=TVA-0300N07W3" TargetMode="External"/><Relationship Id="rId261" Type="http://schemas.openxmlformats.org/officeDocument/2006/relationships/hyperlink" Target="http://eltweb04.elta.iai/pls/iman_Production/link_to_iman?item_id=HMC432E" TargetMode="External"/><Relationship Id="rId14" Type="http://schemas.openxmlformats.org/officeDocument/2006/relationships/hyperlink" Target="http://eltweb04.elta.iai/pls/iman_Production/link_to_iman?item_id=1008CS-182XJLC" TargetMode="External"/><Relationship Id="rId56" Type="http://schemas.openxmlformats.org/officeDocument/2006/relationships/hyperlink" Target="http://eltweb04.elta.iai/pls/iman_Production/link_to_iman?item_id=293D476X0010B2TE3" TargetMode="External"/><Relationship Id="rId317" Type="http://schemas.openxmlformats.org/officeDocument/2006/relationships/hyperlink" Target="http://eltweb04.elta.iai/pls/iman_Production/link_to_iman?item_id=MC100LVEP111FAG" TargetMode="External"/><Relationship Id="rId359" Type="http://schemas.openxmlformats.org/officeDocument/2006/relationships/hyperlink" Target="http://eltweb04.elta.iai/pls/iman_Production/link_to_iman?item_id=PE42553B-Z" TargetMode="External"/><Relationship Id="rId98" Type="http://schemas.openxmlformats.org/officeDocument/2006/relationships/hyperlink" Target="http://eltweb04.elta.iai/pls/iman_Production/link_to_iman?item_id=ATC100A100JW150XTV" TargetMode="External"/><Relationship Id="rId121" Type="http://schemas.openxmlformats.org/officeDocument/2006/relationships/hyperlink" Target="http://eltweb04.elta.iai/pls/iman_Production/link_to_iman?item_id=C0603C181K5RACTU" TargetMode="External"/><Relationship Id="rId163" Type="http://schemas.openxmlformats.org/officeDocument/2006/relationships/hyperlink" Target="http://eltweb04.elta.iai/pls/iman_Production/link_to_iman?item_id=CRCW04021K00FKED" TargetMode="External"/><Relationship Id="rId219" Type="http://schemas.openxmlformats.org/officeDocument/2006/relationships/hyperlink" Target="http://eltweb04.elta.iai/pls/iman_Production/link_to_iman?item_id=CRCW060361R9FKEA" TargetMode="External"/><Relationship Id="rId370" Type="http://schemas.openxmlformats.org/officeDocument/2006/relationships/hyperlink" Target="http://eltweb04.elta.iai/pls/iman_Production/link_to_iman?item_id=SALDAVEX%20F%200.20MM" TargetMode="External"/><Relationship Id="rId426" Type="http://schemas.openxmlformats.org/officeDocument/2006/relationships/hyperlink" Target="mailto:nivk@mtisummit.co.il" TargetMode="External"/><Relationship Id="rId230" Type="http://schemas.openxmlformats.org/officeDocument/2006/relationships/hyperlink" Target="http://eltweb04.elta.iai/pls/iman_Production/link_to_iman?item_id=CRCW12060000ZSEA" TargetMode="External"/><Relationship Id="rId25" Type="http://schemas.openxmlformats.org/officeDocument/2006/relationships/hyperlink" Target="http://eltweb04.elta.iai/pls/iman_Production/link_to_iman?item_id=1022L482-001" TargetMode="External"/><Relationship Id="rId67" Type="http://schemas.openxmlformats.org/officeDocument/2006/relationships/hyperlink" Target="http://eltweb04.elta.iai/pls/iman_Production/link_to_iman?item_id=6930B676-001" TargetMode="External"/><Relationship Id="rId272" Type="http://schemas.openxmlformats.org/officeDocument/2006/relationships/hyperlink" Target="http://eltweb04.elta.iai/pls/iman_Production/link_to_iman?item_id=HSSR-7110" TargetMode="External"/><Relationship Id="rId328" Type="http://schemas.openxmlformats.org/officeDocument/2006/relationships/hyperlink" Target="http://eltweb04.elta.iai/pls/iman_Production/link_to_iman?item_id=MPP4201A-206-HS" TargetMode="External"/><Relationship Id="rId132" Type="http://schemas.openxmlformats.org/officeDocument/2006/relationships/hyperlink" Target="http://eltweb04.elta.iai/pls/iman_Production/link_to_iman?item_id=C1005X7S1A105K050BC" TargetMode="External"/><Relationship Id="rId174" Type="http://schemas.openxmlformats.org/officeDocument/2006/relationships/hyperlink" Target="http://eltweb04.elta.iai/pls/iman_Production/link_to_iman?item_id=CRCW040233R2FKED" TargetMode="External"/><Relationship Id="rId381" Type="http://schemas.openxmlformats.org/officeDocument/2006/relationships/hyperlink" Target="http://eltweb04.elta.iai/pls/iman_Production/link_to_iman?item_id=SMBJ3V3-E3/52" TargetMode="External"/><Relationship Id="rId241" Type="http://schemas.openxmlformats.org/officeDocument/2006/relationships/hyperlink" Target="http://eltweb04.elta.iai/pls/iman_Production/link_to_iman?item_id=DS620U+TR" TargetMode="External"/><Relationship Id="rId36" Type="http://schemas.openxmlformats.org/officeDocument/2006/relationships/hyperlink" Target="http://eltweb04.elta.iai/pls/iman_Production/link_to_iman?item_id=1094W513-001" TargetMode="External"/><Relationship Id="rId283" Type="http://schemas.openxmlformats.org/officeDocument/2006/relationships/hyperlink" Target="http://eltweb04.elta.iai/pls/iman_Production/link_to_iman?item_id=LOCTITE%20222-50CC" TargetMode="External"/><Relationship Id="rId339" Type="http://schemas.openxmlformats.org/officeDocument/2006/relationships/hyperlink" Target="http://eltweb04.elta.iai/pls/iman_Production/link_to_iman?item_id=MS51957-5" TargetMode="External"/><Relationship Id="rId78" Type="http://schemas.openxmlformats.org/officeDocument/2006/relationships/hyperlink" Target="http://eltweb04.elta.iai/pls/iman_Production/link_to_iman?item_id=AD780BRZ-REEL7" TargetMode="External"/><Relationship Id="rId101" Type="http://schemas.openxmlformats.org/officeDocument/2006/relationships/hyperlink" Target="http://eltweb04.elta.iai/pls/iman_Production/link_to_iman?item_id=BLM15AG601SN1D" TargetMode="External"/><Relationship Id="rId143" Type="http://schemas.openxmlformats.org/officeDocument/2006/relationships/hyperlink" Target="http://eltweb04.elta.iai/pls/iman_Production/link_to_iman?item_id=CL10B105KO8NNNC" TargetMode="External"/><Relationship Id="rId185" Type="http://schemas.openxmlformats.org/officeDocument/2006/relationships/hyperlink" Target="http://eltweb04.elta.iai/pls/iman_Production/link_to_iman?item_id=CRCW06030000Z0EA" TargetMode="External"/><Relationship Id="rId350" Type="http://schemas.openxmlformats.org/officeDocument/2006/relationships/hyperlink" Target="http://eltweb04.elta.iai/pls/iman_Production/link_to_iman?item_id=NC7NZ04L8X-L22185" TargetMode="External"/><Relationship Id="rId406" Type="http://schemas.openxmlformats.org/officeDocument/2006/relationships/hyperlink" Target="http://eltweb04.elta.iai/pls/iman_Production/link_to_iman?item_id=THT-1-724-10" TargetMode="External"/><Relationship Id="rId9" Type="http://schemas.openxmlformats.org/officeDocument/2006/relationships/hyperlink" Target="http://eltweb04.elta.iai/pls/iman_Production/link_to_iman?item_id=08055C105KAT2A" TargetMode="External"/><Relationship Id="rId210" Type="http://schemas.openxmlformats.org/officeDocument/2006/relationships/hyperlink" Target="http://eltweb04.elta.iai/pls/iman_Production/link_to_iman?item_id=CRCW060340K2FKEA" TargetMode="External"/><Relationship Id="rId392" Type="http://schemas.openxmlformats.org/officeDocument/2006/relationships/hyperlink" Target="http://eltweb04.elta.iai/pls/iman_Production/link_to_iman?item_id=SYM-30DLHW+" TargetMode="External"/><Relationship Id="rId252" Type="http://schemas.openxmlformats.org/officeDocument/2006/relationships/hyperlink" Target="http://eltweb04.elta.iai/pls/iman_Production/link_to_iman?item_id=FT1737HS-6-8-A-B" TargetMode="External"/><Relationship Id="rId294" Type="http://schemas.openxmlformats.org/officeDocument/2006/relationships/hyperlink" Target="http://eltweb04.elta.iai/pls/iman_Production/link_to_iman?item_id=LQW18AN6N8C00D" TargetMode="External"/><Relationship Id="rId308" Type="http://schemas.openxmlformats.org/officeDocument/2006/relationships/hyperlink" Target="http://eltweb04.elta.iai/pls/iman_Production/link_to_iman?item_id=MADR-007097-0001TR" TargetMode="External"/><Relationship Id="rId47" Type="http://schemas.openxmlformats.org/officeDocument/2006/relationships/hyperlink" Target="http://eltweb04.elta.iai/pls/iman_Production/link_to_iman?item_id=145-A01H/118" TargetMode="External"/><Relationship Id="rId89" Type="http://schemas.openxmlformats.org/officeDocument/2006/relationships/hyperlink" Target="http://eltweb04.elta.iai/pls/iman_Production/link_to_iman?item_id=ADF4157BCPZ" TargetMode="External"/><Relationship Id="rId112" Type="http://schemas.openxmlformats.org/officeDocument/2006/relationships/hyperlink" Target="http://eltweb04.elta.iai/pls/iman_Production/link_to_iman?item_id=C0402C279C5GAC7867" TargetMode="External"/><Relationship Id="rId154" Type="http://schemas.openxmlformats.org/officeDocument/2006/relationships/hyperlink" Target="http://eltweb04.elta.iai/pls/iman_Production/link_to_iman?item_id=CRCW04020000ZSED" TargetMode="External"/><Relationship Id="rId361" Type="http://schemas.openxmlformats.org/officeDocument/2006/relationships/hyperlink" Target="http://eltweb04.elta.iai/pls/iman_Production/link_to_iman?item_id=PSOT03C-LF-T7" TargetMode="External"/><Relationship Id="rId196" Type="http://schemas.openxmlformats.org/officeDocument/2006/relationships/hyperlink" Target="http://eltweb04.elta.iai/pls/iman_Production/link_to_iman?item_id=CRCW06031K40FKEA" TargetMode="External"/><Relationship Id="rId417" Type="http://schemas.openxmlformats.org/officeDocument/2006/relationships/hyperlink" Target="http://eltweb04.elta.iai/pls/iman_Production/link_to_iman?item_id=TVA-0500N03" TargetMode="External"/><Relationship Id="rId16" Type="http://schemas.openxmlformats.org/officeDocument/2006/relationships/hyperlink" Target="http://eltweb04.elta.iai/pls/iman_Production/link_to_iman?item_id=1008CS-472XJLC" TargetMode="External"/><Relationship Id="rId221" Type="http://schemas.openxmlformats.org/officeDocument/2006/relationships/hyperlink" Target="http://eltweb04.elta.iai/pls/iman_Production/link_to_iman?item_id=CRCW0603681RFKEA" TargetMode="External"/><Relationship Id="rId263" Type="http://schemas.openxmlformats.org/officeDocument/2006/relationships/hyperlink" Target="http://eltweb04.elta.iai/pls/iman_Production/link_to_iman?item_id=HMC441LC3BTR" TargetMode="External"/><Relationship Id="rId319" Type="http://schemas.openxmlformats.org/officeDocument/2006/relationships/hyperlink" Target="http://eltweb04.elta.iai/pls/iman_Production/link_to_iman?item_id=MI0603J601R-10" TargetMode="External"/><Relationship Id="rId58" Type="http://schemas.openxmlformats.org/officeDocument/2006/relationships/hyperlink" Target="http://eltweb04.elta.iai/pls/iman_Production/link_to_iman?item_id=298" TargetMode="External"/><Relationship Id="rId123" Type="http://schemas.openxmlformats.org/officeDocument/2006/relationships/hyperlink" Target="http://eltweb04.elta.iai/pls/iman_Production/link_to_iman?item_id=C0603C221K5RAC7867" TargetMode="External"/><Relationship Id="rId330" Type="http://schemas.openxmlformats.org/officeDocument/2006/relationships/hyperlink" Target="http://eltweb04.elta.iai/pls/iman_Production/link_to_iman?item_id=MS15795-803" TargetMode="External"/><Relationship Id="rId165" Type="http://schemas.openxmlformats.org/officeDocument/2006/relationships/hyperlink" Target="http://eltweb04.elta.iai/pls/iman_Production/link_to_iman?item_id=CRCW0402200RFKED" TargetMode="External"/><Relationship Id="rId372" Type="http://schemas.openxmlformats.org/officeDocument/2006/relationships/hyperlink" Target="http://eltweb04.elta.iai/pls/iman_Production/link_to_iman?item_id=SBB-4089Z" TargetMode="External"/><Relationship Id="rId428" Type="http://schemas.openxmlformats.org/officeDocument/2006/relationships/hyperlink" Target="mailto:shuli.ronin@qorvo.com" TargetMode="External"/><Relationship Id="rId232" Type="http://schemas.openxmlformats.org/officeDocument/2006/relationships/hyperlink" Target="http://eltweb04.elta.iai/pls/iman_Production/link_to_iman?item_id=D38999/24WD35PA" TargetMode="External"/><Relationship Id="rId274" Type="http://schemas.openxmlformats.org/officeDocument/2006/relationships/hyperlink" Target="http://eltweb04.elta.iai/pls/iman_Production/link_to_iman?item_id=IHLP2525CZERR33M01" TargetMode="External"/><Relationship Id="rId27" Type="http://schemas.openxmlformats.org/officeDocument/2006/relationships/hyperlink" Target="http://eltweb04.elta.iai/pls/iman_Production/link_to_iman?item_id=1022L984-001" TargetMode="External"/><Relationship Id="rId69" Type="http://schemas.openxmlformats.org/officeDocument/2006/relationships/hyperlink" Target="http://eltweb04.elta.iai/pls/iman_Production/link_to_iman?item_id=700A131FW150XTV" TargetMode="External"/><Relationship Id="rId134" Type="http://schemas.openxmlformats.org/officeDocument/2006/relationships/hyperlink" Target="http://eltweb04.elta.iai/pls/iman_Production/link_to_iman?item_id=C1210C106K5RACTU" TargetMode="External"/><Relationship Id="rId80" Type="http://schemas.openxmlformats.org/officeDocument/2006/relationships/hyperlink" Target="http://eltweb04.elta.iai/pls/iman_Production/link_to_iman?item_id=AD823ARZ-R7" TargetMode="External"/><Relationship Id="rId176" Type="http://schemas.openxmlformats.org/officeDocument/2006/relationships/hyperlink" Target="http://eltweb04.elta.iai/pls/iman_Production/link_to_iman?item_id=CRCW0402432RFKED" TargetMode="External"/><Relationship Id="rId341" Type="http://schemas.openxmlformats.org/officeDocument/2006/relationships/hyperlink" Target="http://eltweb04.elta.iai/pls/iman_Production/link_to_iman?item_id=MTVA-0300N04W3S" TargetMode="External"/><Relationship Id="rId383" Type="http://schemas.openxmlformats.org/officeDocument/2006/relationships/hyperlink" Target="http://eltweb04.elta.iai/pls/iman_Production/link_to_iman?item_id=SMBJ7.0A-E3/52" TargetMode="External"/><Relationship Id="rId201" Type="http://schemas.openxmlformats.org/officeDocument/2006/relationships/hyperlink" Target="http://eltweb04.elta.iai/pls/iman_Production/link_to_iman?item_id=CRCW0603221RFKEA" TargetMode="External"/><Relationship Id="rId243" Type="http://schemas.openxmlformats.org/officeDocument/2006/relationships/hyperlink" Target="http://eltweb04.elta.iai/pls/iman_Production/link_to_iman?item_id=DS90LV018ATM/NOPB" TargetMode="External"/><Relationship Id="rId285" Type="http://schemas.openxmlformats.org/officeDocument/2006/relationships/hyperlink" Target="http://eltweb04.elta.iai/pls/iman_Production/link_to_iman?item_id=LQG15HS1N0B02D" TargetMode="External"/><Relationship Id="rId38" Type="http://schemas.openxmlformats.org/officeDocument/2006/relationships/hyperlink" Target="http://eltweb04.elta.iai/pls/iman_Production/link_to_iman?item_id=1094W515-001" TargetMode="External"/><Relationship Id="rId103" Type="http://schemas.openxmlformats.org/officeDocument/2006/relationships/hyperlink" Target="http://eltweb04.elta.iai/pls/iman_Production/link_to_iman?item_id=BLM15EG221SN1D" TargetMode="External"/><Relationship Id="rId310" Type="http://schemas.openxmlformats.org/officeDocument/2006/relationships/hyperlink" Target="http://eltweb04.elta.iai/pls/iman_Production/link_to_iman?item_id=MAX3380EEUP+" TargetMode="External"/><Relationship Id="rId91" Type="http://schemas.openxmlformats.org/officeDocument/2006/relationships/hyperlink" Target="http://eltweb04.elta.iai/pls/iman_Production/link_to_iman?item_id=ADM708SARZ" TargetMode="External"/><Relationship Id="rId145" Type="http://schemas.openxmlformats.org/officeDocument/2006/relationships/hyperlink" Target="http://eltweb04.elta.iai/pls/iman_Production/link_to_iman?item_id=CL10C101GB8NNNC" TargetMode="External"/><Relationship Id="rId187" Type="http://schemas.openxmlformats.org/officeDocument/2006/relationships/hyperlink" Target="http://eltweb04.elta.iai/pls/iman_Production/link_to_iman?item_id=CRCW0603100RFKEA" TargetMode="External"/><Relationship Id="rId352" Type="http://schemas.openxmlformats.org/officeDocument/2006/relationships/hyperlink" Target="http://eltweb04.elta.iai/pls/iman_Production/link_to_iman?item_id=NC7SZ08P5X" TargetMode="External"/><Relationship Id="rId394" Type="http://schemas.openxmlformats.org/officeDocument/2006/relationships/hyperlink" Target="http://eltweb04.elta.iai/pls/iman_Production/link_to_iman?item_id=T491C106K025AH" TargetMode="External"/><Relationship Id="rId408" Type="http://schemas.openxmlformats.org/officeDocument/2006/relationships/hyperlink" Target="http://eltweb04.elta.iai/pls/iman_Production/link_to_iman?item_id=TQL9092" TargetMode="External"/><Relationship Id="rId1" Type="http://schemas.openxmlformats.org/officeDocument/2006/relationships/hyperlink" Target="http://eltweb04.elta.iai/pls/iman_Production/link_to_iman?item_id=0402X7R222KT2AT" TargetMode="External"/><Relationship Id="rId212" Type="http://schemas.openxmlformats.org/officeDocument/2006/relationships/hyperlink" Target="http://eltweb04.elta.iai/pls/iman_Production/link_to_iman?item_id=CRCW060343R2FKEA" TargetMode="External"/><Relationship Id="rId233" Type="http://schemas.openxmlformats.org/officeDocument/2006/relationships/hyperlink" Target="http://eltweb04.elta.iai/pls/iman_Production/link_to_iman?item_id=D38999/24WG35PN" TargetMode="External"/><Relationship Id="rId254" Type="http://schemas.openxmlformats.org/officeDocument/2006/relationships/hyperlink" Target="http://eltweb04.elta.iai/pls/iman_Production/link_to_iman?item_id=GRM155R71H681KA01D" TargetMode="External"/><Relationship Id="rId28" Type="http://schemas.openxmlformats.org/officeDocument/2006/relationships/hyperlink" Target="http://eltweb04.elta.iai/pls/iman_Production/link_to_iman?item_id=1022L985-001" TargetMode="External"/><Relationship Id="rId49" Type="http://schemas.openxmlformats.org/officeDocument/2006/relationships/hyperlink" Target="http://eltweb04.elta.iai/pls/iman_Production/link_to_iman?item_id=19S11E-400L5" TargetMode="External"/><Relationship Id="rId114" Type="http://schemas.openxmlformats.org/officeDocument/2006/relationships/hyperlink" Target="http://eltweb04.elta.iai/pls/iman_Production/link_to_iman?item_id=C0402C473K3RACTU" TargetMode="External"/><Relationship Id="rId275" Type="http://schemas.openxmlformats.org/officeDocument/2006/relationships/hyperlink" Target="http://eltweb04.elta.iai/pls/iman_Production/link_to_iman?item_id=ISPPAC-POWR1220AT8-01TN-" TargetMode="External"/><Relationship Id="rId296" Type="http://schemas.openxmlformats.org/officeDocument/2006/relationships/hyperlink" Target="http://eltweb04.elta.iai/pls/iman_Production/link_to_iman?item_id=LQW18ANR12G00D" TargetMode="External"/><Relationship Id="rId300" Type="http://schemas.openxmlformats.org/officeDocument/2006/relationships/hyperlink" Target="http://eltweb04.elta.iai/pls/iman_Production/link_to_iman?item_id=LT1716HS5" TargetMode="External"/><Relationship Id="rId60" Type="http://schemas.openxmlformats.org/officeDocument/2006/relationships/hyperlink" Target="http://eltweb04.elta.iai/pls/iman_Production/link_to_iman?item_id=401-55501-51" TargetMode="External"/><Relationship Id="rId81" Type="http://schemas.openxmlformats.org/officeDocument/2006/relationships/hyperlink" Target="http://eltweb04.elta.iai/pls/iman_Production/link_to_iman?item_id=AD829ARZ" TargetMode="External"/><Relationship Id="rId135" Type="http://schemas.openxmlformats.org/officeDocument/2006/relationships/hyperlink" Target="http://eltweb04.elta.iai/pls/iman_Production/link_to_iman?item_id=C4532X7R1E226M250KC" TargetMode="External"/><Relationship Id="rId156" Type="http://schemas.openxmlformats.org/officeDocument/2006/relationships/hyperlink" Target="http://eltweb04.elta.iai/pls/iman_Production/link_to_iman?item_id=CRCW0402100RFKED" TargetMode="External"/><Relationship Id="rId177" Type="http://schemas.openxmlformats.org/officeDocument/2006/relationships/hyperlink" Target="http://eltweb04.elta.iai/pls/iman_Production/link_to_iman?item_id=CRCW0402499RFKED" TargetMode="External"/><Relationship Id="rId198" Type="http://schemas.openxmlformats.org/officeDocument/2006/relationships/hyperlink" Target="http://eltweb04.elta.iai/pls/iman_Production/link_to_iman?item_id=CRCW0603200RFKEA" TargetMode="External"/><Relationship Id="rId321" Type="http://schemas.openxmlformats.org/officeDocument/2006/relationships/hyperlink" Target="http://eltweb04.elta.iai/pls/iman_Production/link_to_iman?item_id=MIC4426YMM-TR" TargetMode="External"/><Relationship Id="rId342" Type="http://schemas.openxmlformats.org/officeDocument/2006/relationships/hyperlink" Target="http://eltweb04.elta.iai/pls/iman_Production/link_to_iman?item_id=MTVA-0500N03W3S" TargetMode="External"/><Relationship Id="rId363" Type="http://schemas.openxmlformats.org/officeDocument/2006/relationships/hyperlink" Target="http://eltweb04.elta.iai/pls/iman_Production/link_to_iman?item_id=PX-501-0039-320M0000" TargetMode="External"/><Relationship Id="rId384" Type="http://schemas.openxmlformats.org/officeDocument/2006/relationships/hyperlink" Target="http://eltweb04.elta.iai/pls/iman_Production/link_to_iman?item_id=SMDA03LCC-LF-T7" TargetMode="External"/><Relationship Id="rId419" Type="http://schemas.openxmlformats.org/officeDocument/2006/relationships/hyperlink" Target="http://eltweb04.elta.iai/pls/iman_Production/link_to_iman?item_id=TVS07RB-23-35SN" TargetMode="External"/><Relationship Id="rId202" Type="http://schemas.openxmlformats.org/officeDocument/2006/relationships/hyperlink" Target="http://eltweb04.elta.iai/pls/iman_Production/link_to_iman?item_id=CRCW0603237RFKEA" TargetMode="External"/><Relationship Id="rId223" Type="http://schemas.openxmlformats.org/officeDocument/2006/relationships/hyperlink" Target="http://eltweb04.elta.iai/pls/iman_Production/link_to_iman?item_id=CRCW0603750RFKEA" TargetMode="External"/><Relationship Id="rId244" Type="http://schemas.openxmlformats.org/officeDocument/2006/relationships/hyperlink" Target="http://eltweb04.elta.iai/pls/iman_Production/link_to_iman?item_id=DS90LV032ATMX/NOPB" TargetMode="External"/><Relationship Id="rId430" Type="http://schemas.openxmlformats.org/officeDocument/2006/relationships/hyperlink" Target="mailto:adam@kaytech" TargetMode="External"/><Relationship Id="rId18" Type="http://schemas.openxmlformats.org/officeDocument/2006/relationships/hyperlink" Target="http://eltweb04.elta.iai/pls/iman_Production/link_to_iman?item_id=100A130FT150XTV" TargetMode="External"/><Relationship Id="rId39" Type="http://schemas.openxmlformats.org/officeDocument/2006/relationships/hyperlink" Target="http://eltweb04.elta.iai/pls/iman_Production/link_to_iman?item_id=1094W516-001" TargetMode="External"/><Relationship Id="rId265" Type="http://schemas.openxmlformats.org/officeDocument/2006/relationships/hyperlink" Target="http://eltweb04.elta.iai/pls/iman_Production/link_to_iman?item_id=HMC472ALP4E" TargetMode="External"/><Relationship Id="rId286" Type="http://schemas.openxmlformats.org/officeDocument/2006/relationships/hyperlink" Target="http://eltweb04.elta.iai/pls/iman_Production/link_to_iman?item_id=LQG15HS22NJ02D" TargetMode="External"/><Relationship Id="rId50" Type="http://schemas.openxmlformats.org/officeDocument/2006/relationships/hyperlink" Target="http://eltweb04.elta.iai/pls/iman_Production/link_to_iman?item_id=19S14T-40ML5" TargetMode="External"/><Relationship Id="rId104" Type="http://schemas.openxmlformats.org/officeDocument/2006/relationships/hyperlink" Target="http://eltweb04.elta.iai/pls/iman_Production/link_to_iman?item_id=BLM18EG221SN1D" TargetMode="External"/><Relationship Id="rId125" Type="http://schemas.openxmlformats.org/officeDocument/2006/relationships/hyperlink" Target="http://eltweb04.elta.iai/pls/iman_Production/link_to_iman?item_id=C0603C569D5GACTU" TargetMode="External"/><Relationship Id="rId146" Type="http://schemas.openxmlformats.org/officeDocument/2006/relationships/hyperlink" Target="http://eltweb04.elta.iai/pls/iman_Production/link_to_iman?item_id=CL10C150GB8NNNC" TargetMode="External"/><Relationship Id="rId167" Type="http://schemas.openxmlformats.org/officeDocument/2006/relationships/hyperlink" Target="http://eltweb04.elta.iai/pls/iman_Production/link_to_iman?item_id=CRCW040222R1FKED" TargetMode="External"/><Relationship Id="rId188" Type="http://schemas.openxmlformats.org/officeDocument/2006/relationships/hyperlink" Target="http://eltweb04.elta.iai/pls/iman_Production/link_to_iman?item_id=CRCW060310K0FKEA" TargetMode="External"/><Relationship Id="rId311" Type="http://schemas.openxmlformats.org/officeDocument/2006/relationships/hyperlink" Target="http://eltweb04.elta.iai/pls/iman_Production/link_to_iman?item_id=MAX8557ETE+T" TargetMode="External"/><Relationship Id="rId332" Type="http://schemas.openxmlformats.org/officeDocument/2006/relationships/hyperlink" Target="http://eltweb04.elta.iai/pls/iman_Production/link_to_iman?item_id=MS3213-22" TargetMode="External"/><Relationship Id="rId353" Type="http://schemas.openxmlformats.org/officeDocument/2006/relationships/hyperlink" Target="http://eltweb04.elta.iai/pls/iman_Production/link_to_iman?item_id=NC7SZ14P5X-L22057" TargetMode="External"/><Relationship Id="rId374" Type="http://schemas.openxmlformats.org/officeDocument/2006/relationships/hyperlink" Target="http://eltweb04.elta.iai/pls/iman_Production/link_to_iman?item_id=SCH3114I-NU" TargetMode="External"/><Relationship Id="rId395" Type="http://schemas.openxmlformats.org/officeDocument/2006/relationships/hyperlink" Target="http://eltweb04.elta.iai/pls/iman_Production/link_to_iman?item_id=T491X107K020AH" TargetMode="External"/><Relationship Id="rId409" Type="http://schemas.openxmlformats.org/officeDocument/2006/relationships/hyperlink" Target="http://eltweb04.elta.iai/pls/iman_Production/link_to_iman?item_id=TS0310W3S" TargetMode="External"/><Relationship Id="rId71" Type="http://schemas.openxmlformats.org/officeDocument/2006/relationships/hyperlink" Target="http://eltweb04.elta.iai/pls/iman_Production/link_to_iman?item_id=700A331JT150XTV" TargetMode="External"/><Relationship Id="rId92" Type="http://schemas.openxmlformats.org/officeDocument/2006/relationships/hyperlink" Target="http://eltweb04.elta.iai/pls/iman_Production/link_to_iman?item_id=ADP-2-4+" TargetMode="External"/><Relationship Id="rId213" Type="http://schemas.openxmlformats.org/officeDocument/2006/relationships/hyperlink" Target="http://eltweb04.elta.iai/pls/iman_Production/link_to_iman?item_id=CRCW0603475RFKEA" TargetMode="External"/><Relationship Id="rId234" Type="http://schemas.openxmlformats.org/officeDocument/2006/relationships/hyperlink" Target="http://eltweb04.elta.iai/pls/iman_Production/link_to_iman?item_id=D38999/33W15N" TargetMode="External"/><Relationship Id="rId420" Type="http://schemas.openxmlformats.org/officeDocument/2006/relationships/hyperlink" Target="http://eltweb04.elta.iai/pls/iman_Production/link_to_iman?item_id=VF261AHHL-1-156.25MHZ" TargetMode="External"/><Relationship Id="rId2" Type="http://schemas.openxmlformats.org/officeDocument/2006/relationships/hyperlink" Target="http://eltweb04.elta.iai/pls/iman_Production/link_to_iman?item_id=06035J100JBTTR" TargetMode="External"/><Relationship Id="rId29" Type="http://schemas.openxmlformats.org/officeDocument/2006/relationships/hyperlink" Target="http://eltweb04.elta.iai/pls/iman_Production/link_to_iman?item_id=1093A496-001" TargetMode="External"/><Relationship Id="rId255" Type="http://schemas.openxmlformats.org/officeDocument/2006/relationships/hyperlink" Target="http://eltweb04.elta.iai/pls/iman_Production/link_to_iman?item_id=GXO-U108L/BI-14.31818MHZ" TargetMode="External"/><Relationship Id="rId276" Type="http://schemas.openxmlformats.org/officeDocument/2006/relationships/hyperlink" Target="http://eltweb04.elta.iai/pls/iman_Production/link_to_iman?item_id=JCM2900T3400VM1RC" TargetMode="External"/><Relationship Id="rId297" Type="http://schemas.openxmlformats.org/officeDocument/2006/relationships/hyperlink" Target="http://eltweb04.elta.iai/pls/iman_Production/link_to_iman?item_id=LQW18ANR13G00D" TargetMode="External"/><Relationship Id="rId40" Type="http://schemas.openxmlformats.org/officeDocument/2006/relationships/hyperlink" Target="http://eltweb04.elta.iai/pls/iman_Production/link_to_iman?item_id=1094W517-001" TargetMode="External"/><Relationship Id="rId115" Type="http://schemas.openxmlformats.org/officeDocument/2006/relationships/hyperlink" Target="http://eltweb04.elta.iai/pls/iman_Production/link_to_iman?item_id=C0402C560J5GACTU" TargetMode="External"/><Relationship Id="rId136" Type="http://schemas.openxmlformats.org/officeDocument/2006/relationships/hyperlink" Target="http://eltweb04.elta.iai/pls/iman_Production/link_to_iman?item_id=CC0603GRNPO9BN121" TargetMode="External"/><Relationship Id="rId157" Type="http://schemas.openxmlformats.org/officeDocument/2006/relationships/hyperlink" Target="http://eltweb04.elta.iai/pls/iman_Production/link_to_iman?item_id=CRCW040210K0FKED" TargetMode="External"/><Relationship Id="rId178" Type="http://schemas.openxmlformats.org/officeDocument/2006/relationships/hyperlink" Target="http://eltweb04.elta.iai/pls/iman_Production/link_to_iman?item_id=CRCW040249R9FKED" TargetMode="External"/><Relationship Id="rId301" Type="http://schemas.openxmlformats.org/officeDocument/2006/relationships/hyperlink" Target="http://eltweb04.elta.iai/pls/iman_Production/link_to_iman?item_id=LT1763CS8" TargetMode="External"/><Relationship Id="rId322" Type="http://schemas.openxmlformats.org/officeDocument/2006/relationships/hyperlink" Target="http://eltweb04.elta.iai/pls/iman_Production/link_to_iman?item_id=MIC4427YMM-TR" TargetMode="External"/><Relationship Id="rId343" Type="http://schemas.openxmlformats.org/officeDocument/2006/relationships/hyperlink" Target="http://eltweb04.elta.iai/pls/iman_Production/link_to_iman?item_id=MURS120T3G" TargetMode="External"/><Relationship Id="rId364" Type="http://schemas.openxmlformats.org/officeDocument/2006/relationships/hyperlink" Target="http://eltweb04.elta.iai/pls/iman_Production/link_to_iman?item_id=QPA2611TR7" TargetMode="External"/><Relationship Id="rId61" Type="http://schemas.openxmlformats.org/officeDocument/2006/relationships/hyperlink" Target="http://eltweb04.elta.iai/pls/iman_Production/link_to_iman?item_id=5206F007-001" TargetMode="External"/><Relationship Id="rId82" Type="http://schemas.openxmlformats.org/officeDocument/2006/relationships/hyperlink" Target="http://eltweb04.elta.iai/pls/iman_Production/link_to_iman?item_id=AD8317ACPZR2" TargetMode="External"/><Relationship Id="rId199" Type="http://schemas.openxmlformats.org/officeDocument/2006/relationships/hyperlink" Target="http://eltweb04.elta.iai/pls/iman_Production/link_to_iman?item_id=CRCW060320K5FKEA" TargetMode="External"/><Relationship Id="rId203" Type="http://schemas.openxmlformats.org/officeDocument/2006/relationships/hyperlink" Target="http://eltweb04.elta.iai/pls/iman_Production/link_to_iman?item_id=CRCW06032K00FKEA" TargetMode="External"/><Relationship Id="rId385" Type="http://schemas.openxmlformats.org/officeDocument/2006/relationships/hyperlink" Target="http://eltweb04.elta.iai/pls/iman_Production/link_to_iman?item_id=SN65LVDS387DGGRG4" TargetMode="External"/><Relationship Id="rId19" Type="http://schemas.openxmlformats.org/officeDocument/2006/relationships/hyperlink" Target="http://eltweb04.elta.iai/pls/iman_Production/link_to_iman?item_id=100A150FT150XTV" TargetMode="External"/><Relationship Id="rId224" Type="http://schemas.openxmlformats.org/officeDocument/2006/relationships/hyperlink" Target="http://eltweb04.elta.iai/pls/iman_Production/link_to_iman?item_id=CRCW0603806RFKEA" TargetMode="External"/><Relationship Id="rId245" Type="http://schemas.openxmlformats.org/officeDocument/2006/relationships/hyperlink" Target="http://eltweb04.elta.iai/pls/iman_Production/link_to_iman?item_id=EC2216A/B%20GRAY%20KT2OZ" TargetMode="External"/><Relationship Id="rId266" Type="http://schemas.openxmlformats.org/officeDocument/2006/relationships/hyperlink" Target="http://eltweb04.elta.iai/pls/iman_Production/link_to_iman?item_id=HMC521ALC4" TargetMode="External"/><Relationship Id="rId287" Type="http://schemas.openxmlformats.org/officeDocument/2006/relationships/hyperlink" Target="http://eltweb04.elta.iai/pls/iman_Production/link_to_iman?item_id=LQG15HS2N7S02D" TargetMode="External"/><Relationship Id="rId410" Type="http://schemas.openxmlformats.org/officeDocument/2006/relationships/hyperlink" Target="http://eltweb04.elta.iai/pls/iman_Production/link_to_iman?item_id=TS0500S" TargetMode="External"/><Relationship Id="rId431" Type="http://schemas.openxmlformats.org/officeDocument/2006/relationships/hyperlink" Target="mailto:sarit@electro-ny.com" TargetMode="External"/><Relationship Id="rId30" Type="http://schemas.openxmlformats.org/officeDocument/2006/relationships/hyperlink" Target="http://eltweb04.elta.iai/pls/iman_Production/link_to_iman?item_id=1093H504-001" TargetMode="External"/><Relationship Id="rId105" Type="http://schemas.openxmlformats.org/officeDocument/2006/relationships/hyperlink" Target="http://eltweb04.elta.iai/pls/iman_Production/link_to_iman?item_id=BLM18EG601SN1D" TargetMode="External"/><Relationship Id="rId126" Type="http://schemas.openxmlformats.org/officeDocument/2006/relationships/hyperlink" Target="http://eltweb04.elta.iai/pls/iman_Production/link_to_iman?item_id=C0805C105K3RAL7025" TargetMode="External"/><Relationship Id="rId147" Type="http://schemas.openxmlformats.org/officeDocument/2006/relationships/hyperlink" Target="http://eltweb04.elta.iai/pls/iman_Production/link_to_iman?item_id=CL10C470GB8NNNC" TargetMode="External"/><Relationship Id="rId168" Type="http://schemas.openxmlformats.org/officeDocument/2006/relationships/hyperlink" Target="http://eltweb04.elta.iai/pls/iman_Production/link_to_iman?item_id=CRCW0402243RFKED" TargetMode="External"/><Relationship Id="rId312" Type="http://schemas.openxmlformats.org/officeDocument/2006/relationships/hyperlink" Target="http://eltweb04.elta.iai/pls/iman_Production/link_to_iman?item_id=MAX962ESA+" TargetMode="External"/><Relationship Id="rId333" Type="http://schemas.openxmlformats.org/officeDocument/2006/relationships/hyperlink" Target="http://eltweb04.elta.iai/pls/iman_Production/link_to_iman?item_id=MS35338-134" TargetMode="External"/><Relationship Id="rId354" Type="http://schemas.openxmlformats.org/officeDocument/2006/relationships/hyperlink" Target="http://eltweb04.elta.iai/pls/iman_Production/link_to_iman?item_id=NC7SZ32P5X" TargetMode="External"/><Relationship Id="rId51" Type="http://schemas.openxmlformats.org/officeDocument/2006/relationships/hyperlink" Target="http://eltweb04.elta.iai/pls/iman_Production/link_to_iman?item_id=19S16D-400L5" TargetMode="External"/><Relationship Id="rId72" Type="http://schemas.openxmlformats.org/officeDocument/2006/relationships/hyperlink" Target="http://eltweb04.elta.iai/pls/iman_Production/link_to_iman?item_id=70896-00" TargetMode="External"/><Relationship Id="rId93" Type="http://schemas.openxmlformats.org/officeDocument/2006/relationships/hyperlink" Target="http://eltweb04.elta.iai/pls/iman_Production/link_to_iman?item_id=ADT1-1WT+" TargetMode="External"/><Relationship Id="rId189" Type="http://schemas.openxmlformats.org/officeDocument/2006/relationships/hyperlink" Target="http://eltweb04.elta.iai/pls/iman_Production/link_to_iman?item_id=CRCW060310R0FKEA" TargetMode="External"/><Relationship Id="rId375" Type="http://schemas.openxmlformats.org/officeDocument/2006/relationships/hyperlink" Target="http://eltweb04.elta.iai/pls/iman_Production/link_to_iman?item_id=SCN-2-27+TR" TargetMode="External"/><Relationship Id="rId396" Type="http://schemas.openxmlformats.org/officeDocument/2006/relationships/hyperlink" Target="http://eltweb04.elta.iai/pls/iman_Production/link_to_iman?item_id=T491X336K025AH" TargetMode="External"/><Relationship Id="rId3" Type="http://schemas.openxmlformats.org/officeDocument/2006/relationships/hyperlink" Target="http://eltweb04.elta.iai/pls/iman_Production/link_to_iman?item_id=06035J4R7CBTTR" TargetMode="External"/><Relationship Id="rId214" Type="http://schemas.openxmlformats.org/officeDocument/2006/relationships/hyperlink" Target="http://eltweb04.elta.iai/pls/iman_Production/link_to_iman?item_id=CRCW060349K9FKEA" TargetMode="External"/><Relationship Id="rId235" Type="http://schemas.openxmlformats.org/officeDocument/2006/relationships/hyperlink" Target="http://eltweb04.elta.iai/pls/iman_Production/link_to_iman?item_id=D38999/33W21N" TargetMode="External"/><Relationship Id="rId256" Type="http://schemas.openxmlformats.org/officeDocument/2006/relationships/hyperlink" Target="http://eltweb04.elta.iai/pls/iman_Production/link_to_iman?item_id=HI1206P121R-10" TargetMode="External"/><Relationship Id="rId277" Type="http://schemas.openxmlformats.org/officeDocument/2006/relationships/hyperlink" Target="http://eltweb04.elta.iai/pls/iman_Production/link_to_iman?item_id=LFCN-1325+" TargetMode="External"/><Relationship Id="rId298" Type="http://schemas.openxmlformats.org/officeDocument/2006/relationships/hyperlink" Target="http://eltweb04.elta.iai/pls/iman_Production/link_to_iman?item_id=LQW18ANR18G00D" TargetMode="External"/><Relationship Id="rId400" Type="http://schemas.openxmlformats.org/officeDocument/2006/relationships/hyperlink" Target="http://eltweb04.elta.iai/pls/iman_Production/link_to_iman?item_id=TA0795A" TargetMode="External"/><Relationship Id="rId421" Type="http://schemas.openxmlformats.org/officeDocument/2006/relationships/hyperlink" Target="http://eltweb04.elta.iai/pls/iman_Production/link_to_iman?item_id=X2B" TargetMode="External"/><Relationship Id="rId116" Type="http://schemas.openxmlformats.org/officeDocument/2006/relationships/hyperlink" Target="http://eltweb04.elta.iai/pls/iman_Production/link_to_iman?item_id=C0603C103K4RACTU" TargetMode="External"/><Relationship Id="rId137" Type="http://schemas.openxmlformats.org/officeDocument/2006/relationships/hyperlink" Target="http://eltweb04.elta.iai/pls/iman_Production/link_to_iman?item_id=CL05B104KP5NNNC" TargetMode="External"/><Relationship Id="rId158" Type="http://schemas.openxmlformats.org/officeDocument/2006/relationships/hyperlink" Target="http://eltweb04.elta.iai/pls/iman_Production/link_to_iman?item_id=CRCW040210R0FKED" TargetMode="External"/><Relationship Id="rId302" Type="http://schemas.openxmlformats.org/officeDocument/2006/relationships/hyperlink" Target="http://eltweb04.elta.iai/pls/iman_Production/link_to_iman?item_id=LT1964IDD" TargetMode="External"/><Relationship Id="rId323" Type="http://schemas.openxmlformats.org/officeDocument/2006/relationships/hyperlink" Target="http://eltweb04.elta.iai/pls/iman_Production/link_to_iman?item_id=MM3Z5V1T1G" TargetMode="External"/><Relationship Id="rId344" Type="http://schemas.openxmlformats.org/officeDocument/2006/relationships/hyperlink" Target="http://eltweb04.elta.iai/pls/iman_Production/link_to_iman?item_id=N2510-5003-RB" TargetMode="External"/><Relationship Id="rId20" Type="http://schemas.openxmlformats.org/officeDocument/2006/relationships/hyperlink" Target="http://eltweb04.elta.iai/pls/iman_Production/link_to_iman?item_id=100A160FT150XTV" TargetMode="External"/><Relationship Id="rId41" Type="http://schemas.openxmlformats.org/officeDocument/2006/relationships/hyperlink" Target="http://eltweb04.elta.iai/pls/iman_Production/link_to_iman?item_id=1094W518-001" TargetMode="External"/><Relationship Id="rId62" Type="http://schemas.openxmlformats.org/officeDocument/2006/relationships/hyperlink" Target="http://eltweb04.elta.iai/pls/iman_Production/link_to_iman?item_id=594D107X0025R2T" TargetMode="External"/><Relationship Id="rId83" Type="http://schemas.openxmlformats.org/officeDocument/2006/relationships/hyperlink" Target="http://eltweb04.elta.iai/pls/iman_Production/link_to_iman?item_id=AD8332ACPZ-R7" TargetMode="External"/><Relationship Id="rId179" Type="http://schemas.openxmlformats.org/officeDocument/2006/relationships/hyperlink" Target="http://eltweb04.elta.iai/pls/iman_Production/link_to_iman?item_id=CRCW04024K32FKED" TargetMode="External"/><Relationship Id="rId365" Type="http://schemas.openxmlformats.org/officeDocument/2006/relationships/hyperlink" Target="http://eltweb04.elta.iai/pls/iman_Production/link_to_iman?item_id=QPA4586ATR13" TargetMode="External"/><Relationship Id="rId386" Type="http://schemas.openxmlformats.org/officeDocument/2006/relationships/hyperlink" Target="http://eltweb04.elta.iai/pls/iman_Production/link_to_iman?item_id=SN74LV4T125PWR" TargetMode="External"/><Relationship Id="rId190" Type="http://schemas.openxmlformats.org/officeDocument/2006/relationships/hyperlink" Target="http://eltweb04.elta.iai/pls/iman_Production/link_to_iman?item_id=CRCW060312K1FKEA" TargetMode="External"/><Relationship Id="rId204" Type="http://schemas.openxmlformats.org/officeDocument/2006/relationships/hyperlink" Target="http://eltweb04.elta.iai/pls/iman_Production/link_to_iman?item_id=CRCW06032K61FKEA" TargetMode="External"/><Relationship Id="rId225" Type="http://schemas.openxmlformats.org/officeDocument/2006/relationships/hyperlink" Target="http://eltweb04.elta.iai/pls/iman_Production/link_to_iman?item_id=CRCW060382R5FKEA" TargetMode="External"/><Relationship Id="rId246" Type="http://schemas.openxmlformats.org/officeDocument/2006/relationships/hyperlink" Target="http://eltweb04.elta.iai/pls/iman_Production/link_to_iman?item_id=EP4CE115F29I7" TargetMode="External"/><Relationship Id="rId267" Type="http://schemas.openxmlformats.org/officeDocument/2006/relationships/hyperlink" Target="http://eltweb04.elta.iai/pls/iman_Production/link_to_iman?item_id=HMC536MS8GE" TargetMode="External"/><Relationship Id="rId288" Type="http://schemas.openxmlformats.org/officeDocument/2006/relationships/hyperlink" Target="http://eltweb04.elta.iai/pls/iman_Production/link_to_iman?item_id=LQG15HS47NJ02D" TargetMode="External"/><Relationship Id="rId411" Type="http://schemas.openxmlformats.org/officeDocument/2006/relationships/hyperlink" Target="http://eltweb04.elta.iai/pls/iman_Production/link_to_iman?item_id=TS0501W3S/TR" TargetMode="External"/><Relationship Id="rId106" Type="http://schemas.openxmlformats.org/officeDocument/2006/relationships/hyperlink" Target="http://eltweb04.elta.iai/pls/iman_Production/link_to_iman?item_id=BLM18SG260TN1D" TargetMode="External"/><Relationship Id="rId127" Type="http://schemas.openxmlformats.org/officeDocument/2006/relationships/hyperlink" Target="http://eltweb04.elta.iai/pls/iman_Production/link_to_iman?item_id=C0805C183K5RALTM" TargetMode="External"/><Relationship Id="rId313" Type="http://schemas.openxmlformats.org/officeDocument/2006/relationships/hyperlink" Target="http://eltweb04.elta.iai/pls/iman_Production/link_to_iman?item_id=MAX999EUK+T" TargetMode="External"/><Relationship Id="rId10" Type="http://schemas.openxmlformats.org/officeDocument/2006/relationships/hyperlink" Target="http://eltweb04.elta.iai/pls/iman_Production/link_to_iman?item_id=0805ZC106KAT2A" TargetMode="External"/><Relationship Id="rId31" Type="http://schemas.openxmlformats.org/officeDocument/2006/relationships/hyperlink" Target="http://eltweb04.elta.iai/pls/iman_Production/link_to_iman?item_id=1094G021-001" TargetMode="External"/><Relationship Id="rId52" Type="http://schemas.openxmlformats.org/officeDocument/2006/relationships/hyperlink" Target="http://eltweb04.elta.iai/pls/iman_Production/link_to_iman?item_id=19S16N-400L5" TargetMode="External"/><Relationship Id="rId73" Type="http://schemas.openxmlformats.org/officeDocument/2006/relationships/hyperlink" Target="http://eltweb04.elta.iai/pls/iman_Production/link_to_iman?item_id=74LVT125PW.118" TargetMode="External"/><Relationship Id="rId94" Type="http://schemas.openxmlformats.org/officeDocument/2006/relationships/hyperlink" Target="http://eltweb04.elta.iai/pls/iman_Production/link_to_iman?item_id=AM26LV31ESDREP" TargetMode="External"/><Relationship Id="rId148" Type="http://schemas.openxmlformats.org/officeDocument/2006/relationships/hyperlink" Target="http://eltweb04.elta.iai/pls/iman_Production/link_to_iman?item_id=CL10C680GB8NNNC" TargetMode="External"/><Relationship Id="rId169" Type="http://schemas.openxmlformats.org/officeDocument/2006/relationships/hyperlink" Target="http://eltweb04.elta.iai/pls/iman_Production/link_to_iman?item_id=CRCW040224R3FKED" TargetMode="External"/><Relationship Id="rId334" Type="http://schemas.openxmlformats.org/officeDocument/2006/relationships/hyperlink" Target="http://eltweb04.elta.iai/pls/iman_Production/link_to_iman?item_id=MS35338-135" TargetMode="External"/><Relationship Id="rId355" Type="http://schemas.openxmlformats.org/officeDocument/2006/relationships/hyperlink" Target="http://eltweb04.elta.iai/pls/iman_Production/link_to_iman?item_id=NFM18HC105C1C3D" TargetMode="External"/><Relationship Id="rId376" Type="http://schemas.openxmlformats.org/officeDocument/2006/relationships/hyperlink" Target="http://eltweb04.elta.iai/pls/iman_Production/link_to_iman?item_id=SCN-2-35+" TargetMode="External"/><Relationship Id="rId397" Type="http://schemas.openxmlformats.org/officeDocument/2006/relationships/hyperlink" Target="http://eltweb04.elta.iai/pls/iman_Production/link_to_iman?item_id=T543O686M040ATE035" TargetMode="External"/><Relationship Id="rId4" Type="http://schemas.openxmlformats.org/officeDocument/2006/relationships/hyperlink" Target="http://eltweb04.elta.iai/pls/iman_Production/link_to_iman?item_id=0603CS-10NXGLW" TargetMode="External"/><Relationship Id="rId180" Type="http://schemas.openxmlformats.org/officeDocument/2006/relationships/hyperlink" Target="http://eltweb04.elta.iai/pls/iman_Production/link_to_iman?item_id=CRCW04024K75FKED" TargetMode="External"/><Relationship Id="rId215" Type="http://schemas.openxmlformats.org/officeDocument/2006/relationships/hyperlink" Target="http://eltweb04.elta.iai/pls/iman_Production/link_to_iman?item_id=CRCW060349R9FKEA" TargetMode="External"/><Relationship Id="rId236" Type="http://schemas.openxmlformats.org/officeDocument/2006/relationships/hyperlink" Target="http://eltweb04.elta.iai/pls/iman_Production/link_to_iman?item_id=DDMM50P-F179" TargetMode="External"/><Relationship Id="rId257" Type="http://schemas.openxmlformats.org/officeDocument/2006/relationships/hyperlink" Target="http://eltweb04.elta.iai/pls/iman_Production/link_to_iman?item_id=HMC213BMS8E" TargetMode="External"/><Relationship Id="rId278" Type="http://schemas.openxmlformats.org/officeDocument/2006/relationships/hyperlink" Target="http://eltweb04.elta.iai/pls/iman_Production/link_to_iman?item_id=LFCN-225+" TargetMode="External"/><Relationship Id="rId401" Type="http://schemas.openxmlformats.org/officeDocument/2006/relationships/hyperlink" Target="http://eltweb04.elta.iai/pls/iman_Production/link_to_iman?item_id=TA0877A" TargetMode="External"/><Relationship Id="rId422" Type="http://schemas.openxmlformats.org/officeDocument/2006/relationships/hyperlink" Target="http://eltweb04.elta.iai/pls/iman_Production/link_to_iman?item_id=X3C30F1-20S" TargetMode="External"/><Relationship Id="rId303" Type="http://schemas.openxmlformats.org/officeDocument/2006/relationships/hyperlink" Target="http://eltweb04.elta.iai/pls/iman_Production/link_to_iman?item_id=LT6604IUFF-15PBF" TargetMode="External"/><Relationship Id="rId42" Type="http://schemas.openxmlformats.org/officeDocument/2006/relationships/hyperlink" Target="http://eltweb04.elta.iai/pls/iman_Production/link_to_iman?item_id=1094W519-001" TargetMode="External"/><Relationship Id="rId84" Type="http://schemas.openxmlformats.org/officeDocument/2006/relationships/hyperlink" Target="http://eltweb04.elta.iai/pls/iman_Production/link_to_iman?item_id=AD9222ABCPZ-65" TargetMode="External"/><Relationship Id="rId138" Type="http://schemas.openxmlformats.org/officeDocument/2006/relationships/hyperlink" Target="http://eltweb04.elta.iai/pls/iman_Production/link_to_iman?item_id=CL05C010BB5NNNC" TargetMode="External"/><Relationship Id="rId345" Type="http://schemas.openxmlformats.org/officeDocument/2006/relationships/hyperlink" Target="http://eltweb04.elta.iai/pls/iman_Production/link_to_iman?item_id=N7E50-C516PK30" TargetMode="External"/><Relationship Id="rId387" Type="http://schemas.openxmlformats.org/officeDocument/2006/relationships/hyperlink" Target="http://eltweb04.elta.iai/pls/iman_Production/link_to_iman?item_id=SN74LVC1G07DCKT" TargetMode="External"/><Relationship Id="rId191" Type="http://schemas.openxmlformats.org/officeDocument/2006/relationships/hyperlink" Target="http://eltweb04.elta.iai/pls/iman_Production/link_to_iman?item_id=CRCW0603137RFKEA" TargetMode="External"/><Relationship Id="rId205" Type="http://schemas.openxmlformats.org/officeDocument/2006/relationships/hyperlink" Target="http://eltweb04.elta.iai/pls/iman_Production/link_to_iman?item_id=CRCW060337K4FKEA" TargetMode="External"/><Relationship Id="rId247" Type="http://schemas.openxmlformats.org/officeDocument/2006/relationships/hyperlink" Target="http://eltweb04.elta.iai/pls/iman_Production/link_to_iman?item_id=EPCQ64ASI16N" TargetMode="External"/><Relationship Id="rId412" Type="http://schemas.openxmlformats.org/officeDocument/2006/relationships/hyperlink" Target="http://eltweb04.elta.iai/pls/iman_Production/link_to_iman?item_id=TS0502W3S" TargetMode="External"/><Relationship Id="rId107" Type="http://schemas.openxmlformats.org/officeDocument/2006/relationships/hyperlink" Target="http://eltweb04.elta.iai/pls/iman_Production/link_to_iman?item_id=BLM31PG500SN1L" TargetMode="External"/><Relationship Id="rId289" Type="http://schemas.openxmlformats.org/officeDocument/2006/relationships/hyperlink" Target="http://eltweb04.elta.iai/pls/iman_Production/link_to_iman?item_id=LQW18AN10NG00D" TargetMode="External"/><Relationship Id="rId11" Type="http://schemas.openxmlformats.org/officeDocument/2006/relationships/hyperlink" Target="http://eltweb04.elta.iai/pls/iman_Production/link_to_iman?item_id=10-407552-55" TargetMode="External"/><Relationship Id="rId53" Type="http://schemas.openxmlformats.org/officeDocument/2006/relationships/hyperlink" Target="http://eltweb04.elta.iai/pls/iman_Production/link_to_iman?item_id=242%2050CC" TargetMode="External"/><Relationship Id="rId149" Type="http://schemas.openxmlformats.org/officeDocument/2006/relationships/hyperlink" Target="http://eltweb04.elta.iai/pls/iman_Production/link_to_iman?item_id=CL31B106KOHNNNE" TargetMode="External"/><Relationship Id="rId314" Type="http://schemas.openxmlformats.org/officeDocument/2006/relationships/hyperlink" Target="http://eltweb04.elta.iai/pls/iman_Production/link_to_iman?item_id=MBB0502X104MGN1N8-8" TargetMode="External"/><Relationship Id="rId356" Type="http://schemas.openxmlformats.org/officeDocument/2006/relationships/hyperlink" Target="http://eltweb04.elta.iai/pls/iman_Production/link_to_iman?item_id=NGC-1206CS50R0G" TargetMode="External"/><Relationship Id="rId398" Type="http://schemas.openxmlformats.org/officeDocument/2006/relationships/hyperlink" Target="http://eltweb04.elta.iai/pls/iman_Production/link_to_iman?item_id=T55B107M6R3C0040" TargetMode="External"/><Relationship Id="rId95" Type="http://schemas.openxmlformats.org/officeDocument/2006/relationships/hyperlink" Target="http://eltweb04.elta.iai/pls/iman_Production/link_to_iman?item_id=AM26LV32EMDREP" TargetMode="External"/><Relationship Id="rId160" Type="http://schemas.openxmlformats.org/officeDocument/2006/relationships/hyperlink" Target="http://eltweb04.elta.iai/pls/iman_Production/link_to_iman?item_id=CRCW0402130RFKED" TargetMode="External"/><Relationship Id="rId216" Type="http://schemas.openxmlformats.org/officeDocument/2006/relationships/hyperlink" Target="http://eltweb04.elta.iai/pls/iman_Production/link_to_iman?item_id=CRCW06034K75FKEA" TargetMode="External"/><Relationship Id="rId423" Type="http://schemas.openxmlformats.org/officeDocument/2006/relationships/hyperlink" Target="mailto:doronw@asco.co.il" TargetMode="External"/><Relationship Id="rId258" Type="http://schemas.openxmlformats.org/officeDocument/2006/relationships/hyperlink" Target="http://eltweb04.elta.iai/pls/iman_Production/link_to_iman?item_id=HMC220BMS8GE" TargetMode="External"/><Relationship Id="rId22" Type="http://schemas.openxmlformats.org/officeDocument/2006/relationships/hyperlink" Target="http://eltweb04.elta.iai/pls/iman_Production/link_to_iman?item_id=100A390GT150XTV" TargetMode="External"/><Relationship Id="rId64" Type="http://schemas.openxmlformats.org/officeDocument/2006/relationships/hyperlink" Target="http://eltweb04.elta.iai/pls/iman_Production/link_to_iman?item_id=6469074-1" TargetMode="External"/><Relationship Id="rId118" Type="http://schemas.openxmlformats.org/officeDocument/2006/relationships/hyperlink" Target="http://eltweb04.elta.iai/pls/iman_Production/link_to_iman?item_id=C0603C104K5RAC7867" TargetMode="External"/><Relationship Id="rId325" Type="http://schemas.openxmlformats.org/officeDocument/2006/relationships/hyperlink" Target="http://eltweb04.elta.iai/pls/iman_Production/link_to_iman?item_id=MM8430-2610RA1" TargetMode="External"/><Relationship Id="rId367" Type="http://schemas.openxmlformats.org/officeDocument/2006/relationships/hyperlink" Target="http://eltweb04.elta.iai/pls/iman_Production/link_to_iman?item_id=ROS-3050-819+" TargetMode="External"/><Relationship Id="rId171" Type="http://schemas.openxmlformats.org/officeDocument/2006/relationships/hyperlink" Target="http://eltweb04.elta.iai/pls/iman_Production/link_to_iman?item_id=CRCW04022K00FKED" TargetMode="External"/><Relationship Id="rId227" Type="http://schemas.openxmlformats.org/officeDocument/2006/relationships/hyperlink" Target="http://eltweb04.elta.iai/pls/iman_Production/link_to_iman?item_id=CRCW080520R0FKEA" TargetMode="External"/><Relationship Id="rId269" Type="http://schemas.openxmlformats.org/officeDocument/2006/relationships/hyperlink" Target="http://eltweb04.elta.iai/pls/iman_Production/link_to_iman?item_id=HMC564LC4TR" TargetMode="External"/><Relationship Id="rId33" Type="http://schemas.openxmlformats.org/officeDocument/2006/relationships/hyperlink" Target="http://eltweb04.elta.iai/pls/iman_Production/link_to_iman?item_id=1094W509-002" TargetMode="External"/><Relationship Id="rId129" Type="http://schemas.openxmlformats.org/officeDocument/2006/relationships/hyperlink" Target="http://eltweb04.elta.iai/pls/iman_Production/link_to_iman?item_id=C0805C475K4RAC7025" TargetMode="External"/><Relationship Id="rId280" Type="http://schemas.openxmlformats.org/officeDocument/2006/relationships/hyperlink" Target="http://eltweb04.elta.iai/pls/iman_Production/link_to_iman?item_id=LFCN-630+TR" TargetMode="External"/><Relationship Id="rId336" Type="http://schemas.openxmlformats.org/officeDocument/2006/relationships/hyperlink" Target="http://eltweb04.elta.iai/pls/iman_Production/link_to_iman?item_id=MS51957-14" TargetMode="External"/><Relationship Id="rId75" Type="http://schemas.openxmlformats.org/officeDocument/2006/relationships/hyperlink" Target="http://eltweb04.elta.iai/pls/iman_Production/link_to_iman?item_id=9DBL0443ANLGI" TargetMode="External"/><Relationship Id="rId140" Type="http://schemas.openxmlformats.org/officeDocument/2006/relationships/hyperlink" Target="http://eltweb04.elta.iai/pls/iman_Production/link_to_iman?item_id=CL10B102KB8NNNC" TargetMode="External"/><Relationship Id="rId182" Type="http://schemas.openxmlformats.org/officeDocument/2006/relationships/hyperlink" Target="http://eltweb04.elta.iai/pls/iman_Production/link_to_iman?item_id=CRCW040275R0FKED" TargetMode="External"/><Relationship Id="rId378" Type="http://schemas.openxmlformats.org/officeDocument/2006/relationships/hyperlink" Target="http://eltweb04.elta.iai/pls/iman_Production/link_to_iman?item_id=SIZ250DT-T1-GE3" TargetMode="External"/><Relationship Id="rId403" Type="http://schemas.openxmlformats.org/officeDocument/2006/relationships/hyperlink" Target="http://eltweb04.elta.iai/pls/iman_Production/link_to_iman?item_id=TFM-125-02-S-D-A-K-TR" TargetMode="External"/><Relationship Id="rId6" Type="http://schemas.openxmlformats.org/officeDocument/2006/relationships/hyperlink" Target="http://eltweb04.elta.iai/pls/iman_Production/link_to_iman?item_id=0603CS-3N3XGLW" TargetMode="External"/><Relationship Id="rId238" Type="http://schemas.openxmlformats.org/officeDocument/2006/relationships/hyperlink" Target="http://eltweb04.elta.iai/pls/iman_Production/link_to_iman?item_id=DLW21SN900SQ2L" TargetMode="External"/><Relationship Id="rId291" Type="http://schemas.openxmlformats.org/officeDocument/2006/relationships/hyperlink" Target="http://eltweb04.elta.iai/pls/iman_Production/link_to_iman?item_id=LQW18AN33NG00D" TargetMode="External"/><Relationship Id="rId305" Type="http://schemas.openxmlformats.org/officeDocument/2006/relationships/hyperlink" Target="http://eltweb04.elta.iai/pls/iman_Production/link_to_iman?item_id=LTC5532ES6" TargetMode="External"/><Relationship Id="rId347" Type="http://schemas.openxmlformats.org/officeDocument/2006/relationships/hyperlink" Target="http://eltweb04.elta.iai/pls/iman_Production/link_to_iman?item_id=NAS620C4" TargetMode="External"/><Relationship Id="rId44" Type="http://schemas.openxmlformats.org/officeDocument/2006/relationships/hyperlink" Target="http://eltweb04.elta.iai/pls/iman_Production/link_to_iman?item_id=1094W524-001" TargetMode="External"/><Relationship Id="rId86" Type="http://schemas.openxmlformats.org/officeDocument/2006/relationships/hyperlink" Target="http://eltweb04.elta.iai/pls/iman_Production/link_to_iman?item_id=AD9910BSVZ" TargetMode="External"/><Relationship Id="rId151" Type="http://schemas.openxmlformats.org/officeDocument/2006/relationships/hyperlink" Target="http://eltweb04.elta.iai/pls/iman_Production/link_to_iman?item_id=CP0402A4500CLTR" TargetMode="External"/><Relationship Id="rId389" Type="http://schemas.openxmlformats.org/officeDocument/2006/relationships/hyperlink" Target="http://eltweb04.elta.iai/pls/iman_Production/link_to_iman?item_id=SN74LVCH244APW" TargetMode="External"/><Relationship Id="rId193" Type="http://schemas.openxmlformats.org/officeDocument/2006/relationships/hyperlink" Target="http://eltweb04.elta.iai/pls/iman_Production/link_to_iman?item_id=CRCW06031K00FKEA" TargetMode="External"/><Relationship Id="rId207" Type="http://schemas.openxmlformats.org/officeDocument/2006/relationships/hyperlink" Target="http://eltweb04.elta.iai/pls/iman_Production/link_to_iman?item_id=CRCW06033K01FKEA" TargetMode="External"/><Relationship Id="rId249" Type="http://schemas.openxmlformats.org/officeDocument/2006/relationships/hyperlink" Target="http://eltweb04.elta.iai/pls/iman_Production/link_to_iman?item_id=ETC1-1-13TR" TargetMode="External"/><Relationship Id="rId414" Type="http://schemas.openxmlformats.org/officeDocument/2006/relationships/hyperlink" Target="http://eltweb04.elta.iai/pls/iman_Production/link_to_iman?item_id=TS0507S" TargetMode="External"/><Relationship Id="rId13" Type="http://schemas.openxmlformats.org/officeDocument/2006/relationships/hyperlink" Target="http://eltweb04.elta.iai/pls/iman_Production/link_to_iman?item_id=1008-820K-TR" TargetMode="External"/><Relationship Id="rId109" Type="http://schemas.openxmlformats.org/officeDocument/2006/relationships/hyperlink" Target="http://eltweb04.elta.iai/pls/iman_Production/link_to_iman?item_id=C0402C101J3GACTU" TargetMode="External"/><Relationship Id="rId260" Type="http://schemas.openxmlformats.org/officeDocument/2006/relationships/hyperlink" Target="http://eltweb04.elta.iai/pls/iman_Production/link_to_iman?item_id=HMC424ALP3ETR" TargetMode="External"/><Relationship Id="rId316" Type="http://schemas.openxmlformats.org/officeDocument/2006/relationships/hyperlink" Target="http://eltweb04.elta.iai/pls/iman_Production/link_to_iman?item_id=MC100EP40DTG" TargetMode="External"/><Relationship Id="rId55" Type="http://schemas.openxmlformats.org/officeDocument/2006/relationships/hyperlink" Target="http://eltweb04.elta.iai/pls/iman_Production/link_to_iman?item_id=293D107X9010D2TE3" TargetMode="External"/><Relationship Id="rId97" Type="http://schemas.openxmlformats.org/officeDocument/2006/relationships/hyperlink" Target="http://eltweb04.elta.iai/pls/iman_Production/link_to_iman?item_id=AT24CM01-XHM-B" TargetMode="External"/><Relationship Id="rId120" Type="http://schemas.openxmlformats.org/officeDocument/2006/relationships/hyperlink" Target="http://eltweb04.elta.iai/pls/iman_Production/link_to_iman?item_id=C0603C122K5RACTU" TargetMode="External"/><Relationship Id="rId358" Type="http://schemas.openxmlformats.org/officeDocument/2006/relationships/hyperlink" Target="http://eltweb04.elta.iai/pls/iman_Production/link_to_iman?item_id=PCA9517ADP.118" TargetMode="External"/><Relationship Id="rId162" Type="http://schemas.openxmlformats.org/officeDocument/2006/relationships/hyperlink" Target="http://eltweb04.elta.iai/pls/iman_Production/link_to_iman?item_id=CRCW040217R8FKED" TargetMode="External"/><Relationship Id="rId218" Type="http://schemas.openxmlformats.org/officeDocument/2006/relationships/hyperlink" Target="http://eltweb04.elta.iai/pls/iman_Production/link_to_iman?item_id=CRCW06035K11FKTA" TargetMode="External"/><Relationship Id="rId425" Type="http://schemas.openxmlformats.org/officeDocument/2006/relationships/hyperlink" Target="mailto:nivk@mtisummit.co.il" TargetMode="External"/><Relationship Id="rId271" Type="http://schemas.openxmlformats.org/officeDocument/2006/relationships/hyperlink" Target="http://eltweb04.elta.iai/pls/iman_Production/link_to_iman?item_id=HSMS-C680" TargetMode="External"/><Relationship Id="rId24" Type="http://schemas.openxmlformats.org/officeDocument/2006/relationships/hyperlink" Target="http://eltweb04.elta.iai/pls/iman_Production/link_to_iman?item_id=1022L208-001" TargetMode="External"/><Relationship Id="rId66" Type="http://schemas.openxmlformats.org/officeDocument/2006/relationships/hyperlink" Target="http://eltweb04.elta.iai/pls/iman_Production/link_to_iman?item_id=6930B622-001" TargetMode="External"/><Relationship Id="rId131" Type="http://schemas.openxmlformats.org/officeDocument/2006/relationships/hyperlink" Target="http://eltweb04.elta.iai/pls/iman_Production/link_to_iman?item_id=C1005X7R1H104K050BB" TargetMode="External"/><Relationship Id="rId327" Type="http://schemas.openxmlformats.org/officeDocument/2006/relationships/hyperlink" Target="http://eltweb04.elta.iai/pls/iman_Production/link_to_iman?item_id=MMBT2222ALT1G" TargetMode="External"/><Relationship Id="rId369" Type="http://schemas.openxmlformats.org/officeDocument/2006/relationships/hyperlink" Target="http://eltweb04.elta.iai/pls/iman_Production/link_to_iman?item_id=RTV%20167-2.8%20FL/OZ" TargetMode="External"/><Relationship Id="rId173" Type="http://schemas.openxmlformats.org/officeDocument/2006/relationships/hyperlink" Target="http://eltweb04.elta.iai/pls/iman_Production/link_to_iman?item_id=CRCW0402332RFKED" TargetMode="External"/><Relationship Id="rId229" Type="http://schemas.openxmlformats.org/officeDocument/2006/relationships/hyperlink" Target="http://eltweb04.elta.iai/pls/iman_Production/link_to_iman?item_id=CRCW080590R9FKEA" TargetMode="External"/><Relationship Id="rId380" Type="http://schemas.openxmlformats.org/officeDocument/2006/relationships/hyperlink" Target="http://eltweb04.elta.iai/pls/iman_Production/link_to_iman?item_id=SMBJ12A/TR" TargetMode="External"/><Relationship Id="rId240" Type="http://schemas.openxmlformats.org/officeDocument/2006/relationships/hyperlink" Target="http://eltweb04.elta.iai/pls/iman_Production/link_to_iman?item_id=DS1682S+" TargetMode="External"/><Relationship Id="rId35" Type="http://schemas.openxmlformats.org/officeDocument/2006/relationships/hyperlink" Target="http://eltweb04.elta.iai/pls/iman_Production/link_to_iman?item_id=1094W511-002" TargetMode="External"/><Relationship Id="rId77" Type="http://schemas.openxmlformats.org/officeDocument/2006/relationships/hyperlink" Target="http://eltweb04.elta.iai/pls/iman_Production/link_to_iman?item_id=AD5628BRUZ-2" TargetMode="External"/><Relationship Id="rId100" Type="http://schemas.openxmlformats.org/officeDocument/2006/relationships/hyperlink" Target="http://eltweb04.elta.iai/pls/iman_Production/link_to_iman?item_id=BAT54WS-E3-08" TargetMode="External"/><Relationship Id="rId282" Type="http://schemas.openxmlformats.org/officeDocument/2006/relationships/hyperlink" Target="http://eltweb04.elta.iai/pls/iman_Production/link_to_iman?item_id=LM5113QDPRRQ1" TargetMode="External"/><Relationship Id="rId338" Type="http://schemas.openxmlformats.org/officeDocument/2006/relationships/hyperlink" Target="http://eltweb04.elta.iai/pls/iman_Production/link_to_iman?item_id=MS51957-4" TargetMode="External"/><Relationship Id="rId8" Type="http://schemas.openxmlformats.org/officeDocument/2006/relationships/hyperlink" Target="http://eltweb04.elta.iai/pls/iman_Production/link_to_iman?item_id=0603LS-122XGRC" TargetMode="External"/><Relationship Id="rId142" Type="http://schemas.openxmlformats.org/officeDocument/2006/relationships/hyperlink" Target="http://eltweb04.elta.iai/pls/iman_Production/link_to_iman?item_id=CL10B104KO8NNNC" TargetMode="External"/><Relationship Id="rId184" Type="http://schemas.openxmlformats.org/officeDocument/2006/relationships/hyperlink" Target="http://eltweb04.elta.iai/pls/iman_Production/link_to_iman?item_id=CRCW040290R9FKED" TargetMode="External"/><Relationship Id="rId391" Type="http://schemas.openxmlformats.org/officeDocument/2006/relationships/hyperlink" Target="http://eltweb04.elta.iai/pls/iman_Production/link_to_iman?item_id=SY89833ALMG" TargetMode="External"/><Relationship Id="rId405" Type="http://schemas.openxmlformats.org/officeDocument/2006/relationships/hyperlink" Target="http://eltweb04.elta.iai/pls/iman_Production/link_to_iman?item_id=TGL2201-SM%20T/R" TargetMode="External"/><Relationship Id="rId251" Type="http://schemas.openxmlformats.org/officeDocument/2006/relationships/hyperlink" Target="http://eltweb04.elta.iai/pls/iman_Production/link_to_iman?item_id=FT1033-15L" TargetMode="External"/><Relationship Id="rId46" Type="http://schemas.openxmlformats.org/officeDocument/2006/relationships/hyperlink" Target="http://eltweb04.elta.iai/pls/iman_Production/link_to_iman?item_id=1206CS-561XGLC" TargetMode="External"/><Relationship Id="rId293" Type="http://schemas.openxmlformats.org/officeDocument/2006/relationships/hyperlink" Target="http://eltweb04.elta.iai/pls/iman_Production/link_to_iman?item_id=LQW18AN56NG00D" TargetMode="External"/><Relationship Id="rId307" Type="http://schemas.openxmlformats.org/officeDocument/2006/relationships/hyperlink" Target="http://eltweb04.elta.iai/pls/iman_Production/link_to_iman?item_id=MA144769-287T" TargetMode="External"/><Relationship Id="rId349" Type="http://schemas.openxmlformats.org/officeDocument/2006/relationships/hyperlink" Target="http://eltweb04.elta.iai/pls/iman_Production/link_to_iman?item_id=NAS671C2" TargetMode="External"/><Relationship Id="rId88" Type="http://schemas.openxmlformats.org/officeDocument/2006/relationships/hyperlink" Target="http://eltweb04.elta.iai/pls/iman_Production/link_to_iman?item_id=ADEX-10L+" TargetMode="External"/><Relationship Id="rId111" Type="http://schemas.openxmlformats.org/officeDocument/2006/relationships/hyperlink" Target="http://eltweb04.elta.iai/pls/iman_Production/link_to_iman?item_id=C0402C103K3RAC7867" TargetMode="External"/><Relationship Id="rId153" Type="http://schemas.openxmlformats.org/officeDocument/2006/relationships/hyperlink" Target="http://eltweb04.elta.iai/pls/iman_Production/link_to_iman?item_id=CR0603-J/-6R2-ELF" TargetMode="External"/><Relationship Id="rId195" Type="http://schemas.openxmlformats.org/officeDocument/2006/relationships/hyperlink" Target="http://eltweb04.elta.iai/pls/iman_Production/link_to_iman?item_id=CRCW06031K30FKEA" TargetMode="External"/><Relationship Id="rId209" Type="http://schemas.openxmlformats.org/officeDocument/2006/relationships/hyperlink" Target="http://eltweb04.elta.iai/pls/iman_Production/link_to_iman?item_id=CRCW06033R00FKEA" TargetMode="External"/><Relationship Id="rId360" Type="http://schemas.openxmlformats.org/officeDocument/2006/relationships/hyperlink" Target="http://eltweb04.elta.iai/pls/iman_Production/link_to_iman?item_id=PHA-1+" TargetMode="External"/><Relationship Id="rId416" Type="http://schemas.openxmlformats.org/officeDocument/2006/relationships/hyperlink" Target="http://eltweb04.elta.iai/pls/iman_Production/link_to_iman?item_id=TVA-0300N09S" TargetMode="External"/><Relationship Id="rId220" Type="http://schemas.openxmlformats.org/officeDocument/2006/relationships/hyperlink" Target="http://eltweb04.elta.iai/pls/iman_Production/link_to_iman?item_id=CRCW060366K5FKEA" TargetMode="External"/><Relationship Id="rId15" Type="http://schemas.openxmlformats.org/officeDocument/2006/relationships/hyperlink" Target="http://eltweb04.elta.iai/pls/iman_Production/link_to_iman?item_id=1008CS-271XGLC" TargetMode="External"/><Relationship Id="rId57" Type="http://schemas.openxmlformats.org/officeDocument/2006/relationships/hyperlink" Target="http://eltweb04.elta.iai/pls/iman_Production/link_to_iman?item_id=293D686X9020D2TE3" TargetMode="External"/><Relationship Id="rId262" Type="http://schemas.openxmlformats.org/officeDocument/2006/relationships/hyperlink" Target="http://eltweb04.elta.iai/pls/iman_Production/link_to_iman?item_id=HMC434E" TargetMode="External"/><Relationship Id="rId318" Type="http://schemas.openxmlformats.org/officeDocument/2006/relationships/hyperlink" Target="http://eltweb04.elta.iai/pls/iman_Production/link_to_iman?item_id=MC74ACT04DR2G" TargetMode="External"/><Relationship Id="rId99" Type="http://schemas.openxmlformats.org/officeDocument/2006/relationships/hyperlink" Target="http://eltweb04.elta.iai/pls/iman_Production/link_to_iman?item_id=BAS3010A-03WE6327HTSA1" TargetMode="External"/><Relationship Id="rId122" Type="http://schemas.openxmlformats.org/officeDocument/2006/relationships/hyperlink" Target="http://eltweb04.elta.iai/pls/iman_Production/link_to_iman?item_id=C0603C220G5GALTU" TargetMode="External"/><Relationship Id="rId164" Type="http://schemas.openxmlformats.org/officeDocument/2006/relationships/hyperlink" Target="http://eltweb04.elta.iai/pls/iman_Production/link_to_iman?item_id=CRCW04021K21FKED" TargetMode="External"/><Relationship Id="rId371" Type="http://schemas.openxmlformats.org/officeDocument/2006/relationships/hyperlink" Target="http://eltweb04.elta.iai/pls/iman_Production/link_to_iman?item_id=SBB-3089Z" TargetMode="External"/><Relationship Id="rId427" Type="http://schemas.openxmlformats.org/officeDocument/2006/relationships/hyperlink" Target="mailto:nivk@mtisummit.co.il" TargetMode="External"/><Relationship Id="rId26" Type="http://schemas.openxmlformats.org/officeDocument/2006/relationships/hyperlink" Target="http://eltweb04.elta.iai/pls/iman_Production/link_to_iman?item_id=1022L485-002" TargetMode="External"/><Relationship Id="rId231" Type="http://schemas.openxmlformats.org/officeDocument/2006/relationships/hyperlink" Target="http://eltweb04.elta.iai/pls/iman_Production/link_to_iman?item_id=CRCW1206432RFKEA" TargetMode="External"/><Relationship Id="rId273" Type="http://schemas.openxmlformats.org/officeDocument/2006/relationships/hyperlink" Target="http://eltweb04.elta.iai/pls/iman_Production/link_to_iman?item_id=IHLP2525CZER1R0M01" TargetMode="External"/><Relationship Id="rId329" Type="http://schemas.openxmlformats.org/officeDocument/2006/relationships/hyperlink" Target="http://eltweb04.elta.iai/pls/iman_Production/link_to_iman?item_id=MS15795-802" TargetMode="External"/><Relationship Id="rId68" Type="http://schemas.openxmlformats.org/officeDocument/2006/relationships/hyperlink" Target="http://eltweb04.elta.iai/pls/iman_Production/link_to_iman?item_id=700A121JT150XTV" TargetMode="External"/><Relationship Id="rId133" Type="http://schemas.openxmlformats.org/officeDocument/2006/relationships/hyperlink" Target="http://eltweb04.elta.iai/pls/iman_Production/link_to_iman?item_id=C1206C224K5RAC7800" TargetMode="External"/><Relationship Id="rId175" Type="http://schemas.openxmlformats.org/officeDocument/2006/relationships/hyperlink" Target="http://eltweb04.elta.iai/pls/iman_Production/link_to_iman?item_id=CRCW04023K01FKED" TargetMode="External"/><Relationship Id="rId340" Type="http://schemas.openxmlformats.org/officeDocument/2006/relationships/hyperlink" Target="http://eltweb04.elta.iai/pls/iman_Production/link_to_iman?item_id=MT25QL128ABA8ESF-0AAT" TargetMode="External"/><Relationship Id="rId200" Type="http://schemas.openxmlformats.org/officeDocument/2006/relationships/hyperlink" Target="http://eltweb04.elta.iai/pls/iman_Production/link_to_iman?item_id=CRCW060320R0FKEA" TargetMode="External"/><Relationship Id="rId382" Type="http://schemas.openxmlformats.org/officeDocument/2006/relationships/hyperlink" Target="http://eltweb04.elta.iai/pls/iman_Production/link_to_iman?item_id=SMBJ5.0AE3/52" TargetMode="External"/><Relationship Id="rId242" Type="http://schemas.openxmlformats.org/officeDocument/2006/relationships/hyperlink" Target="http://eltweb04.elta.iai/pls/iman_Production/link_to_iman?item_id=DS90LV017ATM/NOPB" TargetMode="External"/><Relationship Id="rId284" Type="http://schemas.openxmlformats.org/officeDocument/2006/relationships/hyperlink" Target="http://eltweb04.elta.iai/pls/iman_Production/link_to_iman?item_id=LQG15HS15NJ02D" TargetMode="External"/><Relationship Id="rId37" Type="http://schemas.openxmlformats.org/officeDocument/2006/relationships/hyperlink" Target="http://eltweb04.elta.iai/pls/iman_Production/link_to_iman?item_id=1094W514-001" TargetMode="External"/><Relationship Id="rId79" Type="http://schemas.openxmlformats.org/officeDocument/2006/relationships/hyperlink" Target="http://eltweb04.elta.iai/pls/iman_Production/link_to_iman?item_id=AD7928BRUZ-REEL7" TargetMode="External"/><Relationship Id="rId102" Type="http://schemas.openxmlformats.org/officeDocument/2006/relationships/hyperlink" Target="http://eltweb04.elta.iai/pls/iman_Production/link_to_iman?item_id=BLM15EG121SN1D" TargetMode="External"/><Relationship Id="rId144" Type="http://schemas.openxmlformats.org/officeDocument/2006/relationships/hyperlink" Target="http://eltweb04.elta.iai/pls/iman_Production/link_to_iman?item_id=CL10B332KB8NNNC" TargetMode="External"/><Relationship Id="rId90" Type="http://schemas.openxmlformats.org/officeDocument/2006/relationships/hyperlink" Target="http://eltweb04.elta.iai/pls/iman_Production/link_to_iman?item_id=ADG918BCPZ-500RL7" TargetMode="External"/><Relationship Id="rId186" Type="http://schemas.openxmlformats.org/officeDocument/2006/relationships/hyperlink" Target="http://eltweb04.elta.iai/pls/iman_Production/link_to_iman?item_id=CRCW0603100KFKEA" TargetMode="External"/><Relationship Id="rId351" Type="http://schemas.openxmlformats.org/officeDocument/2006/relationships/hyperlink" Target="http://eltweb04.elta.iai/pls/iman_Production/link_to_iman?item_id=NC7SZ04P5X" TargetMode="External"/><Relationship Id="rId393" Type="http://schemas.openxmlformats.org/officeDocument/2006/relationships/hyperlink" Target="http://eltweb04.elta.iai/pls/iman_Production/link_to_iman?item_id=T491B335K025AH" TargetMode="External"/><Relationship Id="rId407" Type="http://schemas.openxmlformats.org/officeDocument/2006/relationships/hyperlink" Target="http://eltweb04.elta.iai/pls/iman_Production/link_to_iman?item_id=TPS51200DRCT" TargetMode="External"/><Relationship Id="rId211" Type="http://schemas.openxmlformats.org/officeDocument/2006/relationships/hyperlink" Target="http://eltweb04.elta.iai/pls/iman_Production/link_to_iman?item_id=CRCW0603432RFKEA" TargetMode="External"/><Relationship Id="rId253" Type="http://schemas.openxmlformats.org/officeDocument/2006/relationships/hyperlink" Target="http://eltweb04.elta.iai/pls/iman_Production/link_to_iman?item_id=GRM155R71C104KA88D" TargetMode="External"/><Relationship Id="rId295" Type="http://schemas.openxmlformats.org/officeDocument/2006/relationships/hyperlink" Target="http://eltweb04.elta.iai/pls/iman_Production/link_to_iman?item_id=LQW18ANR10G00D" TargetMode="External"/><Relationship Id="rId309" Type="http://schemas.openxmlformats.org/officeDocument/2006/relationships/hyperlink" Target="http://eltweb04.elta.iai/pls/iman_Production/link_to_iman?item_id=MAX1617AMEE+" TargetMode="External"/><Relationship Id="rId48" Type="http://schemas.openxmlformats.org/officeDocument/2006/relationships/hyperlink" Target="http://eltweb04.elta.iai/pls/iman_Production/link_to_iman?item_id=19K119-K41L5" TargetMode="External"/><Relationship Id="rId113" Type="http://schemas.openxmlformats.org/officeDocument/2006/relationships/hyperlink" Target="http://eltweb04.elta.iai/pls/iman_Production/link_to_iman?item_id=C0402C360G5GAC7867" TargetMode="External"/><Relationship Id="rId320" Type="http://schemas.openxmlformats.org/officeDocument/2006/relationships/hyperlink" Target="http://eltweb04.elta.iai/pls/iman_Production/link_to_iman?item_id=MIC2026-1YM" TargetMode="External"/><Relationship Id="rId155" Type="http://schemas.openxmlformats.org/officeDocument/2006/relationships/hyperlink" Target="http://eltweb04.elta.iai/pls/iman_Production/link_to_iman?item_id=CRCW0402100KFKED" TargetMode="External"/><Relationship Id="rId197" Type="http://schemas.openxmlformats.org/officeDocument/2006/relationships/hyperlink" Target="http://eltweb04.elta.iai/pls/iman_Production/link_to_iman?item_id=CRCW06031K82FKEA" TargetMode="External"/><Relationship Id="rId362" Type="http://schemas.openxmlformats.org/officeDocument/2006/relationships/hyperlink" Target="http://eltweb04.elta.iai/pls/iman_Production/link_to_iman?item_id=PSR05-LF-T7" TargetMode="External"/><Relationship Id="rId418" Type="http://schemas.openxmlformats.org/officeDocument/2006/relationships/hyperlink" Target="http://eltweb04.elta.iai/pls/iman_Production/link_to_iman?item_id=TVA-0500N07W3" TargetMode="External"/><Relationship Id="rId222" Type="http://schemas.openxmlformats.org/officeDocument/2006/relationships/hyperlink" Target="http://eltweb04.elta.iai/pls/iman_Production/link_to_iman?item_id=CRCW060368R1FKEA" TargetMode="External"/><Relationship Id="rId264" Type="http://schemas.openxmlformats.org/officeDocument/2006/relationships/hyperlink" Target="http://eltweb04.elta.iai/pls/iman_Production/link_to_iman?item_id=HMC443LP4E" TargetMode="External"/><Relationship Id="rId17" Type="http://schemas.openxmlformats.org/officeDocument/2006/relationships/hyperlink" Target="http://eltweb04.elta.iai/pls/iman_Production/link_to_iman?item_id=1008R-102J-TR" TargetMode="External"/><Relationship Id="rId59" Type="http://schemas.openxmlformats.org/officeDocument/2006/relationships/hyperlink" Target="http://eltweb04.elta.iai/pls/iman_Production/link_to_iman?item_id=3510-2214-348" TargetMode="External"/><Relationship Id="rId124" Type="http://schemas.openxmlformats.org/officeDocument/2006/relationships/hyperlink" Target="http://eltweb04.elta.iai/pls/iman_Production/link_to_iman?item_id=C0603C561K5RACTU" TargetMode="External"/><Relationship Id="rId70" Type="http://schemas.openxmlformats.org/officeDocument/2006/relationships/hyperlink" Target="http://eltweb04.elta.iai/pls/iman_Production/link_to_iman?item_id=700A151FT150XTV" TargetMode="External"/><Relationship Id="rId166" Type="http://schemas.openxmlformats.org/officeDocument/2006/relationships/hyperlink" Target="http://eltweb04.elta.iai/pls/iman_Production/link_to_iman?item_id=CRCW0402221RFKED" TargetMode="External"/><Relationship Id="rId331" Type="http://schemas.openxmlformats.org/officeDocument/2006/relationships/hyperlink" Target="http://eltweb04.elta.iai/pls/iman_Production/link_to_iman?item_id=MS24693-C2" TargetMode="External"/><Relationship Id="rId373" Type="http://schemas.openxmlformats.org/officeDocument/2006/relationships/hyperlink" Target="http://eltweb04.elta.iai/pls/iman_Production/link_to_iman?item_id=SBB-5089Z" TargetMode="External"/><Relationship Id="rId429" Type="http://schemas.openxmlformats.org/officeDocument/2006/relationships/hyperlink" Target="mailto:adam@kayte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DC767-CDEB-4BE0-8478-20AF5A4285CB}">
  <dimension ref="A1:BN435"/>
  <sheetViews>
    <sheetView tabSelected="1" topLeftCell="T1" zoomScale="85" zoomScaleNormal="85" workbookViewId="0">
      <selection activeCell="U1" sqref="U1:U1048576"/>
    </sheetView>
  </sheetViews>
  <sheetFormatPr defaultRowHeight="14.25"/>
  <cols>
    <col min="1" max="1" width="3.875" bestFit="1" customWidth="1"/>
    <col min="2" max="2" width="24.5" bestFit="1" customWidth="1"/>
    <col min="3" max="3" width="5.625" customWidth="1"/>
    <col min="4" max="4" width="13" bestFit="1" customWidth="1"/>
    <col min="5" max="5" width="63.375" customWidth="1"/>
    <col min="6" max="6" width="10.25" customWidth="1"/>
    <col min="7" max="7" width="5.125" customWidth="1"/>
    <col min="8" max="8" width="9.75" customWidth="1"/>
    <col min="9" max="9" width="10.25" customWidth="1"/>
    <col min="10" max="12" width="9.5" customWidth="1"/>
    <col min="13" max="13" width="6.875" customWidth="1"/>
    <col min="14" max="14" width="15.875" customWidth="1"/>
    <col min="15" max="15" width="42.625" customWidth="1"/>
    <col min="16" max="16" width="9.75" customWidth="1"/>
    <col min="17" max="17" width="7.25" customWidth="1"/>
    <col min="18" max="18" width="4.75" customWidth="1"/>
    <col min="19" max="19" width="9.5" customWidth="1"/>
    <col min="20" max="20" width="27.25" customWidth="1"/>
    <col min="21" max="21" width="11.375" bestFit="1" customWidth="1"/>
    <col min="22" max="22" width="10.5" bestFit="1" customWidth="1"/>
    <col min="23" max="23" width="16.75" customWidth="1"/>
    <col min="24" max="24" width="33.25" customWidth="1"/>
    <col min="25" max="25" width="19.75" customWidth="1"/>
    <col min="26" max="26" width="42.625" customWidth="1"/>
    <col min="27" max="27" width="6.875" bestFit="1" customWidth="1"/>
    <col min="28" max="28" width="6.5" bestFit="1" customWidth="1"/>
    <col min="29" max="29" width="7" bestFit="1" customWidth="1"/>
    <col min="30" max="30" width="6.875" bestFit="1" customWidth="1"/>
    <col min="31" max="31" width="6.625" bestFit="1" customWidth="1"/>
    <col min="32" max="33" width="6.75" bestFit="1" customWidth="1"/>
    <col min="34" max="34" width="6.625" bestFit="1" customWidth="1"/>
    <col min="35" max="35" width="7.125" bestFit="1" customWidth="1"/>
    <col min="36" max="36" width="6.75" bestFit="1" customWidth="1"/>
    <col min="37" max="37" width="6.125" bestFit="1" customWidth="1"/>
    <col min="38" max="38" width="7" bestFit="1" customWidth="1"/>
    <col min="39" max="39" width="6.875" bestFit="1" customWidth="1"/>
    <col min="40" max="40" width="6.5" bestFit="1" customWidth="1"/>
    <col min="41" max="41" width="7" bestFit="1" customWidth="1"/>
    <col min="42" max="42" width="6.875" bestFit="1" customWidth="1"/>
    <col min="43" max="43" width="6.625" bestFit="1" customWidth="1"/>
    <col min="44" max="45" width="6.75" bestFit="1" customWidth="1"/>
    <col min="46" max="46" width="7.25" bestFit="1" customWidth="1"/>
    <col min="47" max="47" width="8.25" bestFit="1" customWidth="1"/>
    <col min="48" max="48" width="6.875" bestFit="1" customWidth="1"/>
    <col min="49" max="49" width="6.5" bestFit="1" customWidth="1"/>
    <col min="50" max="50" width="7" bestFit="1" customWidth="1"/>
    <col min="51" max="51" width="6.875" bestFit="1" customWidth="1"/>
    <col min="52" max="52" width="6.625" bestFit="1" customWidth="1"/>
    <col min="53" max="66" width="7.5" bestFit="1" customWidth="1"/>
  </cols>
  <sheetData>
    <row r="1" spans="1:66">
      <c r="A1" s="1"/>
      <c r="B1" s="2"/>
      <c r="C1" s="1"/>
      <c r="D1" s="2"/>
      <c r="E1" s="3"/>
      <c r="F1" s="1"/>
      <c r="G1" s="1"/>
      <c r="H1" s="1"/>
      <c r="I1" s="1"/>
      <c r="J1" s="4" t="s">
        <v>0</v>
      </c>
      <c r="K1" s="4" t="s">
        <v>1</v>
      </c>
      <c r="L1" s="4" t="s">
        <v>1</v>
      </c>
      <c r="M1" s="1"/>
      <c r="N1" s="1"/>
      <c r="O1" s="2"/>
      <c r="P1" s="1"/>
      <c r="Q1" s="1"/>
      <c r="R1" s="1"/>
      <c r="S1" s="2"/>
      <c r="T1" s="5" t="s">
        <v>2</v>
      </c>
      <c r="U1" s="1"/>
      <c r="V1" s="1"/>
      <c r="W1" s="1"/>
      <c r="X1" s="1"/>
      <c r="Y1" s="1"/>
      <c r="Z1" s="2"/>
      <c r="AA1" s="1"/>
      <c r="AB1" s="1"/>
      <c r="AC1" s="1"/>
      <c r="AD1" s="1"/>
      <c r="AE1" s="1"/>
      <c r="AF1" s="1"/>
      <c r="AG1" s="1"/>
      <c r="AH1" s="1"/>
      <c r="AI1" s="1"/>
      <c r="AJ1" s="1"/>
      <c r="AK1" s="1"/>
      <c r="AL1" s="1"/>
      <c r="AM1" s="1"/>
      <c r="AN1" s="1"/>
      <c r="AO1" s="1"/>
      <c r="AP1" s="1"/>
      <c r="AQ1" s="1"/>
      <c r="AR1" s="1"/>
      <c r="AS1" s="1"/>
      <c r="AT1" s="1"/>
      <c r="AU1" s="1"/>
      <c r="AV1" s="64" t="s">
        <v>3</v>
      </c>
      <c r="AW1" s="64"/>
      <c r="AX1" s="64"/>
      <c r="AY1" s="64"/>
      <c r="AZ1" s="64"/>
      <c r="BA1" s="64"/>
      <c r="BB1" s="64"/>
      <c r="BC1" s="64"/>
      <c r="BD1" s="64"/>
      <c r="BE1" s="64"/>
      <c r="BF1" s="64"/>
      <c r="BG1" s="64"/>
      <c r="BH1" s="64"/>
      <c r="BI1" s="64"/>
      <c r="BJ1" s="64"/>
      <c r="BK1" s="64"/>
      <c r="BL1" s="64"/>
      <c r="BM1" s="64"/>
      <c r="BN1" s="64"/>
    </row>
    <row r="2" spans="1:66">
      <c r="A2" s="1"/>
      <c r="B2" s="2"/>
      <c r="C2" s="1"/>
      <c r="D2" s="2"/>
      <c r="E2" s="3"/>
      <c r="F2" s="1"/>
      <c r="G2" s="1"/>
      <c r="H2" s="1"/>
      <c r="I2" s="1"/>
      <c r="J2" s="1">
        <v>582</v>
      </c>
      <c r="K2" s="1">
        <v>276</v>
      </c>
      <c r="L2" s="1">
        <v>276</v>
      </c>
      <c r="M2" s="1"/>
      <c r="N2" s="1"/>
      <c r="O2" s="2"/>
      <c r="P2" s="1"/>
      <c r="Q2" s="1"/>
      <c r="R2" s="1"/>
      <c r="S2" s="2"/>
      <c r="T2" s="6" t="s">
        <v>4</v>
      </c>
      <c r="U2" s="1"/>
      <c r="V2" s="1"/>
      <c r="W2" s="1"/>
      <c r="X2" s="1"/>
      <c r="Y2" s="1"/>
      <c r="Z2" s="2"/>
      <c r="AA2" s="1"/>
      <c r="AB2" s="1"/>
      <c r="AC2" s="1"/>
      <c r="AD2" s="1"/>
      <c r="AE2" s="1"/>
      <c r="AF2" s="1"/>
      <c r="AG2" s="1"/>
      <c r="AH2" s="1"/>
      <c r="AI2" s="1"/>
      <c r="AJ2" s="1"/>
      <c r="AK2" s="1"/>
      <c r="AL2" s="1"/>
      <c r="AM2" s="1"/>
      <c r="AN2" s="1"/>
      <c r="AO2" s="1"/>
      <c r="AP2" s="1"/>
      <c r="AQ2" s="1"/>
      <c r="AR2" s="1"/>
      <c r="AS2" s="1"/>
      <c r="AT2" s="1"/>
      <c r="AU2" s="1"/>
      <c r="AV2" s="64"/>
      <c r="AW2" s="64"/>
      <c r="AX2" s="64"/>
      <c r="AY2" s="64"/>
      <c r="AZ2" s="64"/>
      <c r="BA2" s="64"/>
      <c r="BB2" s="64"/>
      <c r="BC2" s="64"/>
      <c r="BD2" s="64"/>
      <c r="BE2" s="64"/>
      <c r="BF2" s="64"/>
      <c r="BG2" s="64"/>
      <c r="BH2" s="64"/>
      <c r="BI2" s="64"/>
      <c r="BJ2" s="64"/>
      <c r="BK2" s="64"/>
      <c r="BL2" s="64"/>
      <c r="BM2" s="64"/>
      <c r="BN2" s="64"/>
    </row>
    <row r="3" spans="1:66" ht="15" thickBot="1">
      <c r="A3" s="1">
        <v>1</v>
      </c>
      <c r="B3" s="2"/>
      <c r="C3" s="1"/>
      <c r="D3" s="2"/>
      <c r="E3" s="3"/>
      <c r="F3" s="1" t="s">
        <v>5</v>
      </c>
      <c r="G3" s="1"/>
      <c r="H3" s="1"/>
      <c r="I3" s="1"/>
      <c r="J3" s="1">
        <f>COUNTIF(J8:J431,"&gt;0")</f>
        <v>341</v>
      </c>
      <c r="K3" s="1">
        <f>COUNTIF(K8:K431,"&gt;0")</f>
        <v>31</v>
      </c>
      <c r="L3" s="1">
        <f>COUNTIF(L8:L431,"&gt;0")</f>
        <v>76</v>
      </c>
      <c r="M3" s="1"/>
      <c r="N3" s="1"/>
      <c r="O3" s="2"/>
      <c r="P3" s="1"/>
      <c r="Q3" s="1"/>
      <c r="R3" s="1"/>
      <c r="S3" s="2"/>
      <c r="T3" s="1"/>
      <c r="U3" s="1"/>
      <c r="V3" s="1"/>
      <c r="W3" s="1"/>
      <c r="X3" s="1"/>
      <c r="Y3" s="1"/>
      <c r="Z3" s="2"/>
      <c r="AA3" s="1"/>
      <c r="AB3" s="1"/>
      <c r="AC3" s="1"/>
      <c r="AD3" s="1"/>
      <c r="AE3" s="1"/>
      <c r="AF3" s="1"/>
      <c r="AG3" s="1"/>
      <c r="AH3" s="1"/>
      <c r="AI3" s="1"/>
      <c r="AJ3" s="1"/>
      <c r="AK3" s="1"/>
      <c r="AL3" s="1"/>
      <c r="AM3" s="1"/>
      <c r="AN3" s="1"/>
      <c r="AO3" s="1"/>
      <c r="AP3" s="1"/>
      <c r="AQ3" s="1"/>
      <c r="AR3" s="1"/>
      <c r="AS3" s="1"/>
      <c r="AT3" s="1"/>
      <c r="AU3" s="1"/>
      <c r="AV3" s="64"/>
      <c r="AW3" s="64"/>
      <c r="AX3" s="64"/>
      <c r="AY3" s="64"/>
      <c r="AZ3" s="64"/>
      <c r="BA3" s="64"/>
      <c r="BB3" s="64"/>
      <c r="BC3" s="64"/>
      <c r="BD3" s="64"/>
      <c r="BE3" s="64"/>
      <c r="BF3" s="64"/>
      <c r="BG3" s="64"/>
      <c r="BH3" s="64"/>
      <c r="BI3" s="64"/>
      <c r="BJ3" s="64"/>
      <c r="BK3" s="64"/>
      <c r="BL3" s="64"/>
      <c r="BM3" s="64"/>
      <c r="BN3" s="64"/>
    </row>
    <row r="4" spans="1:66" ht="15" thickBot="1">
      <c r="A4" s="1"/>
      <c r="B4" s="2"/>
      <c r="C4" s="1"/>
      <c r="D4" s="2"/>
      <c r="E4" s="3"/>
      <c r="F4" s="1"/>
      <c r="G4" s="1"/>
      <c r="H4" s="1"/>
      <c r="I4" s="1"/>
      <c r="J4" s="7"/>
      <c r="K4" s="7"/>
      <c r="L4" s="7"/>
      <c r="M4" s="8"/>
      <c r="N4" s="8"/>
      <c r="O4" s="2"/>
      <c r="P4" s="1"/>
      <c r="Q4" s="1"/>
      <c r="R4" s="1"/>
      <c r="S4" s="2"/>
      <c r="T4" s="1"/>
      <c r="U4" s="1"/>
      <c r="V4" s="1"/>
      <c r="W4" s="1"/>
      <c r="X4" s="1"/>
      <c r="Y4" s="1"/>
      <c r="Z4" s="2"/>
      <c r="AA4" s="1"/>
      <c r="AB4" s="1"/>
      <c r="AC4" s="1"/>
      <c r="AD4" s="1"/>
      <c r="AE4" s="1"/>
      <c r="AF4" s="1"/>
      <c r="AG4" s="1"/>
      <c r="AH4" s="1"/>
      <c r="AI4" s="1"/>
      <c r="AJ4" s="1"/>
      <c r="AK4" s="1"/>
      <c r="AL4" s="1"/>
      <c r="AM4" s="1"/>
      <c r="AN4" s="1"/>
      <c r="AO4" s="1"/>
      <c r="AP4" s="1"/>
      <c r="AQ4" s="1"/>
      <c r="AR4" s="1"/>
      <c r="AS4" s="1"/>
      <c r="AT4" s="1"/>
      <c r="AU4" s="1"/>
      <c r="AV4" s="65"/>
      <c r="AW4" s="65"/>
      <c r="AX4" s="65"/>
      <c r="AY4" s="65"/>
      <c r="AZ4" s="65"/>
      <c r="BA4" s="65"/>
      <c r="BB4" s="65"/>
      <c r="BC4" s="65"/>
      <c r="BD4" s="65"/>
      <c r="BE4" s="65"/>
      <c r="BF4" s="65"/>
      <c r="BG4" s="65"/>
      <c r="BH4" s="65"/>
      <c r="BI4" s="65"/>
      <c r="BJ4" s="65"/>
      <c r="BK4" s="65"/>
      <c r="BL4" s="65"/>
      <c r="BM4" s="65"/>
      <c r="BN4" s="65"/>
    </row>
    <row r="5" spans="1:66" ht="30.75" thickBot="1">
      <c r="A5" s="1"/>
      <c r="B5" s="2"/>
      <c r="C5" s="1"/>
      <c r="D5" s="2"/>
      <c r="E5" s="3"/>
      <c r="F5" s="1"/>
      <c r="G5" s="1"/>
      <c r="H5" s="1"/>
      <c r="I5" s="1"/>
      <c r="J5" s="7" t="s">
        <v>6</v>
      </c>
      <c r="K5" s="7" t="s">
        <v>6</v>
      </c>
      <c r="L5" s="7" t="s">
        <v>6</v>
      </c>
      <c r="M5" s="8"/>
      <c r="N5" s="8"/>
      <c r="O5" s="2"/>
      <c r="P5" s="1"/>
      <c r="Q5" s="1"/>
      <c r="R5" s="1"/>
      <c r="S5" s="2"/>
      <c r="T5" s="1"/>
      <c r="U5" s="1"/>
      <c r="V5" s="1"/>
      <c r="W5" s="1"/>
      <c r="X5" s="1"/>
      <c r="Y5" s="1"/>
      <c r="Z5" s="2"/>
      <c r="AA5" s="66" t="s">
        <v>7</v>
      </c>
      <c r="AB5" s="66"/>
      <c r="AC5" s="66"/>
      <c r="AD5" s="66"/>
      <c r="AE5" s="66"/>
      <c r="AF5" s="66"/>
      <c r="AG5" s="66"/>
      <c r="AH5" s="66"/>
      <c r="AI5" s="66"/>
      <c r="AJ5" s="66"/>
      <c r="AK5" s="66"/>
      <c r="AL5" s="66"/>
      <c r="AM5" s="66"/>
      <c r="AN5" s="66"/>
      <c r="AO5" s="66"/>
      <c r="AP5" s="66"/>
      <c r="AQ5" s="66"/>
      <c r="AR5" s="66"/>
      <c r="AS5" s="67"/>
      <c r="AT5" s="70" t="s">
        <v>8</v>
      </c>
      <c r="AU5" s="9" t="s">
        <v>9</v>
      </c>
      <c r="AV5" s="10"/>
      <c r="AW5" s="10"/>
      <c r="AX5" s="10"/>
      <c r="AY5" s="10"/>
      <c r="AZ5" s="11">
        <v>40</v>
      </c>
      <c r="BA5" s="11">
        <v>40</v>
      </c>
      <c r="BB5" s="11">
        <v>40</v>
      </c>
      <c r="BC5" s="11">
        <v>40</v>
      </c>
      <c r="BD5" s="11">
        <v>40</v>
      </c>
      <c r="BE5" s="11">
        <v>40</v>
      </c>
      <c r="BF5" s="11">
        <v>40</v>
      </c>
      <c r="BG5" s="11">
        <v>40</v>
      </c>
      <c r="BH5" s="11">
        <v>40</v>
      </c>
      <c r="BI5" s="11">
        <v>40</v>
      </c>
      <c r="BJ5" s="11">
        <v>40</v>
      </c>
      <c r="BK5" s="11">
        <v>40</v>
      </c>
      <c r="BL5" s="11">
        <v>40</v>
      </c>
      <c r="BM5" s="11">
        <v>40</v>
      </c>
      <c r="BN5" s="11">
        <v>22</v>
      </c>
    </row>
    <row r="6" spans="1:66" ht="30.75" thickBot="1">
      <c r="A6" s="1"/>
      <c r="B6" s="2"/>
      <c r="C6" s="1"/>
      <c r="D6" s="2"/>
      <c r="E6" s="3"/>
      <c r="F6" s="63" t="s">
        <v>10</v>
      </c>
      <c r="G6" s="1"/>
      <c r="H6" s="12" t="s">
        <v>11</v>
      </c>
      <c r="I6" s="12" t="s">
        <v>4205</v>
      </c>
      <c r="J6" s="7">
        <f>VLOOKUP(J7,'[1]הזנת נתונים'!$K$2:$L$21,2,)</f>
        <v>0</v>
      </c>
      <c r="K6" s="7">
        <f>VLOOKUP(K7,'[1]הזנת נתונים'!$K$2:$L$21,2,)</f>
        <v>0</v>
      </c>
      <c r="L6" s="7">
        <f>VLOOKUP(L7,'[1]הזנת נתונים'!$K$2:$L$21,2,)</f>
        <v>1</v>
      </c>
      <c r="M6" s="8"/>
      <c r="N6" s="8"/>
      <c r="O6" s="2"/>
      <c r="P6" s="1"/>
      <c r="Q6" s="1"/>
      <c r="R6" s="1"/>
      <c r="S6" s="2"/>
      <c r="T6" s="1"/>
      <c r="U6" s="1"/>
      <c r="V6" s="1"/>
      <c r="W6" s="1"/>
      <c r="X6" s="1"/>
      <c r="Y6" s="1"/>
      <c r="Z6" s="2"/>
      <c r="AA6" s="68"/>
      <c r="AB6" s="68"/>
      <c r="AC6" s="68"/>
      <c r="AD6" s="68"/>
      <c r="AE6" s="68"/>
      <c r="AF6" s="68"/>
      <c r="AG6" s="68"/>
      <c r="AH6" s="68"/>
      <c r="AI6" s="68"/>
      <c r="AJ6" s="68"/>
      <c r="AK6" s="68"/>
      <c r="AL6" s="68"/>
      <c r="AM6" s="68"/>
      <c r="AN6" s="68"/>
      <c r="AO6" s="68"/>
      <c r="AP6" s="68"/>
      <c r="AQ6" s="68"/>
      <c r="AR6" s="68"/>
      <c r="AS6" s="69"/>
      <c r="AT6" s="71"/>
      <c r="AU6" s="13" t="s">
        <v>12</v>
      </c>
      <c r="AV6" s="10"/>
      <c r="AW6" s="10"/>
      <c r="AX6" s="10"/>
      <c r="AY6" s="10"/>
      <c r="AZ6" s="14">
        <v>10</v>
      </c>
      <c r="BA6" s="15">
        <v>20</v>
      </c>
      <c r="BB6" s="14">
        <v>90</v>
      </c>
      <c r="BC6" s="15">
        <v>90</v>
      </c>
      <c r="BD6" s="14">
        <v>66</v>
      </c>
      <c r="BE6" s="16"/>
      <c r="BF6" s="17"/>
      <c r="BG6" s="16"/>
      <c r="BH6" s="17"/>
      <c r="BI6" s="16"/>
      <c r="BJ6" s="17"/>
      <c r="BK6" s="16"/>
      <c r="BL6" s="17"/>
      <c r="BM6" s="16"/>
      <c r="BN6" s="17"/>
    </row>
    <row r="7" spans="1:66" ht="29.25" thickBot="1">
      <c r="A7" s="18" t="s">
        <v>13</v>
      </c>
      <c r="B7" s="19" t="s">
        <v>14</v>
      </c>
      <c r="C7" s="18" t="s">
        <v>15</v>
      </c>
      <c r="D7" s="19" t="s">
        <v>16</v>
      </c>
      <c r="E7" s="18" t="s">
        <v>17</v>
      </c>
      <c r="F7" s="18" t="s">
        <v>18</v>
      </c>
      <c r="G7" s="18" t="s">
        <v>19</v>
      </c>
      <c r="H7" s="20" t="s">
        <v>20</v>
      </c>
      <c r="I7" s="18" t="s">
        <v>21</v>
      </c>
      <c r="J7" s="7" t="s">
        <v>22</v>
      </c>
      <c r="K7" s="7" t="s">
        <v>23</v>
      </c>
      <c r="L7" s="7" t="s">
        <v>24</v>
      </c>
      <c r="M7" s="21" t="s">
        <v>25</v>
      </c>
      <c r="N7" s="7" t="s">
        <v>26</v>
      </c>
      <c r="O7" s="18" t="s">
        <v>27</v>
      </c>
      <c r="P7" s="20" t="s">
        <v>28</v>
      </c>
      <c r="Q7" s="22" t="s">
        <v>29</v>
      </c>
      <c r="R7" s="22" t="s">
        <v>30</v>
      </c>
      <c r="S7" s="22" t="s">
        <v>31</v>
      </c>
      <c r="T7" s="22" t="s">
        <v>32</v>
      </c>
      <c r="U7" s="22" t="s">
        <v>33</v>
      </c>
      <c r="V7" s="23" t="s">
        <v>34</v>
      </c>
      <c r="W7" s="24" t="s">
        <v>35</v>
      </c>
      <c r="X7" s="25" t="s">
        <v>36</v>
      </c>
      <c r="Y7" s="25" t="s">
        <v>37</v>
      </c>
      <c r="Z7" s="22" t="s">
        <v>27</v>
      </c>
      <c r="AA7" s="26">
        <v>45536</v>
      </c>
      <c r="AB7" s="26">
        <v>45566</v>
      </c>
      <c r="AC7" s="26">
        <v>45597</v>
      </c>
      <c r="AD7" s="26">
        <v>45627</v>
      </c>
      <c r="AE7" s="26">
        <v>45658</v>
      </c>
      <c r="AF7" s="26">
        <v>45689</v>
      </c>
      <c r="AG7" s="26">
        <v>45717</v>
      </c>
      <c r="AH7" s="26">
        <v>45748</v>
      </c>
      <c r="AI7" s="26">
        <v>45778</v>
      </c>
      <c r="AJ7" s="26">
        <v>45809</v>
      </c>
      <c r="AK7" s="26">
        <v>45839</v>
      </c>
      <c r="AL7" s="26">
        <v>45870</v>
      </c>
      <c r="AM7" s="26">
        <v>45901</v>
      </c>
      <c r="AN7" s="26">
        <v>45931</v>
      </c>
      <c r="AO7" s="26">
        <v>45962</v>
      </c>
      <c r="AP7" s="26">
        <v>45992</v>
      </c>
      <c r="AQ7" s="26">
        <v>46023</v>
      </c>
      <c r="AR7" s="26">
        <v>46054</v>
      </c>
      <c r="AS7" s="26">
        <v>46082</v>
      </c>
      <c r="AT7" s="26" t="s">
        <v>8</v>
      </c>
      <c r="AU7" s="27" t="s">
        <v>38</v>
      </c>
      <c r="AV7" s="26">
        <v>45536</v>
      </c>
      <c r="AW7" s="26">
        <v>45566</v>
      </c>
      <c r="AX7" s="26">
        <v>45597</v>
      </c>
      <c r="AY7" s="26">
        <v>45627</v>
      </c>
      <c r="AZ7" s="26">
        <v>45658</v>
      </c>
      <c r="BA7" s="26">
        <v>45689</v>
      </c>
      <c r="BB7" s="26">
        <v>45717</v>
      </c>
      <c r="BC7" s="26">
        <v>45748</v>
      </c>
      <c r="BD7" s="26">
        <v>45778</v>
      </c>
      <c r="BE7" s="26">
        <v>45809</v>
      </c>
      <c r="BF7" s="26">
        <v>45839</v>
      </c>
      <c r="BG7" s="26">
        <v>45870</v>
      </c>
      <c r="BH7" s="26">
        <v>45901</v>
      </c>
      <c r="BI7" s="26">
        <v>45931</v>
      </c>
      <c r="BJ7" s="26">
        <v>45962</v>
      </c>
      <c r="BK7" s="26">
        <v>45992</v>
      </c>
      <c r="BL7" s="26">
        <v>46023</v>
      </c>
      <c r="BM7" s="26">
        <v>46054</v>
      </c>
      <c r="BN7" s="26">
        <v>46082</v>
      </c>
    </row>
    <row r="8" spans="1:66">
      <c r="A8" s="1">
        <v>3</v>
      </c>
      <c r="B8" s="28" t="s">
        <v>39</v>
      </c>
      <c r="C8" s="1" t="s">
        <v>40</v>
      </c>
      <c r="D8" s="2">
        <v>417103899</v>
      </c>
      <c r="E8" s="3" t="s">
        <v>41</v>
      </c>
      <c r="F8" s="1">
        <v>417162093</v>
      </c>
      <c r="G8" s="1" t="s">
        <v>42</v>
      </c>
      <c r="H8" s="1">
        <v>2</v>
      </c>
      <c r="I8" s="1">
        <v>1</v>
      </c>
      <c r="J8" s="1">
        <v>1</v>
      </c>
      <c r="K8" s="1">
        <v>0</v>
      </c>
      <c r="L8" s="1">
        <v>0</v>
      </c>
      <c r="M8" s="1">
        <f t="shared" ref="M8:M31" si="0">SUMPRODUCT(J8:L8,$J$2:$L$2)</f>
        <v>582</v>
      </c>
      <c r="N8" s="1">
        <f t="shared" ref="N8:N39" si="1">SUMPRODUCT(J8:L8,$J$2:$L$2)</f>
        <v>582</v>
      </c>
      <c r="O8" s="2" t="s">
        <v>43</v>
      </c>
      <c r="P8" s="1"/>
      <c r="Q8" s="1">
        <v>3.3E-3</v>
      </c>
      <c r="R8" s="1" t="s">
        <v>44</v>
      </c>
      <c r="S8" s="30" t="s">
        <v>45</v>
      </c>
      <c r="T8" s="31" t="s">
        <v>46</v>
      </c>
      <c r="U8" s="1"/>
      <c r="V8" s="1">
        <v>10000</v>
      </c>
      <c r="W8" s="1" t="s">
        <v>47</v>
      </c>
      <c r="X8" s="32" t="s">
        <v>48</v>
      </c>
      <c r="Y8" s="1" t="s">
        <v>49</v>
      </c>
      <c r="Z8" s="2" t="s">
        <v>43</v>
      </c>
      <c r="AA8" s="1"/>
      <c r="AB8" s="1"/>
      <c r="AC8" s="1"/>
      <c r="AD8" s="1"/>
      <c r="AE8" s="1"/>
      <c r="AF8" s="1"/>
      <c r="AG8" s="1"/>
      <c r="AH8" s="1"/>
      <c r="AI8" s="1"/>
      <c r="AJ8" s="1"/>
      <c r="AK8" s="1"/>
      <c r="AL8" s="1"/>
      <c r="AM8" s="1"/>
      <c r="AN8" s="1"/>
      <c r="AO8" s="1"/>
      <c r="AP8" s="1"/>
      <c r="AQ8" s="1"/>
      <c r="AR8" s="1"/>
      <c r="AS8" s="1"/>
      <c r="AT8" s="1"/>
      <c r="AU8" s="1"/>
      <c r="AV8" s="1">
        <f>SUM($AT8,Z8:$AA8)-SUM($AV$5:AV$5)*$J8-SUM($AV$6:AV$6)*$K8</f>
        <v>0</v>
      </c>
      <c r="AW8" s="1">
        <f>SUM($AT8,$AA8:AA8)-SUM($AV$5:AW$5)*$J8-SUM($AV$6:AW$6)*$K8</f>
        <v>0</v>
      </c>
      <c r="AX8" s="1">
        <f>SUM($AT8,$AA8:AB8)-SUM($AV$5:AX$5)*$J8-SUM($AV$6:AX$6)*$K8</f>
        <v>0</v>
      </c>
      <c r="AY8" s="1">
        <f>SUM($AT8,$AA8:AC8)-SUM($AV$5:AY$5)*$J8-SUM($AV$6:AY$6)*$K8</f>
        <v>0</v>
      </c>
      <c r="AZ8" s="1">
        <f>SUM($AT8,$AA8:AD8)-SUM($AV$5:AZ$5)*$J8-SUM($AV$6:AZ$6)*$K8</f>
        <v>-40</v>
      </c>
      <c r="BA8" s="1">
        <f>SUM($AT8,$AA8:AE8)-SUM($AV$5:BA$5)*$J8-SUM($AV$6:BA$6)*$K8</f>
        <v>-80</v>
      </c>
      <c r="BB8" s="1">
        <f>SUM($AT8,$AA8:AF8)-SUM($AV$5:BB$5)*$J8-SUM($AV$6:BB$6)*$K8</f>
        <v>-120</v>
      </c>
      <c r="BC8" s="1">
        <f>SUM($AT8,$AA8:AG8)-SUM($AV$5:BC$5)*$J8-SUM($AV$6:BC$6)*$K8</f>
        <v>-160</v>
      </c>
      <c r="BD8" s="1">
        <f>SUM($AT8,$AA8:AH8)-SUM($AV$5:BD$5)*$J8-SUM($AV$6:BD$6)*$K8</f>
        <v>-200</v>
      </c>
      <c r="BE8" s="1">
        <f>SUM($AT8,$AA8:AI8)-SUM($AV$5:BE$5)*$J8-SUM($AV$6:BE$6)*$K8</f>
        <v>-240</v>
      </c>
      <c r="BF8" s="1">
        <f>SUM($AT8,$AA8:AJ8)-SUM($AV$5:BF$5)*$J8-SUM($AV$6:BF$6)*$K8</f>
        <v>-280</v>
      </c>
      <c r="BG8" s="1">
        <f>SUM($AT8,$AA8:AK8)-SUM($AV$5:BG$5)*$J8-SUM($AV$6:BG$6)*$K8</f>
        <v>-320</v>
      </c>
      <c r="BH8" s="1">
        <f>SUM($AT8,$AA8:AL8)-SUM($AV$5:BH$5)*$J8-SUM($AV$6:BH$6)*$K8</f>
        <v>-360</v>
      </c>
      <c r="BI8" s="1">
        <f>SUM($AT8,$AA8:AM8)-SUM($AV$5:BI$5)*$J8-SUM($AV$6:BI$6)*$K8</f>
        <v>-400</v>
      </c>
      <c r="BJ8" s="1">
        <f>SUM($AT8,$AA8:AN8)-SUM($AV$5:BJ$5)*$J8-SUM($AV$6:BJ$6)*$K8</f>
        <v>-440</v>
      </c>
      <c r="BK8" s="1">
        <f>SUM($AT8,$AA8:AO8)-SUM($AV$5:BK$5)*$J8-SUM($AV$6:BK$6)*$K8</f>
        <v>-480</v>
      </c>
      <c r="BL8" s="1">
        <f>SUM($AT8,$AA8:AP8)-SUM($AV$5:BL$5)*$J8-SUM($AV$6:BL$6)*$K8</f>
        <v>-520</v>
      </c>
      <c r="BM8" s="1">
        <f>SUM($AT8,$AA8:AQ8)-SUM($AV$5:BM$5)*$J8-SUM($AV$6:BM$6)*$K8</f>
        <v>-560</v>
      </c>
      <c r="BN8" s="1">
        <f>SUM($AT8,$AA8:AR8)-SUM($AV$5:BN$5)*$J8-SUM($AV$6:BN$6)*$K8</f>
        <v>-582</v>
      </c>
    </row>
    <row r="9" spans="1:66">
      <c r="A9" s="1">
        <v>4</v>
      </c>
      <c r="B9" s="28" t="s">
        <v>50</v>
      </c>
      <c r="C9" s="1" t="s">
        <v>40</v>
      </c>
      <c r="D9" s="2" t="s">
        <v>51</v>
      </c>
      <c r="E9" s="3" t="s">
        <v>52</v>
      </c>
      <c r="F9" s="1"/>
      <c r="G9" s="1" t="s">
        <v>42</v>
      </c>
      <c r="H9" s="1">
        <v>2</v>
      </c>
      <c r="I9" s="1">
        <v>2</v>
      </c>
      <c r="J9" s="1">
        <v>2</v>
      </c>
      <c r="K9" s="1">
        <v>0</v>
      </c>
      <c r="L9" s="1">
        <v>0</v>
      </c>
      <c r="M9" s="1">
        <f t="shared" si="0"/>
        <v>1164</v>
      </c>
      <c r="N9" s="1">
        <f t="shared" si="1"/>
        <v>1164</v>
      </c>
      <c r="O9" s="2" t="s">
        <v>53</v>
      </c>
      <c r="P9" s="1"/>
      <c r="Q9" s="1">
        <v>0.24</v>
      </c>
      <c r="R9" s="1" t="s">
        <v>44</v>
      </c>
      <c r="S9" s="30" t="s">
        <v>54</v>
      </c>
      <c r="T9" s="31" t="s">
        <v>55</v>
      </c>
      <c r="U9" s="1"/>
      <c r="V9" s="1">
        <v>3000</v>
      </c>
      <c r="W9" s="1" t="s">
        <v>56</v>
      </c>
      <c r="X9" s="32" t="s">
        <v>57</v>
      </c>
      <c r="Y9" s="1" t="s">
        <v>58</v>
      </c>
      <c r="Z9" s="2" t="s">
        <v>53</v>
      </c>
      <c r="AA9" s="1"/>
      <c r="AB9" s="1"/>
      <c r="AC9" s="1">
        <v>3000</v>
      </c>
      <c r="AD9" s="1"/>
      <c r="AE9" s="1"/>
      <c r="AF9" s="1"/>
      <c r="AG9" s="1"/>
      <c r="AH9" s="1"/>
      <c r="AI9" s="1"/>
      <c r="AJ9" s="1"/>
      <c r="AK9" s="1"/>
      <c r="AL9" s="1"/>
      <c r="AM9" s="1"/>
      <c r="AN9" s="1"/>
      <c r="AO9" s="1"/>
      <c r="AP9" s="1"/>
      <c r="AQ9" s="1"/>
      <c r="AR9" s="1"/>
      <c r="AS9" s="1"/>
      <c r="AT9" s="1"/>
      <c r="AU9" s="1"/>
      <c r="AV9" s="1">
        <f>SUM($AT9,Z9:$AA9)-SUM($AV$5:AV$5)*$J9-SUM($AV$6:AV$6)*$K9</f>
        <v>0</v>
      </c>
      <c r="AW9" s="1">
        <f>SUM($AT9,$AA9:AA9)-SUM($AV$5:AW$5)*$J9-SUM($AV$6:AW$6)*$K9</f>
        <v>0</v>
      </c>
      <c r="AX9" s="1">
        <f>SUM($AT9,$AA9:AB9)-SUM($AV$5:AX$5)*$J9-SUM($AV$6:AX$6)*$K9</f>
        <v>0</v>
      </c>
      <c r="AY9" s="1">
        <f>SUM($AT9,$AA9:AC9)-SUM($AV$5:AY$5)*$J9-SUM($AV$6:AY$6)*$K9</f>
        <v>3000</v>
      </c>
      <c r="AZ9" s="1">
        <f>SUM($AT9,$AA9:AD9)-SUM($AV$5:AZ$5)*$J9-SUM($AV$6:AZ$6)*$K9</f>
        <v>2920</v>
      </c>
      <c r="BA9" s="1">
        <f>SUM($AT9,$AA9:AE9)-SUM($AV$5:BA$5)*$J9-SUM($AV$6:BA$6)*$K9</f>
        <v>2840</v>
      </c>
      <c r="BB9" s="1">
        <f>SUM($AT9,$AA9:AF9)-SUM($AV$5:BB$5)*$J9-SUM($AV$6:BB$6)*$K9</f>
        <v>2760</v>
      </c>
      <c r="BC9" s="1">
        <f>SUM($AT9,$AA9:AG9)-SUM($AV$5:BC$5)*$J9-SUM($AV$6:BC$6)*$K9</f>
        <v>2680</v>
      </c>
      <c r="BD9" s="1">
        <f>SUM($AT9,$AA9:AH9)-SUM($AV$5:BD$5)*$J9-SUM($AV$6:BD$6)*$K9</f>
        <v>2600</v>
      </c>
      <c r="BE9" s="1">
        <f>SUM($AT9,$AA9:AI9)-SUM($AV$5:BE$5)*$J9-SUM($AV$6:BE$6)*$K9</f>
        <v>2520</v>
      </c>
      <c r="BF9" s="1">
        <f>SUM($AT9,$AA9:AJ9)-SUM($AV$5:BF$5)*$J9-SUM($AV$6:BF$6)*$K9</f>
        <v>2440</v>
      </c>
      <c r="BG9" s="1">
        <f>SUM($AT9,$AA9:AK9)-SUM($AV$5:BG$5)*$J9-SUM($AV$6:BG$6)*$K9</f>
        <v>2360</v>
      </c>
      <c r="BH9" s="1">
        <f>SUM($AT9,$AA9:AL9)-SUM($AV$5:BH$5)*$J9-SUM($AV$6:BH$6)*$K9</f>
        <v>2280</v>
      </c>
      <c r="BI9" s="1">
        <f>SUM($AT9,$AA9:AM9)-SUM($AV$5:BI$5)*$J9-SUM($AV$6:BI$6)*$K9</f>
        <v>2200</v>
      </c>
      <c r="BJ9" s="1">
        <f>SUM($AT9,$AA9:AN9)-SUM($AV$5:BJ$5)*$J9-SUM($AV$6:BJ$6)*$K9</f>
        <v>2120</v>
      </c>
      <c r="BK9" s="1">
        <f>SUM($AT9,$AA9:AO9)-SUM($AV$5:BK$5)*$J9-SUM($AV$6:BK$6)*$K9</f>
        <v>2040</v>
      </c>
      <c r="BL9" s="1">
        <f>SUM($AT9,$AA9:AP9)-SUM($AV$5:BL$5)*$J9-SUM($AV$6:BL$6)*$K9</f>
        <v>1960</v>
      </c>
      <c r="BM9" s="1">
        <f>SUM($AT9,$AA9:AQ9)-SUM($AV$5:BM$5)*$J9-SUM($AV$6:BM$6)*$K9</f>
        <v>1880</v>
      </c>
      <c r="BN9" s="1">
        <f>SUM($AT9,$AA9:AR9)-SUM($AV$5:BN$5)*$J9-SUM($AV$6:BN$6)*$K9</f>
        <v>1836</v>
      </c>
    </row>
    <row r="10" spans="1:66">
      <c r="A10" s="1">
        <v>5</v>
      </c>
      <c r="B10" s="28" t="s">
        <v>59</v>
      </c>
      <c r="C10" s="1" t="s">
        <v>40</v>
      </c>
      <c r="D10" s="2" t="s">
        <v>60</v>
      </c>
      <c r="E10" s="3" t="s">
        <v>61</v>
      </c>
      <c r="F10" s="1"/>
      <c r="G10" s="1" t="s">
        <v>42</v>
      </c>
      <c r="H10" s="1">
        <v>2</v>
      </c>
      <c r="I10" s="1">
        <v>16</v>
      </c>
      <c r="J10" s="1">
        <v>16</v>
      </c>
      <c r="K10" s="1">
        <v>0</v>
      </c>
      <c r="L10" s="1">
        <v>0</v>
      </c>
      <c r="M10" s="1">
        <f t="shared" si="0"/>
        <v>9312</v>
      </c>
      <c r="N10" s="1">
        <f t="shared" si="1"/>
        <v>9312</v>
      </c>
      <c r="O10" s="2" t="s">
        <v>53</v>
      </c>
      <c r="P10" s="1"/>
      <c r="Q10" s="1">
        <v>0.22</v>
      </c>
      <c r="R10" s="1" t="s">
        <v>44</v>
      </c>
      <c r="S10" s="30" t="s">
        <v>62</v>
      </c>
      <c r="T10" s="31" t="s">
        <v>46</v>
      </c>
      <c r="U10" s="1"/>
      <c r="V10" s="1">
        <v>3000</v>
      </c>
      <c r="W10" s="1" t="s">
        <v>47</v>
      </c>
      <c r="X10" s="32" t="s">
        <v>48</v>
      </c>
      <c r="Y10" s="1" t="s">
        <v>49</v>
      </c>
      <c r="Z10" s="2" t="s">
        <v>53</v>
      </c>
      <c r="AA10" s="1"/>
      <c r="AB10" s="1"/>
      <c r="AC10" s="1"/>
      <c r="AD10" s="1"/>
      <c r="AE10" s="1"/>
      <c r="AF10" s="1"/>
      <c r="AG10" s="1"/>
      <c r="AH10" s="1"/>
      <c r="AI10" s="1"/>
      <c r="AJ10" s="1"/>
      <c r="AK10" s="1"/>
      <c r="AL10" s="1"/>
      <c r="AM10" s="1"/>
      <c r="AN10" s="1"/>
      <c r="AO10" s="1"/>
      <c r="AP10" s="1"/>
      <c r="AQ10" s="1"/>
      <c r="AR10" s="1"/>
      <c r="AS10" s="1"/>
      <c r="AT10" s="1"/>
      <c r="AU10" s="1"/>
      <c r="AV10" s="1">
        <f>SUM($AT10,Z10:$AA10)-SUM($AV$5:AV$5)*$J10-SUM($AV$6:AV$6)*$K10</f>
        <v>0</v>
      </c>
      <c r="AW10" s="1">
        <f>SUM($AT10,$AA10:AA10)-SUM($AV$5:AW$5)*$J10-SUM($AV$6:AW$6)*$K10</f>
        <v>0</v>
      </c>
      <c r="AX10" s="1">
        <f>SUM($AT10,$AA10:AB10)-SUM($AV$5:AX$5)*$J10-SUM($AV$6:AX$6)*$K10</f>
        <v>0</v>
      </c>
      <c r="AY10" s="1">
        <f>SUM($AT10,$AA10:AC10)-SUM($AV$5:AY$5)*$J10-SUM($AV$6:AY$6)*$K10</f>
        <v>0</v>
      </c>
      <c r="AZ10" s="1">
        <f>SUM($AT10,$AA10:AD10)-SUM($AV$5:AZ$5)*$J10-SUM($AV$6:AZ$6)*$K10</f>
        <v>-640</v>
      </c>
      <c r="BA10" s="1">
        <f>SUM($AT10,$AA10:AE10)-SUM($AV$5:BA$5)*$J10-SUM($AV$6:BA$6)*$K10</f>
        <v>-1280</v>
      </c>
      <c r="BB10" s="1">
        <f>SUM($AT10,$AA10:AF10)-SUM($AV$5:BB$5)*$J10-SUM($AV$6:BB$6)*$K10</f>
        <v>-1920</v>
      </c>
      <c r="BC10" s="1">
        <f>SUM($AT10,$AA10:AG10)-SUM($AV$5:BC$5)*$J10-SUM($AV$6:BC$6)*$K10</f>
        <v>-2560</v>
      </c>
      <c r="BD10" s="1">
        <f>SUM($AT10,$AA10:AH10)-SUM($AV$5:BD$5)*$J10-SUM($AV$6:BD$6)*$K10</f>
        <v>-3200</v>
      </c>
      <c r="BE10" s="1">
        <f>SUM($AT10,$AA10:AI10)-SUM($AV$5:BE$5)*$J10-SUM($AV$6:BE$6)*$K10</f>
        <v>-3840</v>
      </c>
      <c r="BF10" s="1">
        <f>SUM($AT10,$AA10:AJ10)-SUM($AV$5:BF$5)*$J10-SUM($AV$6:BF$6)*$K10</f>
        <v>-4480</v>
      </c>
      <c r="BG10" s="1">
        <f>SUM($AT10,$AA10:AK10)-SUM($AV$5:BG$5)*$J10-SUM($AV$6:BG$6)*$K10</f>
        <v>-5120</v>
      </c>
      <c r="BH10" s="1">
        <f>SUM($AT10,$AA10:AL10)-SUM($AV$5:BH$5)*$J10-SUM($AV$6:BH$6)*$K10</f>
        <v>-5760</v>
      </c>
      <c r="BI10" s="1">
        <f>SUM($AT10,$AA10:AM10)-SUM($AV$5:BI$5)*$J10-SUM($AV$6:BI$6)*$K10</f>
        <v>-6400</v>
      </c>
      <c r="BJ10" s="1">
        <f>SUM($AT10,$AA10:AN10)-SUM($AV$5:BJ$5)*$J10-SUM($AV$6:BJ$6)*$K10</f>
        <v>-7040</v>
      </c>
      <c r="BK10" s="1">
        <f>SUM($AT10,$AA10:AO10)-SUM($AV$5:BK$5)*$J10-SUM($AV$6:BK$6)*$K10</f>
        <v>-7680</v>
      </c>
      <c r="BL10" s="1">
        <f>SUM($AT10,$AA10:AP10)-SUM($AV$5:BL$5)*$J10-SUM($AV$6:BL$6)*$K10</f>
        <v>-8320</v>
      </c>
      <c r="BM10" s="1">
        <f>SUM($AT10,$AA10:AQ10)-SUM($AV$5:BM$5)*$J10-SUM($AV$6:BM$6)*$K10</f>
        <v>-8960</v>
      </c>
      <c r="BN10" s="1">
        <f>SUM($AT10,$AA10:AR10)-SUM($AV$5:BN$5)*$J10-SUM($AV$6:BN$6)*$K10</f>
        <v>-9312</v>
      </c>
    </row>
    <row r="11" spans="1:66">
      <c r="A11" s="1">
        <v>6</v>
      </c>
      <c r="B11" s="28" t="s">
        <v>63</v>
      </c>
      <c r="C11" s="1" t="s">
        <v>40</v>
      </c>
      <c r="D11" s="2">
        <v>400230812</v>
      </c>
      <c r="E11" s="3" t="s">
        <v>64</v>
      </c>
      <c r="F11" s="1">
        <v>401589045</v>
      </c>
      <c r="G11" s="1" t="s">
        <v>42</v>
      </c>
      <c r="H11" s="1">
        <v>2</v>
      </c>
      <c r="I11" s="1">
        <v>2</v>
      </c>
      <c r="J11" s="1">
        <v>2</v>
      </c>
      <c r="K11" s="1">
        <v>0</v>
      </c>
      <c r="L11" s="1">
        <v>0</v>
      </c>
      <c r="M11" s="1">
        <f t="shared" si="0"/>
        <v>1164</v>
      </c>
      <c r="N11" s="1">
        <f t="shared" si="1"/>
        <v>1164</v>
      </c>
      <c r="O11" s="2" t="s">
        <v>65</v>
      </c>
      <c r="P11" s="1"/>
      <c r="Q11" s="1">
        <v>7.4999999999999997E-2</v>
      </c>
      <c r="R11" s="1" t="s">
        <v>44</v>
      </c>
      <c r="S11" s="30" t="s">
        <v>66</v>
      </c>
      <c r="T11" s="31" t="s">
        <v>67</v>
      </c>
      <c r="U11" s="1"/>
      <c r="V11" s="1">
        <v>2000</v>
      </c>
      <c r="W11" s="1" t="s">
        <v>68</v>
      </c>
      <c r="X11" s="32" t="s">
        <v>69</v>
      </c>
      <c r="Y11" s="1" t="s">
        <v>70</v>
      </c>
      <c r="Z11" s="2" t="s">
        <v>65</v>
      </c>
      <c r="AA11" s="1"/>
      <c r="AB11" s="1"/>
      <c r="AC11" s="1"/>
      <c r="AD11" s="1"/>
      <c r="AE11" s="1"/>
      <c r="AF11" s="1"/>
      <c r="AG11" s="1"/>
      <c r="AH11" s="1"/>
      <c r="AI11" s="1"/>
      <c r="AJ11" s="1"/>
      <c r="AK11" s="1"/>
      <c r="AL11" s="1"/>
      <c r="AM11" s="1"/>
      <c r="AN11" s="1"/>
      <c r="AO11" s="1"/>
      <c r="AP11" s="1"/>
      <c r="AQ11" s="1"/>
      <c r="AR11" s="1"/>
      <c r="AS11" s="1"/>
      <c r="AT11" s="1"/>
      <c r="AU11" s="1"/>
      <c r="AV11" s="1">
        <f>SUM($AT11,Z11:$AA11)-SUM($AV$5:AV$5)*$J11-SUM($AV$6:AV$6)*$K11</f>
        <v>0</v>
      </c>
      <c r="AW11" s="1">
        <f>SUM($AT11,$AA11:AA11)-SUM($AV$5:AW$5)*$J11-SUM($AV$6:AW$6)*$K11</f>
        <v>0</v>
      </c>
      <c r="AX11" s="1">
        <f>SUM($AT11,$AA11:AB11)-SUM($AV$5:AX$5)*$J11-SUM($AV$6:AX$6)*$K11</f>
        <v>0</v>
      </c>
      <c r="AY11" s="1">
        <f>SUM($AT11,$AA11:AC11)-SUM($AV$5:AY$5)*$J11-SUM($AV$6:AY$6)*$K11</f>
        <v>0</v>
      </c>
      <c r="AZ11" s="1">
        <f>SUM($AT11,$AA11:AD11)-SUM($AV$5:AZ$5)*$J11-SUM($AV$6:AZ$6)*$K11</f>
        <v>-80</v>
      </c>
      <c r="BA11" s="1">
        <f>SUM($AT11,$AA11:AE11)-SUM($AV$5:BA$5)*$J11-SUM($AV$6:BA$6)*$K11</f>
        <v>-160</v>
      </c>
      <c r="BB11" s="1">
        <f>SUM($AT11,$AA11:AF11)-SUM($AV$5:BB$5)*$J11-SUM($AV$6:BB$6)*$K11</f>
        <v>-240</v>
      </c>
      <c r="BC11" s="1">
        <f>SUM($AT11,$AA11:AG11)-SUM($AV$5:BC$5)*$J11-SUM($AV$6:BC$6)*$K11</f>
        <v>-320</v>
      </c>
      <c r="BD11" s="1">
        <f>SUM($AT11,$AA11:AH11)-SUM($AV$5:BD$5)*$J11-SUM($AV$6:BD$6)*$K11</f>
        <v>-400</v>
      </c>
      <c r="BE11" s="1">
        <f>SUM($AT11,$AA11:AI11)-SUM($AV$5:BE$5)*$J11-SUM($AV$6:BE$6)*$K11</f>
        <v>-480</v>
      </c>
      <c r="BF11" s="1">
        <f>SUM($AT11,$AA11:AJ11)-SUM($AV$5:BF$5)*$J11-SUM($AV$6:BF$6)*$K11</f>
        <v>-560</v>
      </c>
      <c r="BG11" s="1">
        <f>SUM($AT11,$AA11:AK11)-SUM($AV$5:BG$5)*$J11-SUM($AV$6:BG$6)*$K11</f>
        <v>-640</v>
      </c>
      <c r="BH11" s="1">
        <f>SUM($AT11,$AA11:AL11)-SUM($AV$5:BH$5)*$J11-SUM($AV$6:BH$6)*$K11</f>
        <v>-720</v>
      </c>
      <c r="BI11" s="1">
        <f>SUM($AT11,$AA11:AM11)-SUM($AV$5:BI$5)*$J11-SUM($AV$6:BI$6)*$K11</f>
        <v>-800</v>
      </c>
      <c r="BJ11" s="1">
        <f>SUM($AT11,$AA11:AN11)-SUM($AV$5:BJ$5)*$J11-SUM($AV$6:BJ$6)*$K11</f>
        <v>-880</v>
      </c>
      <c r="BK11" s="1">
        <f>SUM($AT11,$AA11:AO11)-SUM($AV$5:BK$5)*$J11-SUM($AV$6:BK$6)*$K11</f>
        <v>-960</v>
      </c>
      <c r="BL11" s="1">
        <f>SUM($AT11,$AA11:AP11)-SUM($AV$5:BL$5)*$J11-SUM($AV$6:BL$6)*$K11</f>
        <v>-1040</v>
      </c>
      <c r="BM11" s="1">
        <f>SUM($AT11,$AA11:AQ11)-SUM($AV$5:BM$5)*$J11-SUM($AV$6:BM$6)*$K11</f>
        <v>-1120</v>
      </c>
      <c r="BN11" s="1">
        <f>SUM($AT11,$AA11:AR11)-SUM($AV$5:BN$5)*$J11-SUM($AV$6:BN$6)*$K11</f>
        <v>-1164</v>
      </c>
    </row>
    <row r="12" spans="1:66">
      <c r="A12" s="1">
        <v>7</v>
      </c>
      <c r="B12" s="28" t="s">
        <v>71</v>
      </c>
      <c r="C12" s="1" t="s">
        <v>40</v>
      </c>
      <c r="D12" s="2">
        <v>400224895</v>
      </c>
      <c r="E12" s="3" t="s">
        <v>72</v>
      </c>
      <c r="F12" s="1"/>
      <c r="G12" s="1" t="s">
        <v>42</v>
      </c>
      <c r="H12" s="1">
        <v>2</v>
      </c>
      <c r="I12" s="1">
        <v>8</v>
      </c>
      <c r="J12" s="1">
        <v>0</v>
      </c>
      <c r="K12" s="1">
        <v>0</v>
      </c>
      <c r="L12" s="1">
        <v>8</v>
      </c>
      <c r="M12" s="1">
        <f t="shared" si="0"/>
        <v>2208</v>
      </c>
      <c r="N12" s="1">
        <f t="shared" si="1"/>
        <v>2208</v>
      </c>
      <c r="O12" s="2" t="s">
        <v>65</v>
      </c>
      <c r="P12" s="1"/>
      <c r="Q12" s="1">
        <v>7.4999999999999997E-2</v>
      </c>
      <c r="R12" s="1" t="s">
        <v>44</v>
      </c>
      <c r="S12" s="30" t="s">
        <v>73</v>
      </c>
      <c r="T12" s="31" t="s">
        <v>67</v>
      </c>
      <c r="U12" s="1"/>
      <c r="V12" s="1">
        <v>2000</v>
      </c>
      <c r="W12" s="1" t="s">
        <v>68</v>
      </c>
      <c r="X12" s="33" t="s">
        <v>69</v>
      </c>
      <c r="Y12" s="1" t="s">
        <v>70</v>
      </c>
      <c r="Z12" s="2" t="s">
        <v>65</v>
      </c>
      <c r="AA12" s="1"/>
      <c r="AB12" s="1"/>
      <c r="AC12" s="1"/>
      <c r="AD12" s="1"/>
      <c r="AE12" s="1"/>
      <c r="AF12" s="1"/>
      <c r="AG12" s="1"/>
      <c r="AH12" s="1"/>
      <c r="AI12" s="1"/>
      <c r="AJ12" s="1"/>
      <c r="AK12" s="1"/>
      <c r="AL12" s="1"/>
      <c r="AM12" s="1"/>
      <c r="AN12" s="1"/>
      <c r="AO12" s="1"/>
      <c r="AP12" s="1"/>
      <c r="AQ12" s="1"/>
      <c r="AR12" s="1"/>
      <c r="AS12" s="1"/>
      <c r="AT12" s="1"/>
      <c r="AU12" s="1"/>
      <c r="AV12" s="1">
        <f>SUM($AT12,Z12:$AA12)-SUM($AV$5:AV$5)*$J12-SUM($AV$6:AV$6)*$K12</f>
        <v>0</v>
      </c>
      <c r="AW12" s="1">
        <f>SUM($AT12,$AA12:AA12)-SUM($AV$5:AW$5)*$J12-SUM($AV$6:AW$6)*$K12</f>
        <v>0</v>
      </c>
      <c r="AX12" s="1">
        <f>SUM($AT12,$AA12:AB12)-SUM($AV$5:AX$5)*$J12-SUM($AV$6:AX$6)*$K12</f>
        <v>0</v>
      </c>
      <c r="AY12" s="1">
        <f>SUM($AT12,$AA12:AC12)-SUM($AV$5:AY$5)*$J12-SUM($AV$6:AY$6)*$K12</f>
        <v>0</v>
      </c>
      <c r="AZ12" s="1">
        <f>SUM($AT12,$AA12:AD12)-SUM($AV$5:AZ$5)*$J12-SUM($AV$6:AZ$6)*$K12</f>
        <v>0</v>
      </c>
      <c r="BA12" s="1">
        <f>SUM($AT12,$AA12:AE12)-SUM($AV$5:BA$5)*$J12-SUM($AV$6:BA$6)*$K12</f>
        <v>0</v>
      </c>
      <c r="BB12" s="1">
        <f>SUM($AT12,$AA12:AF12)-SUM($AV$5:BB$5)*$J12-SUM($AV$6:BB$6)*$K12</f>
        <v>0</v>
      </c>
      <c r="BC12" s="1">
        <f>SUM($AT12,$AA12:AG12)-SUM($AV$5:BC$5)*$J12-SUM($AV$6:BC$6)*$K12</f>
        <v>0</v>
      </c>
      <c r="BD12" s="1">
        <f>SUM($AT12,$AA12:AH12)-SUM($AV$5:BD$5)*$J12-SUM($AV$6:BD$6)*$K12</f>
        <v>0</v>
      </c>
      <c r="BE12" s="1">
        <f>SUM($AT12,$AA12:AI12)-SUM($AV$5:BE$5)*$J12-SUM($AV$6:BE$6)*$K12</f>
        <v>0</v>
      </c>
      <c r="BF12" s="1">
        <f>SUM($AT12,$AA12:AJ12)-SUM($AV$5:BF$5)*$J12-SUM($AV$6:BF$6)*$K12</f>
        <v>0</v>
      </c>
      <c r="BG12" s="1">
        <f>SUM($AT12,$AA12:AK12)-SUM($AV$5:BG$5)*$J12-SUM($AV$6:BG$6)*$K12</f>
        <v>0</v>
      </c>
      <c r="BH12" s="1">
        <f>SUM($AT12,$AA12:AL12)-SUM($AV$5:BH$5)*$J12-SUM($AV$6:BH$6)*$K12</f>
        <v>0</v>
      </c>
      <c r="BI12" s="1">
        <f>SUM($AT12,$AA12:AM12)-SUM($AV$5:BI$5)*$J12-SUM($AV$6:BI$6)*$K12</f>
        <v>0</v>
      </c>
      <c r="BJ12" s="1">
        <f>SUM($AT12,$AA12:AN12)-SUM($AV$5:BJ$5)*$J12-SUM($AV$6:BJ$6)*$K12</f>
        <v>0</v>
      </c>
      <c r="BK12" s="1">
        <f>SUM($AT12,$AA12:AO12)-SUM($AV$5:BK$5)*$J12-SUM($AV$6:BK$6)*$K12</f>
        <v>0</v>
      </c>
      <c r="BL12" s="1">
        <f>SUM($AT12,$AA12:AP12)-SUM($AV$5:BL$5)*$J12-SUM($AV$6:BL$6)*$K12</f>
        <v>0</v>
      </c>
      <c r="BM12" s="1">
        <f>SUM($AT12,$AA12:AQ12)-SUM($AV$5:BM$5)*$J12-SUM($AV$6:BM$6)*$K12</f>
        <v>0</v>
      </c>
      <c r="BN12" s="1">
        <f>SUM($AT12,$AA12:AR12)-SUM($AV$5:BN$5)*$J12-SUM($AV$6:BN$6)*$K12</f>
        <v>0</v>
      </c>
    </row>
    <row r="13" spans="1:66">
      <c r="A13" s="1">
        <v>8</v>
      </c>
      <c r="B13" s="28" t="s">
        <v>74</v>
      </c>
      <c r="C13" s="1" t="s">
        <v>40</v>
      </c>
      <c r="D13" s="2">
        <v>400435018</v>
      </c>
      <c r="E13" s="3" t="s">
        <v>75</v>
      </c>
      <c r="F13" s="1"/>
      <c r="G13" s="1" t="s">
        <v>42</v>
      </c>
      <c r="H13" s="1">
        <v>2</v>
      </c>
      <c r="I13" s="1">
        <v>2</v>
      </c>
      <c r="J13" s="1">
        <v>2</v>
      </c>
      <c r="K13" s="1">
        <v>0</v>
      </c>
      <c r="L13" s="1">
        <v>0</v>
      </c>
      <c r="M13" s="1">
        <f t="shared" si="0"/>
        <v>1164</v>
      </c>
      <c r="N13" s="1">
        <f t="shared" si="1"/>
        <v>1164</v>
      </c>
      <c r="O13" s="2" t="s">
        <v>65</v>
      </c>
      <c r="P13" s="1"/>
      <c r="Q13" s="1">
        <v>7.4999999999999997E-2</v>
      </c>
      <c r="R13" s="1" t="s">
        <v>44</v>
      </c>
      <c r="S13" s="30" t="s">
        <v>76</v>
      </c>
      <c r="T13" s="31" t="s">
        <v>67</v>
      </c>
      <c r="U13" s="1">
        <v>2000</v>
      </c>
      <c r="V13" s="1">
        <v>2000</v>
      </c>
      <c r="W13" s="1" t="s">
        <v>68</v>
      </c>
      <c r="X13" s="32" t="s">
        <v>69</v>
      </c>
      <c r="Y13" s="1" t="s">
        <v>70</v>
      </c>
      <c r="Z13" s="2" t="s">
        <v>65</v>
      </c>
      <c r="AA13" s="1"/>
      <c r="AB13" s="1"/>
      <c r="AC13" s="1"/>
      <c r="AD13" s="1"/>
      <c r="AE13" s="1"/>
      <c r="AF13" s="1"/>
      <c r="AG13" s="1"/>
      <c r="AH13" s="1"/>
      <c r="AI13" s="1"/>
      <c r="AJ13" s="1"/>
      <c r="AK13" s="1"/>
      <c r="AL13" s="1"/>
      <c r="AM13" s="1"/>
      <c r="AN13" s="1"/>
      <c r="AO13" s="1"/>
      <c r="AP13" s="1"/>
      <c r="AQ13" s="1"/>
      <c r="AR13" s="1"/>
      <c r="AS13" s="1"/>
      <c r="AT13" s="1"/>
      <c r="AU13" s="1"/>
      <c r="AV13" s="1">
        <f>SUM($AT13,Z13:$AA13)-SUM($AV$5:AV$5)*$J13-SUM($AV$6:AV$6)*$K13</f>
        <v>0</v>
      </c>
      <c r="AW13" s="1">
        <f>SUM($AT13,$AA13:AA13)-SUM($AV$5:AW$5)*$J13-SUM($AV$6:AW$6)*$K13</f>
        <v>0</v>
      </c>
      <c r="AX13" s="1">
        <f>SUM($AT13,$AA13:AB13)-SUM($AV$5:AX$5)*$J13-SUM($AV$6:AX$6)*$K13</f>
        <v>0</v>
      </c>
      <c r="AY13" s="1">
        <f>SUM($AT13,$AA13:AC13)-SUM($AV$5:AY$5)*$J13-SUM($AV$6:AY$6)*$K13</f>
        <v>0</v>
      </c>
      <c r="AZ13" s="1">
        <f>SUM($AT13,$AA13:AD13)-SUM($AV$5:AZ$5)*$J13-SUM($AV$6:AZ$6)*$K13</f>
        <v>-80</v>
      </c>
      <c r="BA13" s="1">
        <f>SUM($AT13,$AA13:AE13)-SUM($AV$5:BA$5)*$J13-SUM($AV$6:BA$6)*$K13</f>
        <v>-160</v>
      </c>
      <c r="BB13" s="1">
        <f>SUM($AT13,$AA13:AF13)-SUM($AV$5:BB$5)*$J13-SUM($AV$6:BB$6)*$K13</f>
        <v>-240</v>
      </c>
      <c r="BC13" s="1">
        <f>SUM($AT13,$AA13:AG13)-SUM($AV$5:BC$5)*$J13-SUM($AV$6:BC$6)*$K13</f>
        <v>-320</v>
      </c>
      <c r="BD13" s="1">
        <f>SUM($AT13,$AA13:AH13)-SUM($AV$5:BD$5)*$J13-SUM($AV$6:BD$6)*$K13</f>
        <v>-400</v>
      </c>
      <c r="BE13" s="1">
        <f>SUM($AT13,$AA13:AI13)-SUM($AV$5:BE$5)*$J13-SUM($AV$6:BE$6)*$K13</f>
        <v>-480</v>
      </c>
      <c r="BF13" s="1">
        <f>SUM($AT13,$AA13:AJ13)-SUM($AV$5:BF$5)*$J13-SUM($AV$6:BF$6)*$K13</f>
        <v>-560</v>
      </c>
      <c r="BG13" s="1">
        <f>SUM($AT13,$AA13:AK13)-SUM($AV$5:BG$5)*$J13-SUM($AV$6:BG$6)*$K13</f>
        <v>-640</v>
      </c>
      <c r="BH13" s="1">
        <f>SUM($AT13,$AA13:AL13)-SUM($AV$5:BH$5)*$J13-SUM($AV$6:BH$6)*$K13</f>
        <v>-720</v>
      </c>
      <c r="BI13" s="1">
        <f>SUM($AT13,$AA13:AM13)-SUM($AV$5:BI$5)*$J13-SUM($AV$6:BI$6)*$K13</f>
        <v>-800</v>
      </c>
      <c r="BJ13" s="1">
        <f>SUM($AT13,$AA13:AN13)-SUM($AV$5:BJ$5)*$J13-SUM($AV$6:BJ$6)*$K13</f>
        <v>-880</v>
      </c>
      <c r="BK13" s="1">
        <f>SUM($AT13,$AA13:AO13)-SUM($AV$5:BK$5)*$J13-SUM($AV$6:BK$6)*$K13</f>
        <v>-960</v>
      </c>
      <c r="BL13" s="1">
        <f>SUM($AT13,$AA13:AP13)-SUM($AV$5:BL$5)*$J13-SUM($AV$6:BL$6)*$K13</f>
        <v>-1040</v>
      </c>
      <c r="BM13" s="1">
        <f>SUM($AT13,$AA13:AQ13)-SUM($AV$5:BM$5)*$J13-SUM($AV$6:BM$6)*$K13</f>
        <v>-1120</v>
      </c>
      <c r="BN13" s="1">
        <f>SUM($AT13,$AA13:AR13)-SUM($AV$5:BN$5)*$J13-SUM($AV$6:BN$6)*$K13</f>
        <v>-1164</v>
      </c>
    </row>
    <row r="14" spans="1:66">
      <c r="A14" s="1">
        <v>9</v>
      </c>
      <c r="B14" s="28" t="s">
        <v>77</v>
      </c>
      <c r="C14" s="1" t="s">
        <v>40</v>
      </c>
      <c r="D14" s="2">
        <v>409051129</v>
      </c>
      <c r="E14" s="3" t="s">
        <v>78</v>
      </c>
      <c r="F14" s="1"/>
      <c r="G14" s="1" t="s">
        <v>42</v>
      </c>
      <c r="H14" s="1">
        <v>1</v>
      </c>
      <c r="I14" s="1">
        <v>3</v>
      </c>
      <c r="J14" s="1">
        <v>3</v>
      </c>
      <c r="K14" s="1">
        <v>0</v>
      </c>
      <c r="L14" s="1">
        <v>0</v>
      </c>
      <c r="M14" s="1">
        <f t="shared" si="0"/>
        <v>1746</v>
      </c>
      <c r="N14" s="1">
        <f t="shared" si="1"/>
        <v>1746</v>
      </c>
      <c r="O14" s="2" t="s">
        <v>65</v>
      </c>
      <c r="P14" s="1"/>
      <c r="Q14" s="1">
        <v>0.08</v>
      </c>
      <c r="R14" s="1" t="s">
        <v>44</v>
      </c>
      <c r="S14" s="30" t="s">
        <v>76</v>
      </c>
      <c r="T14" s="31" t="s">
        <v>67</v>
      </c>
      <c r="U14" s="1">
        <v>2000</v>
      </c>
      <c r="V14" s="1">
        <v>2000</v>
      </c>
      <c r="W14" s="1" t="s">
        <v>68</v>
      </c>
      <c r="X14" s="32" t="s">
        <v>69</v>
      </c>
      <c r="Y14" s="1" t="s">
        <v>70</v>
      </c>
      <c r="Z14" s="2" t="s">
        <v>65</v>
      </c>
      <c r="AA14" s="1"/>
      <c r="AB14" s="1"/>
      <c r="AC14" s="1">
        <v>2000</v>
      </c>
      <c r="AD14" s="1"/>
      <c r="AE14" s="1"/>
      <c r="AF14" s="1"/>
      <c r="AG14" s="1"/>
      <c r="AH14" s="1"/>
      <c r="AI14" s="1"/>
      <c r="AJ14" s="1"/>
      <c r="AK14" s="1"/>
      <c r="AL14" s="1"/>
      <c r="AM14" s="1"/>
      <c r="AN14" s="1"/>
      <c r="AO14" s="1"/>
      <c r="AP14" s="1"/>
      <c r="AQ14" s="1"/>
      <c r="AR14" s="1"/>
      <c r="AS14" s="1"/>
      <c r="AT14" s="1"/>
      <c r="AU14" s="1"/>
      <c r="AV14" s="1">
        <f>SUM($AT14,Z14:$AA14)-SUM($AV$5:AV$5)*$J14-SUM($AV$6:AV$6)*$K14</f>
        <v>0</v>
      </c>
      <c r="AW14" s="1">
        <f>SUM($AT14,$AA14:AA14)-SUM($AV$5:AW$5)*$J14-SUM($AV$6:AW$6)*$K14</f>
        <v>0</v>
      </c>
      <c r="AX14" s="1">
        <f>SUM($AT14,$AA14:AB14)-SUM($AV$5:AX$5)*$J14-SUM($AV$6:AX$6)*$K14</f>
        <v>0</v>
      </c>
      <c r="AY14" s="1">
        <f>SUM($AT14,$AA14:AC14)-SUM($AV$5:AY$5)*$J14-SUM($AV$6:AY$6)*$K14</f>
        <v>2000</v>
      </c>
      <c r="AZ14" s="1">
        <f>SUM($AT14,$AA14:AD14)-SUM($AV$5:AZ$5)*$J14-SUM($AV$6:AZ$6)*$K14</f>
        <v>1880</v>
      </c>
      <c r="BA14" s="1">
        <f>SUM($AT14,$AA14:AE14)-SUM($AV$5:BA$5)*$J14-SUM($AV$6:BA$6)*$K14</f>
        <v>1760</v>
      </c>
      <c r="BB14" s="1">
        <f>SUM($AT14,$AA14:AF14)-SUM($AV$5:BB$5)*$J14-SUM($AV$6:BB$6)*$K14</f>
        <v>1640</v>
      </c>
      <c r="BC14" s="1">
        <f>SUM($AT14,$AA14:AG14)-SUM($AV$5:BC$5)*$J14-SUM($AV$6:BC$6)*$K14</f>
        <v>1520</v>
      </c>
      <c r="BD14" s="1">
        <f>SUM($AT14,$AA14:AH14)-SUM($AV$5:BD$5)*$J14-SUM($AV$6:BD$6)*$K14</f>
        <v>1400</v>
      </c>
      <c r="BE14" s="1">
        <f>SUM($AT14,$AA14:AI14)-SUM($AV$5:BE$5)*$J14-SUM($AV$6:BE$6)*$K14</f>
        <v>1280</v>
      </c>
      <c r="BF14" s="1">
        <f>SUM($AT14,$AA14:AJ14)-SUM($AV$5:BF$5)*$J14-SUM($AV$6:BF$6)*$K14</f>
        <v>1160</v>
      </c>
      <c r="BG14" s="1">
        <f>SUM($AT14,$AA14:AK14)-SUM($AV$5:BG$5)*$J14-SUM($AV$6:BG$6)*$K14</f>
        <v>1040</v>
      </c>
      <c r="BH14" s="1">
        <f>SUM($AT14,$AA14:AL14)-SUM($AV$5:BH$5)*$J14-SUM($AV$6:BH$6)*$K14</f>
        <v>920</v>
      </c>
      <c r="BI14" s="1">
        <f>SUM($AT14,$AA14:AM14)-SUM($AV$5:BI$5)*$J14-SUM($AV$6:BI$6)*$K14</f>
        <v>800</v>
      </c>
      <c r="BJ14" s="1">
        <f>SUM($AT14,$AA14:AN14)-SUM($AV$5:BJ$5)*$J14-SUM($AV$6:BJ$6)*$K14</f>
        <v>680</v>
      </c>
      <c r="BK14" s="1">
        <f>SUM($AT14,$AA14:AO14)-SUM($AV$5:BK$5)*$J14-SUM($AV$6:BK$6)*$K14</f>
        <v>560</v>
      </c>
      <c r="BL14" s="1">
        <f>SUM($AT14,$AA14:AP14)-SUM($AV$5:BL$5)*$J14-SUM($AV$6:BL$6)*$K14</f>
        <v>440</v>
      </c>
      <c r="BM14" s="1">
        <f>SUM($AT14,$AA14:AQ14)-SUM($AV$5:BM$5)*$J14-SUM($AV$6:BM$6)*$K14</f>
        <v>320</v>
      </c>
      <c r="BN14" s="1">
        <f>SUM($AT14,$AA14:AR14)-SUM($AV$5:BN$5)*$J14-SUM($AV$6:BN$6)*$K14</f>
        <v>254</v>
      </c>
    </row>
    <row r="15" spans="1:66">
      <c r="A15" s="1">
        <v>10</v>
      </c>
      <c r="B15" s="28" t="s">
        <v>79</v>
      </c>
      <c r="C15" s="1" t="s">
        <v>40</v>
      </c>
      <c r="D15" s="2">
        <v>405810263</v>
      </c>
      <c r="E15" s="3" t="s">
        <v>80</v>
      </c>
      <c r="F15" s="1">
        <v>401502526</v>
      </c>
      <c r="G15" s="1" t="s">
        <v>42</v>
      </c>
      <c r="H15" s="1">
        <v>2</v>
      </c>
      <c r="I15" s="1">
        <v>2</v>
      </c>
      <c r="J15" s="1">
        <v>2</v>
      </c>
      <c r="K15" s="1">
        <v>0</v>
      </c>
      <c r="L15" s="1">
        <v>0</v>
      </c>
      <c r="M15" s="1">
        <f t="shared" si="0"/>
        <v>1164</v>
      </c>
      <c r="N15" s="1">
        <f t="shared" si="1"/>
        <v>1164</v>
      </c>
      <c r="O15" s="2" t="s">
        <v>65</v>
      </c>
      <c r="P15" s="1"/>
      <c r="Q15" s="1">
        <v>0.15</v>
      </c>
      <c r="R15" s="1" t="s">
        <v>44</v>
      </c>
      <c r="S15" s="30" t="s">
        <v>76</v>
      </c>
      <c r="T15" s="31" t="s">
        <v>67</v>
      </c>
      <c r="U15" s="1">
        <v>2000</v>
      </c>
      <c r="V15" s="1">
        <v>2000</v>
      </c>
      <c r="W15" s="1" t="s">
        <v>68</v>
      </c>
      <c r="X15" s="32" t="s">
        <v>69</v>
      </c>
      <c r="Y15" s="1" t="s">
        <v>70</v>
      </c>
      <c r="Z15" s="2" t="s">
        <v>65</v>
      </c>
      <c r="AA15" s="1"/>
      <c r="AB15" s="1"/>
      <c r="AC15" s="1">
        <v>2000</v>
      </c>
      <c r="AD15" s="1"/>
      <c r="AE15" s="1"/>
      <c r="AF15" s="1"/>
      <c r="AG15" s="1"/>
      <c r="AH15" s="1"/>
      <c r="AI15" s="1"/>
      <c r="AJ15" s="1"/>
      <c r="AK15" s="1"/>
      <c r="AL15" s="1"/>
      <c r="AM15" s="1"/>
      <c r="AN15" s="1"/>
      <c r="AO15" s="1"/>
      <c r="AP15" s="1"/>
      <c r="AQ15" s="1"/>
      <c r="AR15" s="1"/>
      <c r="AS15" s="1"/>
      <c r="AT15" s="1"/>
      <c r="AU15" s="1"/>
      <c r="AV15" s="1">
        <f>SUM($AT15,Z15:$AA15)-SUM($AV$5:AV$5)*$J15-SUM($AV$6:AV$6)*$K15</f>
        <v>0</v>
      </c>
      <c r="AW15" s="1">
        <f>SUM($AT15,$AA15:AA15)-SUM($AV$5:AW$5)*$J15-SUM($AV$6:AW$6)*$K15</f>
        <v>0</v>
      </c>
      <c r="AX15" s="1">
        <f>SUM($AT15,$AA15:AB15)-SUM($AV$5:AX$5)*$J15-SUM($AV$6:AX$6)*$K15</f>
        <v>0</v>
      </c>
      <c r="AY15" s="1">
        <f>SUM($AT15,$AA15:AC15)-SUM($AV$5:AY$5)*$J15-SUM($AV$6:AY$6)*$K15</f>
        <v>2000</v>
      </c>
      <c r="AZ15" s="1">
        <f>SUM($AT15,$AA15:AD15)-SUM($AV$5:AZ$5)*$J15-SUM($AV$6:AZ$6)*$K15</f>
        <v>1920</v>
      </c>
      <c r="BA15" s="1">
        <f>SUM($AT15,$AA15:AE15)-SUM($AV$5:BA$5)*$J15-SUM($AV$6:BA$6)*$K15</f>
        <v>1840</v>
      </c>
      <c r="BB15" s="1">
        <f>SUM($AT15,$AA15:AF15)-SUM($AV$5:BB$5)*$J15-SUM($AV$6:BB$6)*$K15</f>
        <v>1760</v>
      </c>
      <c r="BC15" s="1">
        <f>SUM($AT15,$AA15:AG15)-SUM($AV$5:BC$5)*$J15-SUM($AV$6:BC$6)*$K15</f>
        <v>1680</v>
      </c>
      <c r="BD15" s="1">
        <f>SUM($AT15,$AA15:AH15)-SUM($AV$5:BD$5)*$J15-SUM($AV$6:BD$6)*$K15</f>
        <v>1600</v>
      </c>
      <c r="BE15" s="1">
        <f>SUM($AT15,$AA15:AI15)-SUM($AV$5:BE$5)*$J15-SUM($AV$6:BE$6)*$K15</f>
        <v>1520</v>
      </c>
      <c r="BF15" s="1">
        <f>SUM($AT15,$AA15:AJ15)-SUM($AV$5:BF$5)*$J15-SUM($AV$6:BF$6)*$K15</f>
        <v>1440</v>
      </c>
      <c r="BG15" s="1">
        <f>SUM($AT15,$AA15:AK15)-SUM($AV$5:BG$5)*$J15-SUM($AV$6:BG$6)*$K15</f>
        <v>1360</v>
      </c>
      <c r="BH15" s="1">
        <f>SUM($AT15,$AA15:AL15)-SUM($AV$5:BH$5)*$J15-SUM($AV$6:BH$6)*$K15</f>
        <v>1280</v>
      </c>
      <c r="BI15" s="1">
        <f>SUM($AT15,$AA15:AM15)-SUM($AV$5:BI$5)*$J15-SUM($AV$6:BI$6)*$K15</f>
        <v>1200</v>
      </c>
      <c r="BJ15" s="1">
        <f>SUM($AT15,$AA15:AN15)-SUM($AV$5:BJ$5)*$J15-SUM($AV$6:BJ$6)*$K15</f>
        <v>1120</v>
      </c>
      <c r="BK15" s="1">
        <f>SUM($AT15,$AA15:AO15)-SUM($AV$5:BK$5)*$J15-SUM($AV$6:BK$6)*$K15</f>
        <v>1040</v>
      </c>
      <c r="BL15" s="1">
        <f>SUM($AT15,$AA15:AP15)-SUM($AV$5:BL$5)*$J15-SUM($AV$6:BL$6)*$K15</f>
        <v>960</v>
      </c>
      <c r="BM15" s="1">
        <f>SUM($AT15,$AA15:AQ15)-SUM($AV$5:BM$5)*$J15-SUM($AV$6:BM$6)*$K15</f>
        <v>880</v>
      </c>
      <c r="BN15" s="1">
        <f>SUM($AT15,$AA15:AR15)-SUM($AV$5:BN$5)*$J15-SUM($AV$6:BN$6)*$K15</f>
        <v>836</v>
      </c>
    </row>
    <row r="16" spans="1:66">
      <c r="A16" s="1">
        <v>11</v>
      </c>
      <c r="B16" s="28" t="s">
        <v>81</v>
      </c>
      <c r="C16" s="1" t="s">
        <v>40</v>
      </c>
      <c r="D16" s="2">
        <v>413658119</v>
      </c>
      <c r="E16" s="3" t="s">
        <v>82</v>
      </c>
      <c r="F16" s="1">
        <v>401502466</v>
      </c>
      <c r="G16" s="1" t="s">
        <v>42</v>
      </c>
      <c r="H16" s="1">
        <v>2</v>
      </c>
      <c r="I16" s="1">
        <v>16</v>
      </c>
      <c r="J16" s="1">
        <v>16</v>
      </c>
      <c r="K16" s="1">
        <v>0</v>
      </c>
      <c r="L16" s="1">
        <v>0</v>
      </c>
      <c r="M16" s="1">
        <f t="shared" si="0"/>
        <v>9312</v>
      </c>
      <c r="N16" s="1">
        <f t="shared" si="1"/>
        <v>9312</v>
      </c>
      <c r="O16" s="2" t="s">
        <v>53</v>
      </c>
      <c r="P16" s="1"/>
      <c r="Q16" s="1">
        <v>4.4999999999999998E-2</v>
      </c>
      <c r="R16" s="1" t="s">
        <v>44</v>
      </c>
      <c r="S16" s="30" t="s">
        <v>83</v>
      </c>
      <c r="T16" s="31" t="s">
        <v>46</v>
      </c>
      <c r="U16" s="1"/>
      <c r="V16" s="1">
        <v>3000</v>
      </c>
      <c r="W16" s="1" t="s">
        <v>47</v>
      </c>
      <c r="X16" s="32" t="s">
        <v>48</v>
      </c>
      <c r="Y16" s="1" t="s">
        <v>49</v>
      </c>
      <c r="Z16" s="2" t="s">
        <v>53</v>
      </c>
      <c r="AA16" s="1"/>
      <c r="AB16" s="1"/>
      <c r="AC16" s="1"/>
      <c r="AD16" s="1"/>
      <c r="AE16" s="1"/>
      <c r="AF16" s="1"/>
      <c r="AG16" s="1"/>
      <c r="AH16" s="1"/>
      <c r="AI16" s="1"/>
      <c r="AJ16" s="1"/>
      <c r="AK16" s="1"/>
      <c r="AL16" s="1"/>
      <c r="AM16" s="1"/>
      <c r="AN16" s="1"/>
      <c r="AO16" s="1"/>
      <c r="AP16" s="1"/>
      <c r="AQ16" s="1"/>
      <c r="AR16" s="1"/>
      <c r="AS16" s="1"/>
      <c r="AT16" s="1"/>
      <c r="AU16" s="1"/>
      <c r="AV16" s="1">
        <f>SUM($AT16,Z16:$AA16)-SUM($AV$5:AV$5)*$J16-SUM($AV$6:AV$6)*$K16</f>
        <v>0</v>
      </c>
      <c r="AW16" s="1">
        <f>SUM($AT16,$AA16:AA16)-SUM($AV$5:AW$5)*$J16-SUM($AV$6:AW$6)*$K16</f>
        <v>0</v>
      </c>
      <c r="AX16" s="1">
        <f>SUM($AT16,$AA16:AB16)-SUM($AV$5:AX$5)*$J16-SUM($AV$6:AX$6)*$K16</f>
        <v>0</v>
      </c>
      <c r="AY16" s="1">
        <f>SUM($AT16,$AA16:AC16)-SUM($AV$5:AY$5)*$J16-SUM($AV$6:AY$6)*$K16</f>
        <v>0</v>
      </c>
      <c r="AZ16" s="1">
        <f>SUM($AT16,$AA16:AD16)-SUM($AV$5:AZ$5)*$J16-SUM($AV$6:AZ$6)*$K16</f>
        <v>-640</v>
      </c>
      <c r="BA16" s="1">
        <f>SUM($AT16,$AA16:AE16)-SUM($AV$5:BA$5)*$J16-SUM($AV$6:BA$6)*$K16</f>
        <v>-1280</v>
      </c>
      <c r="BB16" s="1">
        <f>SUM($AT16,$AA16:AF16)-SUM($AV$5:BB$5)*$J16-SUM($AV$6:BB$6)*$K16</f>
        <v>-1920</v>
      </c>
      <c r="BC16" s="1">
        <f>SUM($AT16,$AA16:AG16)-SUM($AV$5:BC$5)*$J16-SUM($AV$6:BC$6)*$K16</f>
        <v>-2560</v>
      </c>
      <c r="BD16" s="1">
        <f>SUM($AT16,$AA16:AH16)-SUM($AV$5:BD$5)*$J16-SUM($AV$6:BD$6)*$K16</f>
        <v>-3200</v>
      </c>
      <c r="BE16" s="1">
        <f>SUM($AT16,$AA16:AI16)-SUM($AV$5:BE$5)*$J16-SUM($AV$6:BE$6)*$K16</f>
        <v>-3840</v>
      </c>
      <c r="BF16" s="1">
        <f>SUM($AT16,$AA16:AJ16)-SUM($AV$5:BF$5)*$J16-SUM($AV$6:BF$6)*$K16</f>
        <v>-4480</v>
      </c>
      <c r="BG16" s="1">
        <f>SUM($AT16,$AA16:AK16)-SUM($AV$5:BG$5)*$J16-SUM($AV$6:BG$6)*$K16</f>
        <v>-5120</v>
      </c>
      <c r="BH16" s="1">
        <f>SUM($AT16,$AA16:AL16)-SUM($AV$5:BH$5)*$J16-SUM($AV$6:BH$6)*$K16</f>
        <v>-5760</v>
      </c>
      <c r="BI16" s="1">
        <f>SUM($AT16,$AA16:AM16)-SUM($AV$5:BI$5)*$J16-SUM($AV$6:BI$6)*$K16</f>
        <v>-6400</v>
      </c>
      <c r="BJ16" s="1">
        <f>SUM($AT16,$AA16:AN16)-SUM($AV$5:BJ$5)*$J16-SUM($AV$6:BJ$6)*$K16</f>
        <v>-7040</v>
      </c>
      <c r="BK16" s="1">
        <f>SUM($AT16,$AA16:AO16)-SUM($AV$5:BK$5)*$J16-SUM($AV$6:BK$6)*$K16</f>
        <v>-7680</v>
      </c>
      <c r="BL16" s="1">
        <f>SUM($AT16,$AA16:AP16)-SUM($AV$5:BL$5)*$J16-SUM($AV$6:BL$6)*$K16</f>
        <v>-8320</v>
      </c>
      <c r="BM16" s="1">
        <f>SUM($AT16,$AA16:AQ16)-SUM($AV$5:BM$5)*$J16-SUM($AV$6:BM$6)*$K16</f>
        <v>-8960</v>
      </c>
      <c r="BN16" s="1">
        <f>SUM($AT16,$AA16:AR16)-SUM($AV$5:BN$5)*$J16-SUM($AV$6:BN$6)*$K16</f>
        <v>-9312</v>
      </c>
    </row>
    <row r="17" spans="1:66">
      <c r="A17" s="1">
        <v>12</v>
      </c>
      <c r="B17" s="28" t="s">
        <v>84</v>
      </c>
      <c r="C17" s="1" t="s">
        <v>40</v>
      </c>
      <c r="D17" s="2">
        <v>414202262</v>
      </c>
      <c r="E17" s="3" t="s">
        <v>85</v>
      </c>
      <c r="F17" s="1">
        <v>401502387</v>
      </c>
      <c r="G17" s="1" t="s">
        <v>42</v>
      </c>
      <c r="H17" s="1">
        <v>2</v>
      </c>
      <c r="I17" s="1">
        <v>227</v>
      </c>
      <c r="J17" s="1">
        <v>227</v>
      </c>
      <c r="K17" s="1">
        <v>0</v>
      </c>
      <c r="L17" s="1">
        <v>0</v>
      </c>
      <c r="M17" s="1">
        <f t="shared" si="0"/>
        <v>132114</v>
      </c>
      <c r="N17" s="1">
        <f t="shared" si="1"/>
        <v>132114</v>
      </c>
      <c r="O17" s="2" t="s">
        <v>53</v>
      </c>
      <c r="P17" s="1"/>
      <c r="Q17" s="1">
        <v>3.8399999999999997E-2</v>
      </c>
      <c r="R17" s="1" t="s">
        <v>44</v>
      </c>
      <c r="S17" s="30" t="s">
        <v>83</v>
      </c>
      <c r="T17" s="31" t="s">
        <v>46</v>
      </c>
      <c r="U17" s="1"/>
      <c r="V17" s="1">
        <v>10000</v>
      </c>
      <c r="W17" s="1" t="s">
        <v>47</v>
      </c>
      <c r="X17" s="32" t="s">
        <v>48</v>
      </c>
      <c r="Y17" s="1" t="s">
        <v>49</v>
      </c>
      <c r="Z17" s="2" t="s">
        <v>53</v>
      </c>
      <c r="AA17" s="1"/>
      <c r="AB17" s="1"/>
      <c r="AC17" s="1"/>
      <c r="AD17" s="1"/>
      <c r="AE17" s="1"/>
      <c r="AF17" s="1"/>
      <c r="AG17" s="1"/>
      <c r="AH17" s="1"/>
      <c r="AI17" s="1"/>
      <c r="AJ17" s="1"/>
      <c r="AK17" s="1"/>
      <c r="AL17" s="1"/>
      <c r="AM17" s="1"/>
      <c r="AN17" s="1"/>
      <c r="AO17" s="1"/>
      <c r="AP17" s="1"/>
      <c r="AQ17" s="1"/>
      <c r="AR17" s="1"/>
      <c r="AS17" s="1"/>
      <c r="AT17" s="1"/>
      <c r="AU17" s="1"/>
      <c r="AV17" s="1">
        <f>SUM($AT17,Z17:$AA17)-SUM($AV$5:AV$5)*$J17-SUM($AV$6:AV$6)*$K17</f>
        <v>0</v>
      </c>
      <c r="AW17" s="1">
        <f>SUM($AT17,$AA17:AA17)-SUM($AV$5:AW$5)*$J17-SUM($AV$6:AW$6)*$K17</f>
        <v>0</v>
      </c>
      <c r="AX17" s="1">
        <f>SUM($AT17,$AA17:AB17)-SUM($AV$5:AX$5)*$J17-SUM($AV$6:AX$6)*$K17</f>
        <v>0</v>
      </c>
      <c r="AY17" s="1">
        <f>SUM($AT17,$AA17:AC17)-SUM($AV$5:AY$5)*$J17-SUM($AV$6:AY$6)*$K17</f>
        <v>0</v>
      </c>
      <c r="AZ17" s="1">
        <f>SUM($AT17,$AA17:AD17)-SUM($AV$5:AZ$5)*$J17-SUM($AV$6:AZ$6)*$K17</f>
        <v>-9080</v>
      </c>
      <c r="BA17" s="1">
        <f>SUM($AT17,$AA17:AE17)-SUM($AV$5:BA$5)*$J17-SUM($AV$6:BA$6)*$K17</f>
        <v>-18160</v>
      </c>
      <c r="BB17" s="1">
        <f>SUM($AT17,$AA17:AF17)-SUM($AV$5:BB$5)*$J17-SUM($AV$6:BB$6)*$K17</f>
        <v>-27240</v>
      </c>
      <c r="BC17" s="1">
        <f>SUM($AT17,$AA17:AG17)-SUM($AV$5:BC$5)*$J17-SUM($AV$6:BC$6)*$K17</f>
        <v>-36320</v>
      </c>
      <c r="BD17" s="1">
        <f>SUM($AT17,$AA17:AH17)-SUM($AV$5:BD$5)*$J17-SUM($AV$6:BD$6)*$K17</f>
        <v>-45400</v>
      </c>
      <c r="BE17" s="1">
        <f>SUM($AT17,$AA17:AI17)-SUM($AV$5:BE$5)*$J17-SUM($AV$6:BE$6)*$K17</f>
        <v>-54480</v>
      </c>
      <c r="BF17" s="1">
        <f>SUM($AT17,$AA17:AJ17)-SUM($AV$5:BF$5)*$J17-SUM($AV$6:BF$6)*$K17</f>
        <v>-63560</v>
      </c>
      <c r="BG17" s="1">
        <f>SUM($AT17,$AA17:AK17)-SUM($AV$5:BG$5)*$J17-SUM($AV$6:BG$6)*$K17</f>
        <v>-72640</v>
      </c>
      <c r="BH17" s="1">
        <f>SUM($AT17,$AA17:AL17)-SUM($AV$5:BH$5)*$J17-SUM($AV$6:BH$6)*$K17</f>
        <v>-81720</v>
      </c>
      <c r="BI17" s="1">
        <f>SUM($AT17,$AA17:AM17)-SUM($AV$5:BI$5)*$J17-SUM($AV$6:BI$6)*$K17</f>
        <v>-90800</v>
      </c>
      <c r="BJ17" s="1">
        <f>SUM($AT17,$AA17:AN17)-SUM($AV$5:BJ$5)*$J17-SUM($AV$6:BJ$6)*$K17</f>
        <v>-99880</v>
      </c>
      <c r="BK17" s="1">
        <f>SUM($AT17,$AA17:AO17)-SUM($AV$5:BK$5)*$J17-SUM($AV$6:BK$6)*$K17</f>
        <v>-108960</v>
      </c>
      <c r="BL17" s="1">
        <f>SUM($AT17,$AA17:AP17)-SUM($AV$5:BL$5)*$J17-SUM($AV$6:BL$6)*$K17</f>
        <v>-118040</v>
      </c>
      <c r="BM17" s="1">
        <f>SUM($AT17,$AA17:AQ17)-SUM($AV$5:BM$5)*$J17-SUM($AV$6:BM$6)*$K17</f>
        <v>-127120</v>
      </c>
      <c r="BN17" s="1">
        <f>SUM($AT17,$AA17:AR17)-SUM($AV$5:BN$5)*$J17-SUM($AV$6:BN$6)*$K17</f>
        <v>-132114</v>
      </c>
    </row>
    <row r="18" spans="1:66">
      <c r="A18" s="1">
        <v>13</v>
      </c>
      <c r="B18" s="28" t="s">
        <v>86</v>
      </c>
      <c r="C18" s="1" t="s">
        <v>40</v>
      </c>
      <c r="D18" s="2" t="s">
        <v>87</v>
      </c>
      <c r="E18" s="3" t="s">
        <v>88</v>
      </c>
      <c r="F18" s="1" t="s">
        <v>89</v>
      </c>
      <c r="G18" s="1" t="s">
        <v>42</v>
      </c>
      <c r="H18" s="1">
        <v>1</v>
      </c>
      <c r="I18" s="1">
        <v>37</v>
      </c>
      <c r="J18" s="1">
        <v>0</v>
      </c>
      <c r="K18" s="1">
        <v>0</v>
      </c>
      <c r="L18" s="1">
        <v>37</v>
      </c>
      <c r="M18" s="1">
        <f t="shared" si="0"/>
        <v>10212</v>
      </c>
      <c r="N18" s="1">
        <f t="shared" si="1"/>
        <v>10212</v>
      </c>
      <c r="O18" s="2" t="s">
        <v>90</v>
      </c>
      <c r="P18" s="1"/>
      <c r="Q18" s="1">
        <v>0.6</v>
      </c>
      <c r="R18" s="1" t="s">
        <v>44</v>
      </c>
      <c r="S18" s="30" t="s">
        <v>91</v>
      </c>
      <c r="T18" s="31" t="s">
        <v>55</v>
      </c>
      <c r="U18" s="1">
        <v>1</v>
      </c>
      <c r="V18" s="1">
        <v>1</v>
      </c>
      <c r="W18" s="1" t="s">
        <v>56</v>
      </c>
      <c r="X18" s="33" t="s">
        <v>57</v>
      </c>
      <c r="Y18" s="1" t="s">
        <v>58</v>
      </c>
      <c r="Z18" s="2" t="s">
        <v>90</v>
      </c>
      <c r="AA18" s="1"/>
      <c r="AB18" s="1"/>
      <c r="AC18" s="1"/>
      <c r="AD18" s="1"/>
      <c r="AE18" s="1"/>
      <c r="AF18" s="1"/>
      <c r="AG18" s="1"/>
      <c r="AH18" s="1"/>
      <c r="AI18" s="1"/>
      <c r="AJ18" s="1"/>
      <c r="AK18" s="1"/>
      <c r="AL18" s="1"/>
      <c r="AM18" s="1"/>
      <c r="AN18" s="1"/>
      <c r="AO18" s="1"/>
      <c r="AP18" s="1"/>
      <c r="AQ18" s="1"/>
      <c r="AR18" s="1"/>
      <c r="AS18" s="1"/>
      <c r="AT18" s="1"/>
      <c r="AU18" s="1"/>
      <c r="AV18" s="1">
        <f>SUM($AT18,Z18:$AA18)-SUM($AV$5:AV$5)*$J18-SUM($AV$6:AV$6)*$K18</f>
        <v>0</v>
      </c>
      <c r="AW18" s="1">
        <f>SUM($AT18,$AA18:AA18)-SUM($AV$5:AW$5)*$J18-SUM($AV$6:AW$6)*$K18</f>
        <v>0</v>
      </c>
      <c r="AX18" s="1">
        <f>SUM($AT18,$AA18:AB18)-SUM($AV$5:AX$5)*$J18-SUM($AV$6:AX$6)*$K18</f>
        <v>0</v>
      </c>
      <c r="AY18" s="1">
        <f>SUM($AT18,$AA18:AC18)-SUM($AV$5:AY$5)*$J18-SUM($AV$6:AY$6)*$K18</f>
        <v>0</v>
      </c>
      <c r="AZ18" s="1">
        <f>SUM($AT18,$AA18:AD18)-SUM($AV$5:AZ$5)*$J18-SUM($AV$6:AZ$6)*$K18</f>
        <v>0</v>
      </c>
      <c r="BA18" s="1">
        <f>SUM($AT18,$AA18:AE18)-SUM($AV$5:BA$5)*$J18-SUM($AV$6:BA$6)*$K18</f>
        <v>0</v>
      </c>
      <c r="BB18" s="1">
        <f>SUM($AT18,$AA18:AF18)-SUM($AV$5:BB$5)*$J18-SUM($AV$6:BB$6)*$K18</f>
        <v>0</v>
      </c>
      <c r="BC18" s="1">
        <f>SUM($AT18,$AA18:AG18)-SUM($AV$5:BC$5)*$J18-SUM($AV$6:BC$6)*$K18</f>
        <v>0</v>
      </c>
      <c r="BD18" s="1">
        <f>SUM($AT18,$AA18:AH18)-SUM($AV$5:BD$5)*$J18-SUM($AV$6:BD$6)*$K18</f>
        <v>0</v>
      </c>
      <c r="BE18" s="1">
        <f>SUM($AT18,$AA18:AI18)-SUM($AV$5:BE$5)*$J18-SUM($AV$6:BE$6)*$K18</f>
        <v>0</v>
      </c>
      <c r="BF18" s="1">
        <f>SUM($AT18,$AA18:AJ18)-SUM($AV$5:BF$5)*$J18-SUM($AV$6:BF$6)*$K18</f>
        <v>0</v>
      </c>
      <c r="BG18" s="1">
        <f>SUM($AT18,$AA18:AK18)-SUM($AV$5:BG$5)*$J18-SUM($AV$6:BG$6)*$K18</f>
        <v>0</v>
      </c>
      <c r="BH18" s="1">
        <f>SUM($AT18,$AA18:AL18)-SUM($AV$5:BH$5)*$J18-SUM($AV$6:BH$6)*$K18</f>
        <v>0</v>
      </c>
      <c r="BI18" s="1">
        <f>SUM($AT18,$AA18:AM18)-SUM($AV$5:BI$5)*$J18-SUM($AV$6:BI$6)*$K18</f>
        <v>0</v>
      </c>
      <c r="BJ18" s="1">
        <f>SUM($AT18,$AA18:AN18)-SUM($AV$5:BJ$5)*$J18-SUM($AV$6:BJ$6)*$K18</f>
        <v>0</v>
      </c>
      <c r="BK18" s="1">
        <f>SUM($AT18,$AA18:AO18)-SUM($AV$5:BK$5)*$J18-SUM($AV$6:BK$6)*$K18</f>
        <v>0</v>
      </c>
      <c r="BL18" s="1">
        <f>SUM($AT18,$AA18:AP18)-SUM($AV$5:BL$5)*$J18-SUM($AV$6:BL$6)*$K18</f>
        <v>0</v>
      </c>
      <c r="BM18" s="1">
        <f>SUM($AT18,$AA18:AQ18)-SUM($AV$5:BM$5)*$J18-SUM($AV$6:BM$6)*$K18</f>
        <v>0</v>
      </c>
      <c r="BN18" s="1">
        <f>SUM($AT18,$AA18:AR18)-SUM($AV$5:BN$5)*$J18-SUM($AV$6:BN$6)*$K18</f>
        <v>0</v>
      </c>
    </row>
    <row r="19" spans="1:66">
      <c r="A19" s="1">
        <v>15</v>
      </c>
      <c r="B19" s="28" t="s">
        <v>92</v>
      </c>
      <c r="C19" s="1" t="s">
        <v>40</v>
      </c>
      <c r="D19" s="2" t="s">
        <v>93</v>
      </c>
      <c r="E19" s="3" t="s">
        <v>94</v>
      </c>
      <c r="F19" s="1"/>
      <c r="G19" s="1" t="s">
        <v>42</v>
      </c>
      <c r="H19" s="1">
        <v>2</v>
      </c>
      <c r="I19" s="1">
        <v>3</v>
      </c>
      <c r="J19" s="1">
        <v>3</v>
      </c>
      <c r="K19" s="1">
        <v>0</v>
      </c>
      <c r="L19" s="1">
        <v>0</v>
      </c>
      <c r="M19" s="1">
        <f t="shared" si="0"/>
        <v>1746</v>
      </c>
      <c r="N19" s="1">
        <f t="shared" si="1"/>
        <v>1746</v>
      </c>
      <c r="O19" s="2" t="s">
        <v>95</v>
      </c>
      <c r="P19" s="1"/>
      <c r="Q19" s="1">
        <v>2.2000000000000002</v>
      </c>
      <c r="R19" s="1" t="s">
        <v>44</v>
      </c>
      <c r="S19" s="30" t="s">
        <v>96</v>
      </c>
      <c r="T19" s="31" t="s">
        <v>97</v>
      </c>
      <c r="U19" s="1"/>
      <c r="V19" s="1">
        <v>1000</v>
      </c>
      <c r="W19" s="1" t="s">
        <v>98</v>
      </c>
      <c r="X19" s="32" t="s">
        <v>99</v>
      </c>
      <c r="Y19" s="1" t="s">
        <v>100</v>
      </c>
      <c r="Z19" s="2" t="s">
        <v>95</v>
      </c>
      <c r="AA19" s="1"/>
      <c r="AB19" s="1"/>
      <c r="AC19" s="1"/>
      <c r="AD19" s="1"/>
      <c r="AE19" s="1"/>
      <c r="AF19" s="1">
        <v>2000</v>
      </c>
      <c r="AG19" s="1"/>
      <c r="AH19" s="1"/>
      <c r="AI19" s="1"/>
      <c r="AJ19" s="1"/>
      <c r="AK19" s="1"/>
      <c r="AL19" s="1"/>
      <c r="AM19" s="1"/>
      <c r="AN19" s="1"/>
      <c r="AO19" s="1"/>
      <c r="AP19" s="1"/>
      <c r="AQ19" s="1"/>
      <c r="AR19" s="1"/>
      <c r="AS19" s="1"/>
      <c r="AT19" s="1"/>
      <c r="AU19" s="1"/>
      <c r="AV19" s="1">
        <f>SUM($AT19,Z19:$AA19)-SUM($AV$5:AV$5)*$J19-SUM($AV$6:AV$6)*$K19</f>
        <v>0</v>
      </c>
      <c r="AW19" s="1">
        <f>SUM($AT19,$AA19:AA19)-SUM($AV$5:AW$5)*$J19-SUM($AV$6:AW$6)*$K19</f>
        <v>0</v>
      </c>
      <c r="AX19" s="1">
        <f>SUM($AT19,$AA19:AB19)-SUM($AV$5:AX$5)*$J19-SUM($AV$6:AX$6)*$K19</f>
        <v>0</v>
      </c>
      <c r="AY19" s="1">
        <f>SUM($AT19,$AA19:AC19)-SUM($AV$5:AY$5)*$J19-SUM($AV$6:AY$6)*$K19</f>
        <v>0</v>
      </c>
      <c r="AZ19" s="1">
        <f>SUM($AT19,$AA19:AD19)-SUM($AV$5:AZ$5)*$J19-SUM($AV$6:AZ$6)*$K19</f>
        <v>-120</v>
      </c>
      <c r="BA19" s="1">
        <f>SUM($AT19,$AA19:AE19)-SUM($AV$5:BA$5)*$J19-SUM($AV$6:BA$6)*$K19</f>
        <v>-240</v>
      </c>
      <c r="BB19" s="1">
        <f>SUM($AT19,$AA19:AF19)-SUM($AV$5:BB$5)*$J19-SUM($AV$6:BB$6)*$K19</f>
        <v>1640</v>
      </c>
      <c r="BC19" s="1">
        <f>SUM($AT19,$AA19:AG19)-SUM($AV$5:BC$5)*$J19-SUM($AV$6:BC$6)*$K19</f>
        <v>1520</v>
      </c>
      <c r="BD19" s="1">
        <f>SUM($AT19,$AA19:AH19)-SUM($AV$5:BD$5)*$J19-SUM($AV$6:BD$6)*$K19</f>
        <v>1400</v>
      </c>
      <c r="BE19" s="1">
        <f>SUM($AT19,$AA19:AI19)-SUM($AV$5:BE$5)*$J19-SUM($AV$6:BE$6)*$K19</f>
        <v>1280</v>
      </c>
      <c r="BF19" s="1">
        <f>SUM($AT19,$AA19:AJ19)-SUM($AV$5:BF$5)*$J19-SUM($AV$6:BF$6)*$K19</f>
        <v>1160</v>
      </c>
      <c r="BG19" s="1">
        <f>SUM($AT19,$AA19:AK19)-SUM($AV$5:BG$5)*$J19-SUM($AV$6:BG$6)*$K19</f>
        <v>1040</v>
      </c>
      <c r="BH19" s="1">
        <f>SUM($AT19,$AA19:AL19)-SUM($AV$5:BH$5)*$J19-SUM($AV$6:BH$6)*$K19</f>
        <v>920</v>
      </c>
      <c r="BI19" s="1">
        <f>SUM($AT19,$AA19:AM19)-SUM($AV$5:BI$5)*$J19-SUM($AV$6:BI$6)*$K19</f>
        <v>800</v>
      </c>
      <c r="BJ19" s="1">
        <f>SUM($AT19,$AA19:AN19)-SUM($AV$5:BJ$5)*$J19-SUM($AV$6:BJ$6)*$K19</f>
        <v>680</v>
      </c>
      <c r="BK19" s="1">
        <f>SUM($AT19,$AA19:AO19)-SUM($AV$5:BK$5)*$J19-SUM($AV$6:BK$6)*$K19</f>
        <v>560</v>
      </c>
      <c r="BL19" s="1">
        <f>SUM($AT19,$AA19:AP19)-SUM($AV$5:BL$5)*$J19-SUM($AV$6:BL$6)*$K19</f>
        <v>440</v>
      </c>
      <c r="BM19" s="1">
        <f>SUM($AT19,$AA19:AQ19)-SUM($AV$5:BM$5)*$J19-SUM($AV$6:BM$6)*$K19</f>
        <v>320</v>
      </c>
      <c r="BN19" s="1">
        <f>SUM($AT19,$AA19:AR19)-SUM($AV$5:BN$5)*$J19-SUM($AV$6:BN$6)*$K19</f>
        <v>254</v>
      </c>
    </row>
    <row r="20" spans="1:66">
      <c r="A20" s="1">
        <v>16</v>
      </c>
      <c r="B20" s="28" t="s">
        <v>101</v>
      </c>
      <c r="C20" s="1" t="s">
        <v>40</v>
      </c>
      <c r="D20" s="2">
        <v>400576799</v>
      </c>
      <c r="E20" s="3" t="s">
        <v>102</v>
      </c>
      <c r="F20" s="1"/>
      <c r="G20" s="1" t="s">
        <v>42</v>
      </c>
      <c r="H20" s="1">
        <v>1</v>
      </c>
      <c r="I20" s="1">
        <v>1</v>
      </c>
      <c r="J20" s="1">
        <v>1</v>
      </c>
      <c r="K20" s="1">
        <v>0</v>
      </c>
      <c r="L20" s="1">
        <v>0</v>
      </c>
      <c r="M20" s="1">
        <f t="shared" si="0"/>
        <v>582</v>
      </c>
      <c r="N20" s="1">
        <f t="shared" si="1"/>
        <v>582</v>
      </c>
      <c r="O20" s="2" t="s">
        <v>65</v>
      </c>
      <c r="P20" s="1"/>
      <c r="Q20" s="1">
        <v>0.08</v>
      </c>
      <c r="R20" s="1" t="s">
        <v>44</v>
      </c>
      <c r="S20" s="30" t="s">
        <v>66</v>
      </c>
      <c r="T20" s="31" t="s">
        <v>67</v>
      </c>
      <c r="U20" s="1"/>
      <c r="V20" s="1">
        <v>2000</v>
      </c>
      <c r="W20" s="1" t="s">
        <v>68</v>
      </c>
      <c r="X20" s="32" t="s">
        <v>69</v>
      </c>
      <c r="Y20" s="1" t="s">
        <v>70</v>
      </c>
      <c r="Z20" s="2" t="s">
        <v>65</v>
      </c>
      <c r="AA20" s="1"/>
      <c r="AB20" s="1"/>
      <c r="AC20" s="1"/>
      <c r="AD20" s="1"/>
      <c r="AE20" s="1"/>
      <c r="AF20" s="1"/>
      <c r="AG20" s="1"/>
      <c r="AH20" s="1"/>
      <c r="AI20" s="1"/>
      <c r="AJ20" s="1"/>
      <c r="AK20" s="1"/>
      <c r="AL20" s="1"/>
      <c r="AM20" s="1"/>
      <c r="AN20" s="1"/>
      <c r="AO20" s="1"/>
      <c r="AP20" s="1"/>
      <c r="AQ20" s="1"/>
      <c r="AR20" s="1"/>
      <c r="AS20" s="1"/>
      <c r="AT20" s="1"/>
      <c r="AU20" s="1"/>
      <c r="AV20" s="1">
        <f>SUM($AT20,Z20:$AA20)-SUM($AV$5:AV$5)*$J20-SUM($AV$6:AV$6)*$K20</f>
        <v>0</v>
      </c>
      <c r="AW20" s="1">
        <f>SUM($AT20,$AA20:AA20)-SUM($AV$5:AW$5)*$J20-SUM($AV$6:AW$6)*$K20</f>
        <v>0</v>
      </c>
      <c r="AX20" s="1">
        <f>SUM($AT20,$AA20:AB20)-SUM($AV$5:AX$5)*$J20-SUM($AV$6:AX$6)*$K20</f>
        <v>0</v>
      </c>
      <c r="AY20" s="1">
        <f>SUM($AT20,$AA20:AC20)-SUM($AV$5:AY$5)*$J20-SUM($AV$6:AY$6)*$K20</f>
        <v>0</v>
      </c>
      <c r="AZ20" s="1">
        <f>SUM($AT20,$AA20:AD20)-SUM($AV$5:AZ$5)*$J20-SUM($AV$6:AZ$6)*$K20</f>
        <v>-40</v>
      </c>
      <c r="BA20" s="1">
        <f>SUM($AT20,$AA20:AE20)-SUM($AV$5:BA$5)*$J20-SUM($AV$6:BA$6)*$K20</f>
        <v>-80</v>
      </c>
      <c r="BB20" s="1">
        <f>SUM($AT20,$AA20:AF20)-SUM($AV$5:BB$5)*$J20-SUM($AV$6:BB$6)*$K20</f>
        <v>-120</v>
      </c>
      <c r="BC20" s="1">
        <f>SUM($AT20,$AA20:AG20)-SUM($AV$5:BC$5)*$J20-SUM($AV$6:BC$6)*$K20</f>
        <v>-160</v>
      </c>
      <c r="BD20" s="1">
        <f>SUM($AT20,$AA20:AH20)-SUM($AV$5:BD$5)*$J20-SUM($AV$6:BD$6)*$K20</f>
        <v>-200</v>
      </c>
      <c r="BE20" s="1">
        <f>SUM($AT20,$AA20:AI20)-SUM($AV$5:BE$5)*$J20-SUM($AV$6:BE$6)*$K20</f>
        <v>-240</v>
      </c>
      <c r="BF20" s="1">
        <f>SUM($AT20,$AA20:AJ20)-SUM($AV$5:BF$5)*$J20-SUM($AV$6:BF$6)*$K20</f>
        <v>-280</v>
      </c>
      <c r="BG20" s="1">
        <f>SUM($AT20,$AA20:AK20)-SUM($AV$5:BG$5)*$J20-SUM($AV$6:BG$6)*$K20</f>
        <v>-320</v>
      </c>
      <c r="BH20" s="1">
        <f>SUM($AT20,$AA20:AL20)-SUM($AV$5:BH$5)*$J20-SUM($AV$6:BH$6)*$K20</f>
        <v>-360</v>
      </c>
      <c r="BI20" s="1">
        <f>SUM($AT20,$AA20:AM20)-SUM($AV$5:BI$5)*$J20-SUM($AV$6:BI$6)*$K20</f>
        <v>-400</v>
      </c>
      <c r="BJ20" s="1">
        <f>SUM($AT20,$AA20:AN20)-SUM($AV$5:BJ$5)*$J20-SUM($AV$6:BJ$6)*$K20</f>
        <v>-440</v>
      </c>
      <c r="BK20" s="1">
        <f>SUM($AT20,$AA20:AO20)-SUM($AV$5:BK$5)*$J20-SUM($AV$6:BK$6)*$K20</f>
        <v>-480</v>
      </c>
      <c r="BL20" s="1">
        <f>SUM($AT20,$AA20:AP20)-SUM($AV$5:BL$5)*$J20-SUM($AV$6:BL$6)*$K20</f>
        <v>-520</v>
      </c>
      <c r="BM20" s="1">
        <f>SUM($AT20,$AA20:AQ20)-SUM($AV$5:BM$5)*$J20-SUM($AV$6:BM$6)*$K20</f>
        <v>-560</v>
      </c>
      <c r="BN20" s="1">
        <f>SUM($AT20,$AA20:AR20)-SUM($AV$5:BN$5)*$J20-SUM($AV$6:BN$6)*$K20</f>
        <v>-582</v>
      </c>
    </row>
    <row r="21" spans="1:66">
      <c r="A21" s="1">
        <v>17</v>
      </c>
      <c r="B21" s="28" t="s">
        <v>103</v>
      </c>
      <c r="C21" s="1" t="s">
        <v>40</v>
      </c>
      <c r="D21" s="2">
        <v>400763131</v>
      </c>
      <c r="E21" s="3" t="s">
        <v>104</v>
      </c>
      <c r="F21" s="1">
        <v>400764959</v>
      </c>
      <c r="G21" s="1" t="s">
        <v>42</v>
      </c>
      <c r="H21" s="1">
        <v>2</v>
      </c>
      <c r="I21" s="1">
        <v>1</v>
      </c>
      <c r="J21" s="1">
        <v>1</v>
      </c>
      <c r="K21" s="1">
        <v>0</v>
      </c>
      <c r="L21" s="1">
        <v>0</v>
      </c>
      <c r="M21" s="1">
        <f t="shared" si="0"/>
        <v>582</v>
      </c>
      <c r="N21" s="1">
        <f t="shared" si="1"/>
        <v>582</v>
      </c>
      <c r="O21" s="2" t="s">
        <v>65</v>
      </c>
      <c r="P21" s="1"/>
      <c r="Q21" s="1">
        <v>8.5000000000000006E-2</v>
      </c>
      <c r="R21" s="1" t="s">
        <v>44</v>
      </c>
      <c r="S21" s="30" t="s">
        <v>66</v>
      </c>
      <c r="T21" s="31" t="s">
        <v>67</v>
      </c>
      <c r="U21" s="1"/>
      <c r="V21" s="1">
        <v>2000</v>
      </c>
      <c r="W21" s="1" t="s">
        <v>68</v>
      </c>
      <c r="X21" s="32" t="s">
        <v>69</v>
      </c>
      <c r="Y21" s="1" t="s">
        <v>70</v>
      </c>
      <c r="Z21" s="2" t="s">
        <v>65</v>
      </c>
      <c r="AA21" s="1"/>
      <c r="AB21" s="1"/>
      <c r="AC21" s="1"/>
      <c r="AD21" s="1"/>
      <c r="AE21" s="1"/>
      <c r="AF21" s="1"/>
      <c r="AG21" s="1"/>
      <c r="AH21" s="1"/>
      <c r="AI21" s="1"/>
      <c r="AJ21" s="1"/>
      <c r="AK21" s="1"/>
      <c r="AL21" s="1"/>
      <c r="AM21" s="1"/>
      <c r="AN21" s="1"/>
      <c r="AO21" s="1"/>
      <c r="AP21" s="1"/>
      <c r="AQ21" s="1"/>
      <c r="AR21" s="1"/>
      <c r="AS21" s="1"/>
      <c r="AT21" s="1"/>
      <c r="AU21" s="1"/>
      <c r="AV21" s="1">
        <f>SUM($AT21,Z21:$AA21)-SUM($AV$5:AV$5)*$J21-SUM($AV$6:AV$6)*$K21</f>
        <v>0</v>
      </c>
      <c r="AW21" s="1">
        <f>SUM($AT21,$AA21:AA21)-SUM($AV$5:AW$5)*$J21-SUM($AV$6:AW$6)*$K21</f>
        <v>0</v>
      </c>
      <c r="AX21" s="1">
        <f>SUM($AT21,$AA21:AB21)-SUM($AV$5:AX$5)*$J21-SUM($AV$6:AX$6)*$K21</f>
        <v>0</v>
      </c>
      <c r="AY21" s="1">
        <f>SUM($AT21,$AA21:AC21)-SUM($AV$5:AY$5)*$J21-SUM($AV$6:AY$6)*$K21</f>
        <v>0</v>
      </c>
      <c r="AZ21" s="1">
        <f>SUM($AT21,$AA21:AD21)-SUM($AV$5:AZ$5)*$J21-SUM($AV$6:AZ$6)*$K21</f>
        <v>-40</v>
      </c>
      <c r="BA21" s="1">
        <f>SUM($AT21,$AA21:AE21)-SUM($AV$5:BA$5)*$J21-SUM($AV$6:BA$6)*$K21</f>
        <v>-80</v>
      </c>
      <c r="BB21" s="1">
        <f>SUM($AT21,$AA21:AF21)-SUM($AV$5:BB$5)*$J21-SUM($AV$6:BB$6)*$K21</f>
        <v>-120</v>
      </c>
      <c r="BC21" s="1">
        <f>SUM($AT21,$AA21:AG21)-SUM($AV$5:BC$5)*$J21-SUM($AV$6:BC$6)*$K21</f>
        <v>-160</v>
      </c>
      <c r="BD21" s="1">
        <f>SUM($AT21,$AA21:AH21)-SUM($AV$5:BD$5)*$J21-SUM($AV$6:BD$6)*$K21</f>
        <v>-200</v>
      </c>
      <c r="BE21" s="1">
        <f>SUM($AT21,$AA21:AI21)-SUM($AV$5:BE$5)*$J21-SUM($AV$6:BE$6)*$K21</f>
        <v>-240</v>
      </c>
      <c r="BF21" s="1">
        <f>SUM($AT21,$AA21:AJ21)-SUM($AV$5:BF$5)*$J21-SUM($AV$6:BF$6)*$K21</f>
        <v>-280</v>
      </c>
      <c r="BG21" s="1">
        <f>SUM($AT21,$AA21:AK21)-SUM($AV$5:BG$5)*$J21-SUM($AV$6:BG$6)*$K21</f>
        <v>-320</v>
      </c>
      <c r="BH21" s="1">
        <f>SUM($AT21,$AA21:AL21)-SUM($AV$5:BH$5)*$J21-SUM($AV$6:BH$6)*$K21</f>
        <v>-360</v>
      </c>
      <c r="BI21" s="1">
        <f>SUM($AT21,$AA21:AM21)-SUM($AV$5:BI$5)*$J21-SUM($AV$6:BI$6)*$K21</f>
        <v>-400</v>
      </c>
      <c r="BJ21" s="1">
        <f>SUM($AT21,$AA21:AN21)-SUM($AV$5:BJ$5)*$J21-SUM($AV$6:BJ$6)*$K21</f>
        <v>-440</v>
      </c>
      <c r="BK21" s="1">
        <f>SUM($AT21,$AA21:AO21)-SUM($AV$5:BK$5)*$J21-SUM($AV$6:BK$6)*$K21</f>
        <v>-480</v>
      </c>
      <c r="BL21" s="1">
        <f>SUM($AT21,$AA21:AP21)-SUM($AV$5:BL$5)*$J21-SUM($AV$6:BL$6)*$K21</f>
        <v>-520</v>
      </c>
      <c r="BM21" s="1">
        <f>SUM($AT21,$AA21:AQ21)-SUM($AV$5:BM$5)*$J21-SUM($AV$6:BM$6)*$K21</f>
        <v>-560</v>
      </c>
      <c r="BN21" s="1">
        <f>SUM($AT21,$AA21:AR21)-SUM($AV$5:BN$5)*$J21-SUM($AV$6:BN$6)*$K21</f>
        <v>-582</v>
      </c>
    </row>
    <row r="22" spans="1:66">
      <c r="A22" s="1">
        <v>18</v>
      </c>
      <c r="B22" s="28" t="s">
        <v>105</v>
      </c>
      <c r="C22" s="1" t="s">
        <v>40</v>
      </c>
      <c r="D22" s="2">
        <v>400192792</v>
      </c>
      <c r="E22" s="3" t="s">
        <v>106</v>
      </c>
      <c r="F22" s="1"/>
      <c r="G22" s="1" t="s">
        <v>42</v>
      </c>
      <c r="H22" s="1">
        <v>2</v>
      </c>
      <c r="I22" s="1">
        <v>4</v>
      </c>
      <c r="J22" s="1">
        <v>4</v>
      </c>
      <c r="K22" s="1">
        <v>0</v>
      </c>
      <c r="L22" s="1">
        <v>0</v>
      </c>
      <c r="M22" s="1">
        <f t="shared" si="0"/>
        <v>2328</v>
      </c>
      <c r="N22" s="1">
        <f t="shared" si="1"/>
        <v>2328</v>
      </c>
      <c r="O22" s="2" t="s">
        <v>65</v>
      </c>
      <c r="P22" s="1"/>
      <c r="Q22" s="1">
        <v>0.08</v>
      </c>
      <c r="R22" s="1" t="s">
        <v>44</v>
      </c>
      <c r="S22" s="30" t="s">
        <v>66</v>
      </c>
      <c r="T22" s="31" t="s">
        <v>67</v>
      </c>
      <c r="U22" s="1"/>
      <c r="V22" s="1">
        <v>2000</v>
      </c>
      <c r="W22" s="1" t="s">
        <v>68</v>
      </c>
      <c r="X22" s="32" t="s">
        <v>69</v>
      </c>
      <c r="Y22" s="1" t="s">
        <v>70</v>
      </c>
      <c r="Z22" s="2" t="s">
        <v>65</v>
      </c>
      <c r="AA22" s="1"/>
      <c r="AB22" s="1"/>
      <c r="AC22" s="1"/>
      <c r="AD22" s="1"/>
      <c r="AE22" s="1"/>
      <c r="AF22" s="1"/>
      <c r="AG22" s="1"/>
      <c r="AH22" s="1"/>
      <c r="AI22" s="1"/>
      <c r="AJ22" s="1"/>
      <c r="AK22" s="1"/>
      <c r="AL22" s="1"/>
      <c r="AM22" s="1"/>
      <c r="AN22" s="1"/>
      <c r="AO22" s="1"/>
      <c r="AP22" s="1"/>
      <c r="AQ22" s="1"/>
      <c r="AR22" s="1"/>
      <c r="AS22" s="1"/>
      <c r="AT22" s="1"/>
      <c r="AU22" s="1"/>
      <c r="AV22" s="1">
        <f>SUM($AT22,Z22:$AA22)-SUM($AV$5:AV$5)*$J22-SUM($AV$6:AV$6)*$K22</f>
        <v>0</v>
      </c>
      <c r="AW22" s="1">
        <f>SUM($AT22,$AA22:AA22)-SUM($AV$5:AW$5)*$J22-SUM($AV$6:AW$6)*$K22</f>
        <v>0</v>
      </c>
      <c r="AX22" s="1">
        <f>SUM($AT22,$AA22:AB22)-SUM($AV$5:AX$5)*$J22-SUM($AV$6:AX$6)*$K22</f>
        <v>0</v>
      </c>
      <c r="AY22" s="1">
        <f>SUM($AT22,$AA22:AC22)-SUM($AV$5:AY$5)*$J22-SUM($AV$6:AY$6)*$K22</f>
        <v>0</v>
      </c>
      <c r="AZ22" s="1">
        <f>SUM($AT22,$AA22:AD22)-SUM($AV$5:AZ$5)*$J22-SUM($AV$6:AZ$6)*$K22</f>
        <v>-160</v>
      </c>
      <c r="BA22" s="1">
        <f>SUM($AT22,$AA22:AE22)-SUM($AV$5:BA$5)*$J22-SUM($AV$6:BA$6)*$K22</f>
        <v>-320</v>
      </c>
      <c r="BB22" s="1">
        <f>SUM($AT22,$AA22:AF22)-SUM($AV$5:BB$5)*$J22-SUM($AV$6:BB$6)*$K22</f>
        <v>-480</v>
      </c>
      <c r="BC22" s="1">
        <f>SUM($AT22,$AA22:AG22)-SUM($AV$5:BC$5)*$J22-SUM($AV$6:BC$6)*$K22</f>
        <v>-640</v>
      </c>
      <c r="BD22" s="1">
        <f>SUM($AT22,$AA22:AH22)-SUM($AV$5:BD$5)*$J22-SUM($AV$6:BD$6)*$K22</f>
        <v>-800</v>
      </c>
      <c r="BE22" s="1">
        <f>SUM($AT22,$AA22:AI22)-SUM($AV$5:BE$5)*$J22-SUM($AV$6:BE$6)*$K22</f>
        <v>-960</v>
      </c>
      <c r="BF22" s="1">
        <f>SUM($AT22,$AA22:AJ22)-SUM($AV$5:BF$5)*$J22-SUM($AV$6:BF$6)*$K22</f>
        <v>-1120</v>
      </c>
      <c r="BG22" s="1">
        <f>SUM($AT22,$AA22:AK22)-SUM($AV$5:BG$5)*$J22-SUM($AV$6:BG$6)*$K22</f>
        <v>-1280</v>
      </c>
      <c r="BH22" s="1">
        <f>SUM($AT22,$AA22:AL22)-SUM($AV$5:BH$5)*$J22-SUM($AV$6:BH$6)*$K22</f>
        <v>-1440</v>
      </c>
      <c r="BI22" s="1">
        <f>SUM($AT22,$AA22:AM22)-SUM($AV$5:BI$5)*$J22-SUM($AV$6:BI$6)*$K22</f>
        <v>-1600</v>
      </c>
      <c r="BJ22" s="1">
        <f>SUM($AT22,$AA22:AN22)-SUM($AV$5:BJ$5)*$J22-SUM($AV$6:BJ$6)*$K22</f>
        <v>-1760</v>
      </c>
      <c r="BK22" s="1">
        <f>SUM($AT22,$AA22:AO22)-SUM($AV$5:BK$5)*$J22-SUM($AV$6:BK$6)*$K22</f>
        <v>-1920</v>
      </c>
      <c r="BL22" s="1">
        <f>SUM($AT22,$AA22:AP22)-SUM($AV$5:BL$5)*$J22-SUM($AV$6:BL$6)*$K22</f>
        <v>-2080</v>
      </c>
      <c r="BM22" s="1">
        <f>SUM($AT22,$AA22:AQ22)-SUM($AV$5:BM$5)*$J22-SUM($AV$6:BM$6)*$K22</f>
        <v>-2240</v>
      </c>
      <c r="BN22" s="1">
        <f>SUM($AT22,$AA22:AR22)-SUM($AV$5:BN$5)*$J22-SUM($AV$6:BN$6)*$K22</f>
        <v>-2328</v>
      </c>
    </row>
    <row r="23" spans="1:66">
      <c r="A23" s="1">
        <v>19</v>
      </c>
      <c r="B23" s="28" t="s">
        <v>107</v>
      </c>
      <c r="C23" s="1" t="s">
        <v>40</v>
      </c>
      <c r="D23" s="2">
        <v>416253566</v>
      </c>
      <c r="E23" s="3" t="s">
        <v>108</v>
      </c>
      <c r="F23" s="1">
        <v>416331763</v>
      </c>
      <c r="G23" s="1" t="s">
        <v>42</v>
      </c>
      <c r="H23" s="1">
        <v>2</v>
      </c>
      <c r="I23" s="1">
        <v>8</v>
      </c>
      <c r="J23" s="1">
        <v>8</v>
      </c>
      <c r="K23" s="1">
        <v>0</v>
      </c>
      <c r="L23" s="1">
        <v>0</v>
      </c>
      <c r="M23" s="1">
        <f t="shared" si="0"/>
        <v>4656</v>
      </c>
      <c r="N23" s="1">
        <f t="shared" si="1"/>
        <v>4656</v>
      </c>
      <c r="O23" s="2" t="s">
        <v>95</v>
      </c>
      <c r="P23" s="1"/>
      <c r="Q23" s="1">
        <v>1.9</v>
      </c>
      <c r="R23" s="1" t="s">
        <v>44</v>
      </c>
      <c r="S23" s="30" t="s">
        <v>96</v>
      </c>
      <c r="T23" s="31" t="s">
        <v>97</v>
      </c>
      <c r="U23" s="1"/>
      <c r="V23" s="1">
        <v>1000</v>
      </c>
      <c r="W23" s="1" t="s">
        <v>98</v>
      </c>
      <c r="X23" s="32" t="s">
        <v>99</v>
      </c>
      <c r="Y23" s="1" t="s">
        <v>100</v>
      </c>
      <c r="Z23" s="2" t="s">
        <v>95</v>
      </c>
      <c r="AA23" s="1"/>
      <c r="AB23" s="1"/>
      <c r="AC23" s="1"/>
      <c r="AD23" s="1"/>
      <c r="AE23" s="1"/>
      <c r="AF23" s="1">
        <v>5000</v>
      </c>
      <c r="AG23" s="1"/>
      <c r="AH23" s="1"/>
      <c r="AI23" s="1"/>
      <c r="AJ23" s="1"/>
      <c r="AK23" s="1"/>
      <c r="AL23" s="1"/>
      <c r="AM23" s="1"/>
      <c r="AN23" s="1"/>
      <c r="AO23" s="1"/>
      <c r="AP23" s="1"/>
      <c r="AQ23" s="1"/>
      <c r="AR23" s="1"/>
      <c r="AS23" s="1"/>
      <c r="AT23" s="1"/>
      <c r="AU23" s="1"/>
      <c r="AV23" s="1">
        <f>SUM($AT23,Z23:$AA23)-SUM($AV$5:AV$5)*$J23-SUM($AV$6:AV$6)*$K23</f>
        <v>0</v>
      </c>
      <c r="AW23" s="1">
        <f>SUM($AT23,$AA23:AA23)-SUM($AV$5:AW$5)*$J23-SUM($AV$6:AW$6)*$K23</f>
        <v>0</v>
      </c>
      <c r="AX23" s="1">
        <f>SUM($AT23,$AA23:AB23)-SUM($AV$5:AX$5)*$J23-SUM($AV$6:AX$6)*$K23</f>
        <v>0</v>
      </c>
      <c r="AY23" s="1">
        <f>SUM($AT23,$AA23:AC23)-SUM($AV$5:AY$5)*$J23-SUM($AV$6:AY$6)*$K23</f>
        <v>0</v>
      </c>
      <c r="AZ23" s="1">
        <f>SUM($AT23,$AA23:AD23)-SUM($AV$5:AZ$5)*$J23-SUM($AV$6:AZ$6)*$K23</f>
        <v>-320</v>
      </c>
      <c r="BA23" s="1">
        <f>SUM($AT23,$AA23:AE23)-SUM($AV$5:BA$5)*$J23-SUM($AV$6:BA$6)*$K23</f>
        <v>-640</v>
      </c>
      <c r="BB23" s="1">
        <f>SUM($AT23,$AA23:AF23)-SUM($AV$5:BB$5)*$J23-SUM($AV$6:BB$6)*$K23</f>
        <v>4040</v>
      </c>
      <c r="BC23" s="1">
        <f>SUM($AT23,$AA23:AG23)-SUM($AV$5:BC$5)*$J23-SUM($AV$6:BC$6)*$K23</f>
        <v>3720</v>
      </c>
      <c r="BD23" s="1">
        <f>SUM($AT23,$AA23:AH23)-SUM($AV$5:BD$5)*$J23-SUM($AV$6:BD$6)*$K23</f>
        <v>3400</v>
      </c>
      <c r="BE23" s="1">
        <f>SUM($AT23,$AA23:AI23)-SUM($AV$5:BE$5)*$J23-SUM($AV$6:BE$6)*$K23</f>
        <v>3080</v>
      </c>
      <c r="BF23" s="1">
        <f>SUM($AT23,$AA23:AJ23)-SUM($AV$5:BF$5)*$J23-SUM($AV$6:BF$6)*$K23</f>
        <v>2760</v>
      </c>
      <c r="BG23" s="1">
        <f>SUM($AT23,$AA23:AK23)-SUM($AV$5:BG$5)*$J23-SUM($AV$6:BG$6)*$K23</f>
        <v>2440</v>
      </c>
      <c r="BH23" s="1">
        <f>SUM($AT23,$AA23:AL23)-SUM($AV$5:BH$5)*$J23-SUM($AV$6:BH$6)*$K23</f>
        <v>2120</v>
      </c>
      <c r="BI23" s="1">
        <f>SUM($AT23,$AA23:AM23)-SUM($AV$5:BI$5)*$J23-SUM($AV$6:BI$6)*$K23</f>
        <v>1800</v>
      </c>
      <c r="BJ23" s="1">
        <f>SUM($AT23,$AA23:AN23)-SUM($AV$5:BJ$5)*$J23-SUM($AV$6:BJ$6)*$K23</f>
        <v>1480</v>
      </c>
      <c r="BK23" s="1">
        <f>SUM($AT23,$AA23:AO23)-SUM($AV$5:BK$5)*$J23-SUM($AV$6:BK$6)*$K23</f>
        <v>1160</v>
      </c>
      <c r="BL23" s="1">
        <f>SUM($AT23,$AA23:AP23)-SUM($AV$5:BL$5)*$J23-SUM($AV$6:BL$6)*$K23</f>
        <v>840</v>
      </c>
      <c r="BM23" s="1">
        <f>SUM($AT23,$AA23:AQ23)-SUM($AV$5:BM$5)*$J23-SUM($AV$6:BM$6)*$K23</f>
        <v>520</v>
      </c>
      <c r="BN23" s="1">
        <f>SUM($AT23,$AA23:AR23)-SUM($AV$5:BN$5)*$J23-SUM($AV$6:BN$6)*$K23</f>
        <v>344</v>
      </c>
    </row>
    <row r="24" spans="1:66">
      <c r="A24" s="1">
        <v>20</v>
      </c>
      <c r="B24" s="28" t="s">
        <v>109</v>
      </c>
      <c r="C24" s="1" t="s">
        <v>40</v>
      </c>
      <c r="D24" s="2">
        <v>424270755</v>
      </c>
      <c r="E24" s="3" t="s">
        <v>110</v>
      </c>
      <c r="F24" s="1">
        <v>410708166</v>
      </c>
      <c r="G24" s="1" t="s">
        <v>42</v>
      </c>
      <c r="H24" s="1">
        <v>2</v>
      </c>
      <c r="I24" s="1">
        <v>1</v>
      </c>
      <c r="J24" s="1">
        <v>1</v>
      </c>
      <c r="K24" s="1">
        <v>0</v>
      </c>
      <c r="L24" s="1">
        <v>0</v>
      </c>
      <c r="M24" s="1">
        <f t="shared" si="0"/>
        <v>582</v>
      </c>
      <c r="N24" s="1">
        <f t="shared" si="1"/>
        <v>582</v>
      </c>
      <c r="O24" s="2" t="s">
        <v>43</v>
      </c>
      <c r="P24" s="1"/>
      <c r="Q24" s="1">
        <v>0.46100000000000002</v>
      </c>
      <c r="R24" s="1" t="s">
        <v>44</v>
      </c>
      <c r="S24" s="30" t="s">
        <v>111</v>
      </c>
      <c r="T24" s="31" t="s">
        <v>46</v>
      </c>
      <c r="U24" s="1"/>
      <c r="V24" s="1">
        <v>500</v>
      </c>
      <c r="W24" s="1" t="s">
        <v>47</v>
      </c>
      <c r="X24" s="32" t="s">
        <v>48</v>
      </c>
      <c r="Y24" s="1" t="s">
        <v>49</v>
      </c>
      <c r="Z24" s="2" t="s">
        <v>43</v>
      </c>
      <c r="AA24" s="1"/>
      <c r="AB24" s="1"/>
      <c r="AC24" s="1"/>
      <c r="AD24" s="1"/>
      <c r="AE24" s="1"/>
      <c r="AF24" s="1"/>
      <c r="AG24" s="1"/>
      <c r="AH24" s="1"/>
      <c r="AI24" s="1"/>
      <c r="AJ24" s="1"/>
      <c r="AK24" s="1"/>
      <c r="AL24" s="1"/>
      <c r="AM24" s="1"/>
      <c r="AN24" s="1"/>
      <c r="AO24" s="1"/>
      <c r="AP24" s="1"/>
      <c r="AQ24" s="1"/>
      <c r="AR24" s="1"/>
      <c r="AS24" s="1"/>
      <c r="AT24" s="1"/>
      <c r="AU24" s="1"/>
      <c r="AV24" s="1">
        <f>SUM($AT24,Z24:$AA24)-SUM($AV$5:AV$5)*$J24-SUM($AV$6:AV$6)*$K24</f>
        <v>0</v>
      </c>
      <c r="AW24" s="1">
        <f>SUM($AT24,$AA24:AA24)-SUM($AV$5:AW$5)*$J24-SUM($AV$6:AW$6)*$K24</f>
        <v>0</v>
      </c>
      <c r="AX24" s="1">
        <f>SUM($AT24,$AA24:AB24)-SUM($AV$5:AX$5)*$J24-SUM($AV$6:AX$6)*$K24</f>
        <v>0</v>
      </c>
      <c r="AY24" s="1">
        <f>SUM($AT24,$AA24:AC24)-SUM($AV$5:AY$5)*$J24-SUM($AV$6:AY$6)*$K24</f>
        <v>0</v>
      </c>
      <c r="AZ24" s="1">
        <f>SUM($AT24,$AA24:AD24)-SUM($AV$5:AZ$5)*$J24-SUM($AV$6:AZ$6)*$K24</f>
        <v>-40</v>
      </c>
      <c r="BA24" s="1">
        <f>SUM($AT24,$AA24:AE24)-SUM($AV$5:BA$5)*$J24-SUM($AV$6:BA$6)*$K24</f>
        <v>-80</v>
      </c>
      <c r="BB24" s="1">
        <f>SUM($AT24,$AA24:AF24)-SUM($AV$5:BB$5)*$J24-SUM($AV$6:BB$6)*$K24</f>
        <v>-120</v>
      </c>
      <c r="BC24" s="1">
        <f>SUM($AT24,$AA24:AG24)-SUM($AV$5:BC$5)*$J24-SUM($AV$6:BC$6)*$K24</f>
        <v>-160</v>
      </c>
      <c r="BD24" s="1">
        <f>SUM($AT24,$AA24:AH24)-SUM($AV$5:BD$5)*$J24-SUM($AV$6:BD$6)*$K24</f>
        <v>-200</v>
      </c>
      <c r="BE24" s="1">
        <f>SUM($AT24,$AA24:AI24)-SUM($AV$5:BE$5)*$J24-SUM($AV$6:BE$6)*$K24</f>
        <v>-240</v>
      </c>
      <c r="BF24" s="1">
        <f>SUM($AT24,$AA24:AJ24)-SUM($AV$5:BF$5)*$J24-SUM($AV$6:BF$6)*$K24</f>
        <v>-280</v>
      </c>
      <c r="BG24" s="1">
        <f>SUM($AT24,$AA24:AK24)-SUM($AV$5:BG$5)*$J24-SUM($AV$6:BG$6)*$K24</f>
        <v>-320</v>
      </c>
      <c r="BH24" s="1">
        <f>SUM($AT24,$AA24:AL24)-SUM($AV$5:BH$5)*$J24-SUM($AV$6:BH$6)*$K24</f>
        <v>-360</v>
      </c>
      <c r="BI24" s="1">
        <f>SUM($AT24,$AA24:AM24)-SUM($AV$5:BI$5)*$J24-SUM($AV$6:BI$6)*$K24</f>
        <v>-400</v>
      </c>
      <c r="BJ24" s="1">
        <f>SUM($AT24,$AA24:AN24)-SUM($AV$5:BJ$5)*$J24-SUM($AV$6:BJ$6)*$K24</f>
        <v>-440</v>
      </c>
      <c r="BK24" s="1">
        <f>SUM($AT24,$AA24:AO24)-SUM($AV$5:BK$5)*$J24-SUM($AV$6:BK$6)*$K24</f>
        <v>-480</v>
      </c>
      <c r="BL24" s="1">
        <f>SUM($AT24,$AA24:AP24)-SUM($AV$5:BL$5)*$J24-SUM($AV$6:BL$6)*$K24</f>
        <v>-520</v>
      </c>
      <c r="BM24" s="1">
        <f>SUM($AT24,$AA24:AQ24)-SUM($AV$5:BM$5)*$J24-SUM($AV$6:BM$6)*$K24</f>
        <v>-560</v>
      </c>
      <c r="BN24" s="1">
        <f>SUM($AT24,$AA24:AR24)-SUM($AV$5:BN$5)*$J24-SUM($AV$6:BN$6)*$K24</f>
        <v>-582</v>
      </c>
    </row>
    <row r="25" spans="1:66">
      <c r="A25" s="1">
        <v>21</v>
      </c>
      <c r="B25" s="28" t="s">
        <v>112</v>
      </c>
      <c r="C25" s="1" t="s">
        <v>40</v>
      </c>
      <c r="D25" s="2">
        <v>424270751</v>
      </c>
      <c r="E25" s="3" t="s">
        <v>113</v>
      </c>
      <c r="F25" s="1" t="s">
        <v>114</v>
      </c>
      <c r="G25" s="1" t="s">
        <v>42</v>
      </c>
      <c r="H25" s="1">
        <v>2</v>
      </c>
      <c r="I25" s="1">
        <v>2</v>
      </c>
      <c r="J25" s="1">
        <v>2</v>
      </c>
      <c r="K25" s="1">
        <v>0</v>
      </c>
      <c r="L25" s="1">
        <v>0</v>
      </c>
      <c r="M25" s="1">
        <f t="shared" si="0"/>
        <v>1164</v>
      </c>
      <c r="N25" s="1">
        <f t="shared" si="1"/>
        <v>1164</v>
      </c>
      <c r="O25" s="2" t="s">
        <v>43</v>
      </c>
      <c r="P25" s="1"/>
      <c r="Q25" s="1">
        <v>0.46100000000000002</v>
      </c>
      <c r="R25" s="1" t="s">
        <v>44</v>
      </c>
      <c r="S25" s="30" t="s">
        <v>111</v>
      </c>
      <c r="T25" s="31" t="s">
        <v>46</v>
      </c>
      <c r="U25" s="1"/>
      <c r="V25" s="1">
        <v>500</v>
      </c>
      <c r="W25" s="1" t="s">
        <v>47</v>
      </c>
      <c r="X25" s="32" t="s">
        <v>48</v>
      </c>
      <c r="Y25" s="1" t="s">
        <v>49</v>
      </c>
      <c r="Z25" s="2" t="s">
        <v>43</v>
      </c>
      <c r="AA25" s="1"/>
      <c r="AB25" s="1"/>
      <c r="AC25" s="1"/>
      <c r="AD25" s="1"/>
      <c r="AE25" s="1"/>
      <c r="AF25" s="1"/>
      <c r="AG25" s="1"/>
      <c r="AH25" s="1"/>
      <c r="AI25" s="1"/>
      <c r="AJ25" s="1"/>
      <c r="AK25" s="1"/>
      <c r="AL25" s="1"/>
      <c r="AM25" s="1"/>
      <c r="AN25" s="1"/>
      <c r="AO25" s="1"/>
      <c r="AP25" s="1"/>
      <c r="AQ25" s="1"/>
      <c r="AR25" s="1"/>
      <c r="AS25" s="1"/>
      <c r="AT25" s="1"/>
      <c r="AU25" s="1"/>
      <c r="AV25" s="1">
        <f>SUM($AT25,Z25:$AA25)-SUM($AV$5:AV$5)*$J25-SUM($AV$6:AV$6)*$K25</f>
        <v>0</v>
      </c>
      <c r="AW25" s="1">
        <f>SUM($AT25,$AA25:AA25)-SUM($AV$5:AW$5)*$J25-SUM($AV$6:AW$6)*$K25</f>
        <v>0</v>
      </c>
      <c r="AX25" s="1">
        <f>SUM($AT25,$AA25:AB25)-SUM($AV$5:AX$5)*$J25-SUM($AV$6:AX$6)*$K25</f>
        <v>0</v>
      </c>
      <c r="AY25" s="1">
        <f>SUM($AT25,$AA25:AC25)-SUM($AV$5:AY$5)*$J25-SUM($AV$6:AY$6)*$K25</f>
        <v>0</v>
      </c>
      <c r="AZ25" s="1">
        <f>SUM($AT25,$AA25:AD25)-SUM($AV$5:AZ$5)*$J25-SUM($AV$6:AZ$6)*$K25</f>
        <v>-80</v>
      </c>
      <c r="BA25" s="1">
        <f>SUM($AT25,$AA25:AE25)-SUM($AV$5:BA$5)*$J25-SUM($AV$6:BA$6)*$K25</f>
        <v>-160</v>
      </c>
      <c r="BB25" s="1">
        <f>SUM($AT25,$AA25:AF25)-SUM($AV$5:BB$5)*$J25-SUM($AV$6:BB$6)*$K25</f>
        <v>-240</v>
      </c>
      <c r="BC25" s="1">
        <f>SUM($AT25,$AA25:AG25)-SUM($AV$5:BC$5)*$J25-SUM($AV$6:BC$6)*$K25</f>
        <v>-320</v>
      </c>
      <c r="BD25" s="1">
        <f>SUM($AT25,$AA25:AH25)-SUM($AV$5:BD$5)*$J25-SUM($AV$6:BD$6)*$K25</f>
        <v>-400</v>
      </c>
      <c r="BE25" s="1">
        <f>SUM($AT25,$AA25:AI25)-SUM($AV$5:BE$5)*$J25-SUM($AV$6:BE$6)*$K25</f>
        <v>-480</v>
      </c>
      <c r="BF25" s="1">
        <f>SUM($AT25,$AA25:AJ25)-SUM($AV$5:BF$5)*$J25-SUM($AV$6:BF$6)*$K25</f>
        <v>-560</v>
      </c>
      <c r="BG25" s="1">
        <f>SUM($AT25,$AA25:AK25)-SUM($AV$5:BG$5)*$J25-SUM($AV$6:BG$6)*$K25</f>
        <v>-640</v>
      </c>
      <c r="BH25" s="1">
        <f>SUM($AT25,$AA25:AL25)-SUM($AV$5:BH$5)*$J25-SUM($AV$6:BH$6)*$K25</f>
        <v>-720</v>
      </c>
      <c r="BI25" s="1">
        <f>SUM($AT25,$AA25:AM25)-SUM($AV$5:BI$5)*$J25-SUM($AV$6:BI$6)*$K25</f>
        <v>-800</v>
      </c>
      <c r="BJ25" s="1">
        <f>SUM($AT25,$AA25:AN25)-SUM($AV$5:BJ$5)*$J25-SUM($AV$6:BJ$6)*$K25</f>
        <v>-880</v>
      </c>
      <c r="BK25" s="1">
        <f>SUM($AT25,$AA25:AO25)-SUM($AV$5:BK$5)*$J25-SUM($AV$6:BK$6)*$K25</f>
        <v>-960</v>
      </c>
      <c r="BL25" s="1">
        <f>SUM($AT25,$AA25:AP25)-SUM($AV$5:BL$5)*$J25-SUM($AV$6:BL$6)*$K25</f>
        <v>-1040</v>
      </c>
      <c r="BM25" s="1">
        <f>SUM($AT25,$AA25:AQ25)-SUM($AV$5:BM$5)*$J25-SUM($AV$6:BM$6)*$K25</f>
        <v>-1120</v>
      </c>
      <c r="BN25" s="1">
        <f>SUM($AT25,$AA25:AR25)-SUM($AV$5:BN$5)*$J25-SUM($AV$6:BN$6)*$K25</f>
        <v>-1164</v>
      </c>
    </row>
    <row r="26" spans="1:66">
      <c r="A26" s="1">
        <v>22</v>
      </c>
      <c r="B26" s="28" t="s">
        <v>115</v>
      </c>
      <c r="C26" s="1" t="s">
        <v>40</v>
      </c>
      <c r="D26" s="2">
        <v>424270756</v>
      </c>
      <c r="E26" s="3" t="s">
        <v>116</v>
      </c>
      <c r="F26" s="1">
        <v>411123530</v>
      </c>
      <c r="G26" s="1" t="s">
        <v>42</v>
      </c>
      <c r="H26" s="1">
        <v>2</v>
      </c>
      <c r="I26" s="1">
        <v>32</v>
      </c>
      <c r="J26" s="1">
        <v>32</v>
      </c>
      <c r="K26" s="1">
        <v>0</v>
      </c>
      <c r="L26" s="1">
        <v>0</v>
      </c>
      <c r="M26" s="1">
        <f t="shared" si="0"/>
        <v>18624</v>
      </c>
      <c r="N26" s="1">
        <f t="shared" si="1"/>
        <v>18624</v>
      </c>
      <c r="O26" s="2" t="s">
        <v>43</v>
      </c>
      <c r="P26" s="1"/>
      <c r="Q26" s="1">
        <v>0.46100000000000002</v>
      </c>
      <c r="R26" s="1" t="s">
        <v>44</v>
      </c>
      <c r="S26" s="30" t="s">
        <v>111</v>
      </c>
      <c r="T26" s="31" t="s">
        <v>46</v>
      </c>
      <c r="U26" s="1"/>
      <c r="V26" s="1">
        <v>500</v>
      </c>
      <c r="W26" s="1" t="s">
        <v>47</v>
      </c>
      <c r="X26" s="32" t="s">
        <v>48</v>
      </c>
      <c r="Y26" s="1" t="s">
        <v>49</v>
      </c>
      <c r="Z26" s="2" t="s">
        <v>43</v>
      </c>
      <c r="AA26" s="1"/>
      <c r="AB26" s="1"/>
      <c r="AC26" s="1"/>
      <c r="AD26" s="1"/>
      <c r="AE26" s="1"/>
      <c r="AF26" s="1"/>
      <c r="AG26" s="1"/>
      <c r="AH26" s="1"/>
      <c r="AI26" s="1"/>
      <c r="AJ26" s="1"/>
      <c r="AK26" s="1"/>
      <c r="AL26" s="1"/>
      <c r="AM26" s="1"/>
      <c r="AN26" s="1"/>
      <c r="AO26" s="1"/>
      <c r="AP26" s="1"/>
      <c r="AQ26" s="1"/>
      <c r="AR26" s="1"/>
      <c r="AS26" s="1"/>
      <c r="AT26" s="1"/>
      <c r="AU26" s="1"/>
      <c r="AV26" s="1">
        <f>SUM($AT26,Z26:$AA26)-SUM($AV$5:AV$5)*$J26-SUM($AV$6:AV$6)*$K26</f>
        <v>0</v>
      </c>
      <c r="AW26" s="1">
        <f>SUM($AT26,$AA26:AA26)-SUM($AV$5:AW$5)*$J26-SUM($AV$6:AW$6)*$K26</f>
        <v>0</v>
      </c>
      <c r="AX26" s="1">
        <f>SUM($AT26,$AA26:AB26)-SUM($AV$5:AX$5)*$J26-SUM($AV$6:AX$6)*$K26</f>
        <v>0</v>
      </c>
      <c r="AY26" s="1">
        <f>SUM($AT26,$AA26:AC26)-SUM($AV$5:AY$5)*$J26-SUM($AV$6:AY$6)*$K26</f>
        <v>0</v>
      </c>
      <c r="AZ26" s="1">
        <f>SUM($AT26,$AA26:AD26)-SUM($AV$5:AZ$5)*$J26-SUM($AV$6:AZ$6)*$K26</f>
        <v>-1280</v>
      </c>
      <c r="BA26" s="1">
        <f>SUM($AT26,$AA26:AE26)-SUM($AV$5:BA$5)*$J26-SUM($AV$6:BA$6)*$K26</f>
        <v>-2560</v>
      </c>
      <c r="BB26" s="1">
        <f>SUM($AT26,$AA26:AF26)-SUM($AV$5:BB$5)*$J26-SUM($AV$6:BB$6)*$K26</f>
        <v>-3840</v>
      </c>
      <c r="BC26" s="1">
        <f>SUM($AT26,$AA26:AG26)-SUM($AV$5:BC$5)*$J26-SUM($AV$6:BC$6)*$K26</f>
        <v>-5120</v>
      </c>
      <c r="BD26" s="1">
        <f>SUM($AT26,$AA26:AH26)-SUM($AV$5:BD$5)*$J26-SUM($AV$6:BD$6)*$K26</f>
        <v>-6400</v>
      </c>
      <c r="BE26" s="1">
        <f>SUM($AT26,$AA26:AI26)-SUM($AV$5:BE$5)*$J26-SUM($AV$6:BE$6)*$K26</f>
        <v>-7680</v>
      </c>
      <c r="BF26" s="1">
        <f>SUM($AT26,$AA26:AJ26)-SUM($AV$5:BF$5)*$J26-SUM($AV$6:BF$6)*$K26</f>
        <v>-8960</v>
      </c>
      <c r="BG26" s="1">
        <f>SUM($AT26,$AA26:AK26)-SUM($AV$5:BG$5)*$J26-SUM($AV$6:BG$6)*$K26</f>
        <v>-10240</v>
      </c>
      <c r="BH26" s="1">
        <f>SUM($AT26,$AA26:AL26)-SUM($AV$5:BH$5)*$J26-SUM($AV$6:BH$6)*$K26</f>
        <v>-11520</v>
      </c>
      <c r="BI26" s="1">
        <f>SUM($AT26,$AA26:AM26)-SUM($AV$5:BI$5)*$J26-SUM($AV$6:BI$6)*$K26</f>
        <v>-12800</v>
      </c>
      <c r="BJ26" s="1">
        <f>SUM($AT26,$AA26:AN26)-SUM($AV$5:BJ$5)*$J26-SUM($AV$6:BJ$6)*$K26</f>
        <v>-14080</v>
      </c>
      <c r="BK26" s="1">
        <f>SUM($AT26,$AA26:AO26)-SUM($AV$5:BK$5)*$J26-SUM($AV$6:BK$6)*$K26</f>
        <v>-15360</v>
      </c>
      <c r="BL26" s="1">
        <f>SUM($AT26,$AA26:AP26)-SUM($AV$5:BL$5)*$J26-SUM($AV$6:BL$6)*$K26</f>
        <v>-16640</v>
      </c>
      <c r="BM26" s="1">
        <f>SUM($AT26,$AA26:AQ26)-SUM($AV$5:BM$5)*$J26-SUM($AV$6:BM$6)*$K26</f>
        <v>-17920</v>
      </c>
      <c r="BN26" s="1">
        <f>SUM($AT26,$AA26:AR26)-SUM($AV$5:BN$5)*$J26-SUM($AV$6:BN$6)*$K26</f>
        <v>-18624</v>
      </c>
    </row>
    <row r="27" spans="1:66">
      <c r="A27" s="1">
        <v>23</v>
      </c>
      <c r="B27" s="28" t="s">
        <v>117</v>
      </c>
      <c r="C27" s="1" t="s">
        <v>40</v>
      </c>
      <c r="D27" s="2">
        <v>424270760</v>
      </c>
      <c r="E27" s="3" t="s">
        <v>118</v>
      </c>
      <c r="F27" s="1">
        <v>410717407</v>
      </c>
      <c r="G27" s="1" t="s">
        <v>42</v>
      </c>
      <c r="H27" s="1">
        <v>2</v>
      </c>
      <c r="I27" s="1">
        <v>1</v>
      </c>
      <c r="J27" s="1">
        <v>1</v>
      </c>
      <c r="K27" s="1">
        <v>0</v>
      </c>
      <c r="L27" s="1">
        <v>0</v>
      </c>
      <c r="M27" s="1">
        <f t="shared" si="0"/>
        <v>582</v>
      </c>
      <c r="N27" s="1">
        <f t="shared" si="1"/>
        <v>582</v>
      </c>
      <c r="O27" s="2" t="s">
        <v>43</v>
      </c>
      <c r="P27" s="1"/>
      <c r="Q27" s="1">
        <v>0.46100000000000002</v>
      </c>
      <c r="R27" s="1" t="s">
        <v>44</v>
      </c>
      <c r="S27" s="30" t="s">
        <v>111</v>
      </c>
      <c r="T27" s="31" t="s">
        <v>46</v>
      </c>
      <c r="U27" s="1"/>
      <c r="V27" s="1">
        <v>500</v>
      </c>
      <c r="W27" s="1" t="s">
        <v>47</v>
      </c>
      <c r="X27" s="32" t="s">
        <v>48</v>
      </c>
      <c r="Y27" s="1" t="s">
        <v>49</v>
      </c>
      <c r="Z27" s="2" t="s">
        <v>43</v>
      </c>
      <c r="AA27" s="1"/>
      <c r="AB27" s="1"/>
      <c r="AC27" s="1"/>
      <c r="AD27" s="1"/>
      <c r="AE27" s="1"/>
      <c r="AF27" s="1"/>
      <c r="AG27" s="1"/>
      <c r="AH27" s="1"/>
      <c r="AI27" s="1"/>
      <c r="AJ27" s="1"/>
      <c r="AK27" s="1"/>
      <c r="AL27" s="1"/>
      <c r="AM27" s="1"/>
      <c r="AN27" s="1"/>
      <c r="AO27" s="1"/>
      <c r="AP27" s="1"/>
      <c r="AQ27" s="1"/>
      <c r="AR27" s="1"/>
      <c r="AS27" s="1"/>
      <c r="AT27" s="1"/>
      <c r="AU27" s="1"/>
      <c r="AV27" s="1">
        <f>SUM($AT27,Z27:$AA27)-SUM($AV$5:AV$5)*$J27-SUM($AV$6:AV$6)*$K27</f>
        <v>0</v>
      </c>
      <c r="AW27" s="1">
        <f>SUM($AT27,$AA27:AA27)-SUM($AV$5:AW$5)*$J27-SUM($AV$6:AW$6)*$K27</f>
        <v>0</v>
      </c>
      <c r="AX27" s="1">
        <f>SUM($AT27,$AA27:AB27)-SUM($AV$5:AX$5)*$J27-SUM($AV$6:AX$6)*$K27</f>
        <v>0</v>
      </c>
      <c r="AY27" s="1">
        <f>SUM($AT27,$AA27:AC27)-SUM($AV$5:AY$5)*$J27-SUM($AV$6:AY$6)*$K27</f>
        <v>0</v>
      </c>
      <c r="AZ27" s="1">
        <f>SUM($AT27,$AA27:AD27)-SUM($AV$5:AZ$5)*$J27-SUM($AV$6:AZ$6)*$K27</f>
        <v>-40</v>
      </c>
      <c r="BA27" s="1">
        <f>SUM($AT27,$AA27:AE27)-SUM($AV$5:BA$5)*$J27-SUM($AV$6:BA$6)*$K27</f>
        <v>-80</v>
      </c>
      <c r="BB27" s="1">
        <f>SUM($AT27,$AA27:AF27)-SUM($AV$5:BB$5)*$J27-SUM($AV$6:BB$6)*$K27</f>
        <v>-120</v>
      </c>
      <c r="BC27" s="1">
        <f>SUM($AT27,$AA27:AG27)-SUM($AV$5:BC$5)*$J27-SUM($AV$6:BC$6)*$K27</f>
        <v>-160</v>
      </c>
      <c r="BD27" s="1">
        <f>SUM($AT27,$AA27:AH27)-SUM($AV$5:BD$5)*$J27-SUM($AV$6:BD$6)*$K27</f>
        <v>-200</v>
      </c>
      <c r="BE27" s="1">
        <f>SUM($AT27,$AA27:AI27)-SUM($AV$5:BE$5)*$J27-SUM($AV$6:BE$6)*$K27</f>
        <v>-240</v>
      </c>
      <c r="BF27" s="1">
        <f>SUM($AT27,$AA27:AJ27)-SUM($AV$5:BF$5)*$J27-SUM($AV$6:BF$6)*$K27</f>
        <v>-280</v>
      </c>
      <c r="BG27" s="1">
        <f>SUM($AT27,$AA27:AK27)-SUM($AV$5:BG$5)*$J27-SUM($AV$6:BG$6)*$K27</f>
        <v>-320</v>
      </c>
      <c r="BH27" s="1">
        <f>SUM($AT27,$AA27:AL27)-SUM($AV$5:BH$5)*$J27-SUM($AV$6:BH$6)*$K27</f>
        <v>-360</v>
      </c>
      <c r="BI27" s="1">
        <f>SUM($AT27,$AA27:AM27)-SUM($AV$5:BI$5)*$J27-SUM($AV$6:BI$6)*$K27</f>
        <v>-400</v>
      </c>
      <c r="BJ27" s="1">
        <f>SUM($AT27,$AA27:AN27)-SUM($AV$5:BJ$5)*$J27-SUM($AV$6:BJ$6)*$K27</f>
        <v>-440</v>
      </c>
      <c r="BK27" s="1">
        <f>SUM($AT27,$AA27:AO27)-SUM($AV$5:BK$5)*$J27-SUM($AV$6:BK$6)*$K27</f>
        <v>-480</v>
      </c>
      <c r="BL27" s="1">
        <f>SUM($AT27,$AA27:AP27)-SUM($AV$5:BL$5)*$J27-SUM($AV$6:BL$6)*$K27</f>
        <v>-520</v>
      </c>
      <c r="BM27" s="1">
        <f>SUM($AT27,$AA27:AQ27)-SUM($AV$5:BM$5)*$J27-SUM($AV$6:BM$6)*$K27</f>
        <v>-560</v>
      </c>
      <c r="BN27" s="1">
        <f>SUM($AT27,$AA27:AR27)-SUM($AV$5:BN$5)*$J27-SUM($AV$6:BN$6)*$K27</f>
        <v>-582</v>
      </c>
    </row>
    <row r="28" spans="1:66">
      <c r="A28" s="1">
        <v>24</v>
      </c>
      <c r="B28" s="28" t="s">
        <v>119</v>
      </c>
      <c r="C28" s="1" t="s">
        <v>40</v>
      </c>
      <c r="D28" s="2">
        <v>409102771</v>
      </c>
      <c r="E28" s="3" t="s">
        <v>120</v>
      </c>
      <c r="F28" s="1"/>
      <c r="G28" s="1" t="s">
        <v>42</v>
      </c>
      <c r="H28" s="1">
        <v>1</v>
      </c>
      <c r="I28" s="1">
        <v>1</v>
      </c>
      <c r="J28" s="1">
        <v>1</v>
      </c>
      <c r="K28" s="1">
        <v>0</v>
      </c>
      <c r="L28" s="1">
        <v>0</v>
      </c>
      <c r="M28" s="1">
        <f t="shared" si="0"/>
        <v>582</v>
      </c>
      <c r="N28" s="1">
        <f t="shared" si="1"/>
        <v>582</v>
      </c>
      <c r="O28" s="2" t="s">
        <v>43</v>
      </c>
      <c r="P28" s="1"/>
      <c r="Q28" s="1">
        <v>0.46100000000000002</v>
      </c>
      <c r="R28" s="1" t="s">
        <v>44</v>
      </c>
      <c r="S28" s="30" t="s">
        <v>111</v>
      </c>
      <c r="T28" s="31" t="s">
        <v>46</v>
      </c>
      <c r="U28" s="1">
        <v>500</v>
      </c>
      <c r="V28" s="1">
        <v>500</v>
      </c>
      <c r="W28" s="1" t="s">
        <v>47</v>
      </c>
      <c r="X28" s="32" t="s">
        <v>48</v>
      </c>
      <c r="Y28" s="1" t="s">
        <v>49</v>
      </c>
      <c r="Z28" s="2" t="s">
        <v>43</v>
      </c>
      <c r="AA28" s="1"/>
      <c r="AB28" s="1"/>
      <c r="AC28" s="1"/>
      <c r="AD28" s="1"/>
      <c r="AE28" s="1"/>
      <c r="AF28" s="1"/>
      <c r="AG28" s="1"/>
      <c r="AH28" s="1"/>
      <c r="AI28" s="1"/>
      <c r="AJ28" s="1"/>
      <c r="AK28" s="1"/>
      <c r="AL28" s="1"/>
      <c r="AM28" s="1"/>
      <c r="AN28" s="1"/>
      <c r="AO28" s="1"/>
      <c r="AP28" s="1"/>
      <c r="AQ28" s="1"/>
      <c r="AR28" s="1"/>
      <c r="AS28" s="1"/>
      <c r="AT28" s="1"/>
      <c r="AU28" s="1"/>
      <c r="AV28" s="1">
        <f>SUM($AT28,Z28:$AA28)-SUM($AV$5:AV$5)*$J28-SUM($AV$6:AV$6)*$K28</f>
        <v>0</v>
      </c>
      <c r="AW28" s="1">
        <f>SUM($AT28,$AA28:AA28)-SUM($AV$5:AW$5)*$J28-SUM($AV$6:AW$6)*$K28</f>
        <v>0</v>
      </c>
      <c r="AX28" s="1">
        <f>SUM($AT28,$AA28:AB28)-SUM($AV$5:AX$5)*$J28-SUM($AV$6:AX$6)*$K28</f>
        <v>0</v>
      </c>
      <c r="AY28" s="1">
        <f>SUM($AT28,$AA28:AC28)-SUM($AV$5:AY$5)*$J28-SUM($AV$6:AY$6)*$K28</f>
        <v>0</v>
      </c>
      <c r="AZ28" s="1">
        <f>SUM($AT28,$AA28:AD28)-SUM($AV$5:AZ$5)*$J28-SUM($AV$6:AZ$6)*$K28</f>
        <v>-40</v>
      </c>
      <c r="BA28" s="1">
        <f>SUM($AT28,$AA28:AE28)-SUM($AV$5:BA$5)*$J28-SUM($AV$6:BA$6)*$K28</f>
        <v>-80</v>
      </c>
      <c r="BB28" s="1">
        <f>SUM($AT28,$AA28:AF28)-SUM($AV$5:BB$5)*$J28-SUM($AV$6:BB$6)*$K28</f>
        <v>-120</v>
      </c>
      <c r="BC28" s="1">
        <f>SUM($AT28,$AA28:AG28)-SUM($AV$5:BC$5)*$J28-SUM($AV$6:BC$6)*$K28</f>
        <v>-160</v>
      </c>
      <c r="BD28" s="1">
        <f>SUM($AT28,$AA28:AH28)-SUM($AV$5:BD$5)*$J28-SUM($AV$6:BD$6)*$K28</f>
        <v>-200</v>
      </c>
      <c r="BE28" s="1">
        <f>SUM($AT28,$AA28:AI28)-SUM($AV$5:BE$5)*$J28-SUM($AV$6:BE$6)*$K28</f>
        <v>-240</v>
      </c>
      <c r="BF28" s="1">
        <f>SUM($AT28,$AA28:AJ28)-SUM($AV$5:BF$5)*$J28-SUM($AV$6:BF$6)*$K28</f>
        <v>-280</v>
      </c>
      <c r="BG28" s="1">
        <f>SUM($AT28,$AA28:AK28)-SUM($AV$5:BG$5)*$J28-SUM($AV$6:BG$6)*$K28</f>
        <v>-320</v>
      </c>
      <c r="BH28" s="1">
        <f>SUM($AT28,$AA28:AL28)-SUM($AV$5:BH$5)*$J28-SUM($AV$6:BH$6)*$K28</f>
        <v>-360</v>
      </c>
      <c r="BI28" s="1">
        <f>SUM($AT28,$AA28:AM28)-SUM($AV$5:BI$5)*$J28-SUM($AV$6:BI$6)*$K28</f>
        <v>-400</v>
      </c>
      <c r="BJ28" s="1">
        <f>SUM($AT28,$AA28:AN28)-SUM($AV$5:BJ$5)*$J28-SUM($AV$6:BJ$6)*$K28</f>
        <v>-440</v>
      </c>
      <c r="BK28" s="1">
        <f>SUM($AT28,$AA28:AO28)-SUM($AV$5:BK$5)*$J28-SUM($AV$6:BK$6)*$K28</f>
        <v>-480</v>
      </c>
      <c r="BL28" s="1">
        <f>SUM($AT28,$AA28:AP28)-SUM($AV$5:BL$5)*$J28-SUM($AV$6:BL$6)*$K28</f>
        <v>-520</v>
      </c>
      <c r="BM28" s="1">
        <f>SUM($AT28,$AA28:AQ28)-SUM($AV$5:BM$5)*$J28-SUM($AV$6:BM$6)*$K28</f>
        <v>-560</v>
      </c>
      <c r="BN28" s="1">
        <f>SUM($AT28,$AA28:AR28)-SUM($AV$5:BN$5)*$J28-SUM($AV$6:BN$6)*$K28</f>
        <v>-582</v>
      </c>
    </row>
    <row r="29" spans="1:66">
      <c r="A29" s="1">
        <v>25</v>
      </c>
      <c r="B29" s="28" t="s">
        <v>121</v>
      </c>
      <c r="C29" s="1" t="s">
        <v>40</v>
      </c>
      <c r="D29" s="2">
        <v>406492379</v>
      </c>
      <c r="E29" s="3" t="s">
        <v>122</v>
      </c>
      <c r="F29" s="1">
        <v>410708083</v>
      </c>
      <c r="G29" s="1" t="s">
        <v>42</v>
      </c>
      <c r="H29" s="1">
        <v>2</v>
      </c>
      <c r="I29" s="1">
        <v>1</v>
      </c>
      <c r="J29" s="1">
        <v>1</v>
      </c>
      <c r="K29" s="1">
        <v>0</v>
      </c>
      <c r="L29" s="1">
        <v>0</v>
      </c>
      <c r="M29" s="1">
        <f t="shared" si="0"/>
        <v>582</v>
      </c>
      <c r="N29" s="1">
        <f t="shared" si="1"/>
        <v>582</v>
      </c>
      <c r="O29" s="2" t="s">
        <v>123</v>
      </c>
      <c r="P29" s="1"/>
      <c r="Q29" s="1">
        <v>0.32900000000000001</v>
      </c>
      <c r="R29" s="1" t="s">
        <v>44</v>
      </c>
      <c r="S29" s="30" t="s">
        <v>111</v>
      </c>
      <c r="T29" s="31" t="s">
        <v>46</v>
      </c>
      <c r="U29" s="1">
        <v>1000</v>
      </c>
      <c r="V29" s="1">
        <v>1000</v>
      </c>
      <c r="W29" s="1" t="s">
        <v>47</v>
      </c>
      <c r="X29" s="32" t="s">
        <v>48</v>
      </c>
      <c r="Y29" s="1" t="s">
        <v>49</v>
      </c>
      <c r="Z29" s="2" t="s">
        <v>53</v>
      </c>
      <c r="AA29" s="1"/>
      <c r="AB29" s="1"/>
      <c r="AC29" s="1"/>
      <c r="AD29" s="1"/>
      <c r="AE29" s="1"/>
      <c r="AF29" s="1"/>
      <c r="AG29" s="1"/>
      <c r="AH29" s="1"/>
      <c r="AI29" s="1"/>
      <c r="AJ29" s="1"/>
      <c r="AK29" s="1"/>
      <c r="AL29" s="1"/>
      <c r="AM29" s="1"/>
      <c r="AN29" s="1"/>
      <c r="AO29" s="1"/>
      <c r="AP29" s="1"/>
      <c r="AQ29" s="1"/>
      <c r="AR29" s="1"/>
      <c r="AS29" s="1"/>
      <c r="AT29" s="1"/>
      <c r="AU29" s="1"/>
      <c r="AV29" s="1">
        <f>SUM($AT29,Z29:$AA29)-SUM($AV$5:AV$5)*$J29-SUM($AV$6:AV$6)*$K29</f>
        <v>0</v>
      </c>
      <c r="AW29" s="1">
        <f>SUM($AT29,$AA29:AA29)-SUM($AV$5:AW$5)*$J29-SUM($AV$6:AW$6)*$K29</f>
        <v>0</v>
      </c>
      <c r="AX29" s="1">
        <f>SUM($AT29,$AA29:AB29)-SUM($AV$5:AX$5)*$J29-SUM($AV$6:AX$6)*$K29</f>
        <v>0</v>
      </c>
      <c r="AY29" s="1">
        <f>SUM($AT29,$AA29:AC29)-SUM($AV$5:AY$5)*$J29-SUM($AV$6:AY$6)*$K29</f>
        <v>0</v>
      </c>
      <c r="AZ29" s="1">
        <f>SUM($AT29,$AA29:AD29)-SUM($AV$5:AZ$5)*$J29-SUM($AV$6:AZ$6)*$K29</f>
        <v>-40</v>
      </c>
      <c r="BA29" s="1">
        <f>SUM($AT29,$AA29:AE29)-SUM($AV$5:BA$5)*$J29-SUM($AV$6:BA$6)*$K29</f>
        <v>-80</v>
      </c>
      <c r="BB29" s="1">
        <f>SUM($AT29,$AA29:AF29)-SUM($AV$5:BB$5)*$J29-SUM($AV$6:BB$6)*$K29</f>
        <v>-120</v>
      </c>
      <c r="BC29" s="1">
        <f>SUM($AT29,$AA29:AG29)-SUM($AV$5:BC$5)*$J29-SUM($AV$6:BC$6)*$K29</f>
        <v>-160</v>
      </c>
      <c r="BD29" s="1">
        <f>SUM($AT29,$AA29:AH29)-SUM($AV$5:BD$5)*$J29-SUM($AV$6:BD$6)*$K29</f>
        <v>-200</v>
      </c>
      <c r="BE29" s="1">
        <f>SUM($AT29,$AA29:AI29)-SUM($AV$5:BE$5)*$J29-SUM($AV$6:BE$6)*$K29</f>
        <v>-240</v>
      </c>
      <c r="BF29" s="1">
        <f>SUM($AT29,$AA29:AJ29)-SUM($AV$5:BF$5)*$J29-SUM($AV$6:BF$6)*$K29</f>
        <v>-280</v>
      </c>
      <c r="BG29" s="1">
        <f>SUM($AT29,$AA29:AK29)-SUM($AV$5:BG$5)*$J29-SUM($AV$6:BG$6)*$K29</f>
        <v>-320</v>
      </c>
      <c r="BH29" s="1">
        <f>SUM($AT29,$AA29:AL29)-SUM($AV$5:BH$5)*$J29-SUM($AV$6:BH$6)*$K29</f>
        <v>-360</v>
      </c>
      <c r="BI29" s="1">
        <f>SUM($AT29,$AA29:AM29)-SUM($AV$5:BI$5)*$J29-SUM($AV$6:BI$6)*$K29</f>
        <v>-400</v>
      </c>
      <c r="BJ29" s="1">
        <f>SUM($AT29,$AA29:AN29)-SUM($AV$5:BJ$5)*$J29-SUM($AV$6:BJ$6)*$K29</f>
        <v>-440</v>
      </c>
      <c r="BK29" s="1">
        <f>SUM($AT29,$AA29:AO29)-SUM($AV$5:BK$5)*$J29-SUM($AV$6:BK$6)*$K29</f>
        <v>-480</v>
      </c>
      <c r="BL29" s="1">
        <f>SUM($AT29,$AA29:AP29)-SUM($AV$5:BL$5)*$J29-SUM($AV$6:BL$6)*$K29</f>
        <v>-520</v>
      </c>
      <c r="BM29" s="1">
        <f>SUM($AT29,$AA29:AQ29)-SUM($AV$5:BM$5)*$J29-SUM($AV$6:BM$6)*$K29</f>
        <v>-560</v>
      </c>
      <c r="BN29" s="1">
        <f>SUM($AT29,$AA29:AR29)-SUM($AV$5:BN$5)*$J29-SUM($AV$6:BN$6)*$K29</f>
        <v>-582</v>
      </c>
    </row>
    <row r="30" spans="1:66">
      <c r="A30" s="1">
        <v>49</v>
      </c>
      <c r="B30" s="28" t="s">
        <v>124</v>
      </c>
      <c r="C30" s="1" t="s">
        <v>40</v>
      </c>
      <c r="D30" s="2">
        <v>400229117</v>
      </c>
      <c r="E30" s="3" t="s">
        <v>125</v>
      </c>
      <c r="F30" s="1"/>
      <c r="G30" s="1" t="s">
        <v>42</v>
      </c>
      <c r="H30" s="1">
        <v>2</v>
      </c>
      <c r="I30" s="1">
        <v>128</v>
      </c>
      <c r="J30" s="1">
        <v>128</v>
      </c>
      <c r="K30" s="1">
        <v>0</v>
      </c>
      <c r="L30" s="1">
        <v>0</v>
      </c>
      <c r="M30" s="1">
        <f t="shared" si="0"/>
        <v>74496</v>
      </c>
      <c r="N30" s="1">
        <f t="shared" si="1"/>
        <v>74496</v>
      </c>
      <c r="O30" s="2" t="s">
        <v>65</v>
      </c>
      <c r="P30" s="1"/>
      <c r="Q30" s="1">
        <v>8.2000000000000003E-2</v>
      </c>
      <c r="R30" s="1" t="s">
        <v>44</v>
      </c>
      <c r="S30" s="30" t="s">
        <v>96</v>
      </c>
      <c r="T30" s="31" t="s">
        <v>67</v>
      </c>
      <c r="U30" s="1"/>
      <c r="V30" s="1">
        <v>2000</v>
      </c>
      <c r="W30" s="1" t="s">
        <v>68</v>
      </c>
      <c r="X30" s="32" t="s">
        <v>69</v>
      </c>
      <c r="Y30" s="1" t="s">
        <v>70</v>
      </c>
      <c r="Z30" s="2" t="s">
        <v>65</v>
      </c>
      <c r="AA30" s="1"/>
      <c r="AB30" s="1"/>
      <c r="AC30" s="1"/>
      <c r="AD30" s="1"/>
      <c r="AE30" s="1"/>
      <c r="AF30" s="1"/>
      <c r="AG30" s="1"/>
      <c r="AH30" s="1"/>
      <c r="AI30" s="1"/>
      <c r="AJ30" s="1"/>
      <c r="AK30" s="1"/>
      <c r="AL30" s="1"/>
      <c r="AM30" s="1"/>
      <c r="AN30" s="1"/>
      <c r="AO30" s="1"/>
      <c r="AP30" s="1"/>
      <c r="AQ30" s="1"/>
      <c r="AR30" s="1"/>
      <c r="AS30" s="1"/>
      <c r="AT30" s="1"/>
      <c r="AU30" s="1"/>
      <c r="AV30" s="1">
        <f>SUM($AT30,Z30:$AA30)-SUM($AV$5:AV$5)*$J30-SUM($AV$6:AV$6)*$K30</f>
        <v>0</v>
      </c>
      <c r="AW30" s="1">
        <f>SUM($AT30,$AA30:AA30)-SUM($AV$5:AW$5)*$J30-SUM($AV$6:AW$6)*$K30</f>
        <v>0</v>
      </c>
      <c r="AX30" s="1">
        <f>SUM($AT30,$AA30:AB30)-SUM($AV$5:AX$5)*$J30-SUM($AV$6:AX$6)*$K30</f>
        <v>0</v>
      </c>
      <c r="AY30" s="1">
        <f>SUM($AT30,$AA30:AC30)-SUM($AV$5:AY$5)*$J30-SUM($AV$6:AY$6)*$K30</f>
        <v>0</v>
      </c>
      <c r="AZ30" s="1">
        <f>SUM($AT30,$AA30:AD30)-SUM($AV$5:AZ$5)*$J30-SUM($AV$6:AZ$6)*$K30</f>
        <v>-5120</v>
      </c>
      <c r="BA30" s="1">
        <f>SUM($AT30,$AA30:AE30)-SUM($AV$5:BA$5)*$J30-SUM($AV$6:BA$6)*$K30</f>
        <v>-10240</v>
      </c>
      <c r="BB30" s="1">
        <f>SUM($AT30,$AA30:AF30)-SUM($AV$5:BB$5)*$J30-SUM($AV$6:BB$6)*$K30</f>
        <v>-15360</v>
      </c>
      <c r="BC30" s="1">
        <f>SUM($AT30,$AA30:AG30)-SUM($AV$5:BC$5)*$J30-SUM($AV$6:BC$6)*$K30</f>
        <v>-20480</v>
      </c>
      <c r="BD30" s="1">
        <f>SUM($AT30,$AA30:AH30)-SUM($AV$5:BD$5)*$J30-SUM($AV$6:BD$6)*$K30</f>
        <v>-25600</v>
      </c>
      <c r="BE30" s="1">
        <f>SUM($AT30,$AA30:AI30)-SUM($AV$5:BE$5)*$J30-SUM($AV$6:BE$6)*$K30</f>
        <v>-30720</v>
      </c>
      <c r="BF30" s="1">
        <f>SUM($AT30,$AA30:AJ30)-SUM($AV$5:BF$5)*$J30-SUM($AV$6:BF$6)*$K30</f>
        <v>-35840</v>
      </c>
      <c r="BG30" s="1">
        <f>SUM($AT30,$AA30:AK30)-SUM($AV$5:BG$5)*$J30-SUM($AV$6:BG$6)*$K30</f>
        <v>-40960</v>
      </c>
      <c r="BH30" s="1">
        <f>SUM($AT30,$AA30:AL30)-SUM($AV$5:BH$5)*$J30-SUM($AV$6:BH$6)*$K30</f>
        <v>-46080</v>
      </c>
      <c r="BI30" s="1">
        <f>SUM($AT30,$AA30:AM30)-SUM($AV$5:BI$5)*$J30-SUM($AV$6:BI$6)*$K30</f>
        <v>-51200</v>
      </c>
      <c r="BJ30" s="1">
        <f>SUM($AT30,$AA30:AN30)-SUM($AV$5:BJ$5)*$J30-SUM($AV$6:BJ$6)*$K30</f>
        <v>-56320</v>
      </c>
      <c r="BK30" s="1">
        <f>SUM($AT30,$AA30:AO30)-SUM($AV$5:BK$5)*$J30-SUM($AV$6:BK$6)*$K30</f>
        <v>-61440</v>
      </c>
      <c r="BL30" s="1">
        <f>SUM($AT30,$AA30:AP30)-SUM($AV$5:BL$5)*$J30-SUM($AV$6:BL$6)*$K30</f>
        <v>-66560</v>
      </c>
      <c r="BM30" s="1">
        <f>SUM($AT30,$AA30:AQ30)-SUM($AV$5:BM$5)*$J30-SUM($AV$6:BM$6)*$K30</f>
        <v>-71680</v>
      </c>
      <c r="BN30" s="1">
        <f>SUM($AT30,$AA30:AR30)-SUM($AV$5:BN$5)*$J30-SUM($AV$6:BN$6)*$K30</f>
        <v>-74496</v>
      </c>
    </row>
    <row r="31" spans="1:66">
      <c r="A31" s="1">
        <v>26</v>
      </c>
      <c r="B31" s="28" t="s">
        <v>126</v>
      </c>
      <c r="C31" s="1" t="s">
        <v>127</v>
      </c>
      <c r="D31" s="2">
        <v>401318341</v>
      </c>
      <c r="E31" s="3" t="s">
        <v>128</v>
      </c>
      <c r="F31" s="1"/>
      <c r="G31" s="1" t="s">
        <v>42</v>
      </c>
      <c r="H31" s="1">
        <v>1</v>
      </c>
      <c r="I31" s="1">
        <v>1</v>
      </c>
      <c r="J31" s="1">
        <v>1</v>
      </c>
      <c r="K31" s="1">
        <v>0</v>
      </c>
      <c r="L31" s="1">
        <v>0</v>
      </c>
      <c r="M31" s="1">
        <f t="shared" si="0"/>
        <v>582</v>
      </c>
      <c r="N31" s="1">
        <f t="shared" si="1"/>
        <v>582</v>
      </c>
      <c r="O31" s="2" t="s">
        <v>129</v>
      </c>
      <c r="P31" s="1"/>
      <c r="Q31" s="1">
        <v>25</v>
      </c>
      <c r="R31" s="1" t="s">
        <v>44</v>
      </c>
      <c r="S31" s="30" t="s">
        <v>91</v>
      </c>
      <c r="T31" s="31" t="s">
        <v>130</v>
      </c>
      <c r="U31" s="1">
        <v>1</v>
      </c>
      <c r="V31" s="1">
        <v>1</v>
      </c>
      <c r="W31" s="1" t="s">
        <v>131</v>
      </c>
      <c r="X31" s="33" t="s">
        <v>132</v>
      </c>
      <c r="Y31" s="1" t="s">
        <v>133</v>
      </c>
      <c r="Z31" s="2" t="s">
        <v>129</v>
      </c>
      <c r="AA31" s="1"/>
      <c r="AB31" s="1"/>
      <c r="AC31" s="1"/>
      <c r="AD31" s="1"/>
      <c r="AE31" s="1"/>
      <c r="AF31" s="1"/>
      <c r="AG31" s="1"/>
      <c r="AH31" s="1"/>
      <c r="AI31" s="1"/>
      <c r="AJ31" s="1"/>
      <c r="AK31" s="1"/>
      <c r="AL31" s="1"/>
      <c r="AM31" s="1"/>
      <c r="AN31" s="1"/>
      <c r="AO31" s="1"/>
      <c r="AP31" s="1"/>
      <c r="AQ31" s="1"/>
      <c r="AR31" s="1"/>
      <c r="AS31" s="1"/>
      <c r="AT31" s="1"/>
      <c r="AU31" s="1"/>
      <c r="AV31" s="1">
        <f>SUM($AT31,Z31:$AA31)-SUM($AV$5:AV$5)*$J31-SUM($AV$6:AV$6)*$K31</f>
        <v>0</v>
      </c>
      <c r="AW31" s="1">
        <f>SUM($AT31,$AA31:AA31)-SUM($AV$5:AW$5)*$J31-SUM($AV$6:AW$6)*$K31</f>
        <v>0</v>
      </c>
      <c r="AX31" s="1">
        <f>SUM($AT31,$AA31:AB31)-SUM($AV$5:AX$5)*$J31-SUM($AV$6:AX$6)*$K31</f>
        <v>0</v>
      </c>
      <c r="AY31" s="1">
        <f>SUM($AT31,$AA31:AC31)-SUM($AV$5:AY$5)*$J31-SUM($AV$6:AY$6)*$K31</f>
        <v>0</v>
      </c>
      <c r="AZ31" s="1">
        <f>SUM($AT31,$AA31:AD31)-SUM($AV$5:AZ$5)*$J31-SUM($AV$6:AZ$6)*$K31</f>
        <v>-40</v>
      </c>
      <c r="BA31" s="1">
        <f>SUM($AT31,$AA31:AE31)-SUM($AV$5:BA$5)*$J31-SUM($AV$6:BA$6)*$K31</f>
        <v>-80</v>
      </c>
      <c r="BB31" s="1">
        <f>SUM($AT31,$AA31:AF31)-SUM($AV$5:BB$5)*$J31-SUM($AV$6:BB$6)*$K31</f>
        <v>-120</v>
      </c>
      <c r="BC31" s="1">
        <f>SUM($AT31,$AA31:AG31)-SUM($AV$5:BC$5)*$J31-SUM($AV$6:BC$6)*$K31</f>
        <v>-160</v>
      </c>
      <c r="BD31" s="1">
        <f>SUM($AT31,$AA31:AH31)-SUM($AV$5:BD$5)*$J31-SUM($AV$6:BD$6)*$K31</f>
        <v>-200</v>
      </c>
      <c r="BE31" s="1">
        <f>SUM($AT31,$AA31:AI31)-SUM($AV$5:BE$5)*$J31-SUM($AV$6:BE$6)*$K31</f>
        <v>-240</v>
      </c>
      <c r="BF31" s="1">
        <f>SUM($AT31,$AA31:AJ31)-SUM($AV$5:BF$5)*$J31-SUM($AV$6:BF$6)*$K31</f>
        <v>-280</v>
      </c>
      <c r="BG31" s="1">
        <f>SUM($AT31,$AA31:AK31)-SUM($AV$5:BG$5)*$J31-SUM($AV$6:BG$6)*$K31</f>
        <v>-320</v>
      </c>
      <c r="BH31" s="1">
        <f>SUM($AT31,$AA31:AL31)-SUM($AV$5:BH$5)*$J31-SUM($AV$6:BH$6)*$K31</f>
        <v>-360</v>
      </c>
      <c r="BI31" s="1">
        <f>SUM($AT31,$AA31:AM31)-SUM($AV$5:BI$5)*$J31-SUM($AV$6:BI$6)*$K31</f>
        <v>-400</v>
      </c>
      <c r="BJ31" s="1">
        <f>SUM($AT31,$AA31:AN31)-SUM($AV$5:BJ$5)*$J31-SUM($AV$6:BJ$6)*$K31</f>
        <v>-440</v>
      </c>
      <c r="BK31" s="1">
        <f>SUM($AT31,$AA31:AO31)-SUM($AV$5:BK$5)*$J31-SUM($AV$6:BK$6)*$K31</f>
        <v>-480</v>
      </c>
      <c r="BL31" s="1">
        <f>SUM($AT31,$AA31:AP31)-SUM($AV$5:BL$5)*$J31-SUM($AV$6:BL$6)*$K31</f>
        <v>-520</v>
      </c>
      <c r="BM31" s="1">
        <f>SUM($AT31,$AA31:AQ31)-SUM($AV$5:BM$5)*$J31-SUM($AV$6:BM$6)*$K31</f>
        <v>-560</v>
      </c>
      <c r="BN31" s="1">
        <f>SUM($AT31,$AA31:AR31)-SUM($AV$5:BN$5)*$J31-SUM($AV$6:BN$6)*$K31</f>
        <v>-582</v>
      </c>
    </row>
    <row r="32" spans="1:66">
      <c r="A32" s="1">
        <v>250</v>
      </c>
      <c r="B32" s="28" t="s">
        <v>134</v>
      </c>
      <c r="C32" s="1" t="s">
        <v>40</v>
      </c>
      <c r="D32" s="2" t="s">
        <v>135</v>
      </c>
      <c r="E32" s="3" t="s">
        <v>136</v>
      </c>
      <c r="F32" s="1"/>
      <c r="G32" s="1" t="s">
        <v>42</v>
      </c>
      <c r="H32" s="1">
        <v>2</v>
      </c>
      <c r="I32" s="1">
        <v>1</v>
      </c>
      <c r="J32" s="1">
        <v>0</v>
      </c>
      <c r="K32" s="1">
        <v>1</v>
      </c>
      <c r="L32" s="1">
        <v>0</v>
      </c>
      <c r="M32" s="1">
        <f t="shared" ref="M32:M63" si="2">SUMPRODUCT(J32:L32,$J$2:$L$2)</f>
        <v>276</v>
      </c>
      <c r="N32" s="1">
        <f t="shared" si="1"/>
        <v>276</v>
      </c>
      <c r="O32" s="2" t="s">
        <v>137</v>
      </c>
      <c r="P32" s="1"/>
      <c r="Q32" s="1">
        <v>6.35</v>
      </c>
      <c r="R32" s="1" t="s">
        <v>44</v>
      </c>
      <c r="S32" s="30"/>
      <c r="T32" s="31" t="s">
        <v>138</v>
      </c>
      <c r="U32" s="1">
        <v>1</v>
      </c>
      <c r="V32" s="1">
        <v>1</v>
      </c>
      <c r="W32" s="1" t="s">
        <v>139</v>
      </c>
      <c r="X32" s="33" t="s">
        <v>140</v>
      </c>
      <c r="Y32" s="1" t="s">
        <v>141</v>
      </c>
      <c r="Z32" s="2" t="s">
        <v>137</v>
      </c>
      <c r="AA32" s="1"/>
      <c r="AB32" s="1"/>
      <c r="AC32" s="1"/>
      <c r="AD32" s="1"/>
      <c r="AE32" s="1"/>
      <c r="AF32" s="1"/>
      <c r="AG32" s="1"/>
      <c r="AH32" s="1"/>
      <c r="AI32" s="1"/>
      <c r="AJ32" s="1"/>
      <c r="AK32" s="1"/>
      <c r="AL32" s="1"/>
      <c r="AM32" s="1"/>
      <c r="AN32" s="1"/>
      <c r="AO32" s="1"/>
      <c r="AP32" s="1"/>
      <c r="AQ32" s="1"/>
      <c r="AR32" s="1"/>
      <c r="AS32" s="1"/>
      <c r="AT32" s="1"/>
      <c r="AU32" s="1"/>
      <c r="AV32" s="1">
        <f>SUM($AT32,Z32:$AA32)-SUM($AV$5:AV$5)*$J32-SUM($AV$6:AV$6)*$K32</f>
        <v>0</v>
      </c>
      <c r="AW32" s="1">
        <f>SUM($AT32,$AA32:AA32)-SUM($AV$5:AW$5)*$J32-SUM($AV$6:AW$6)*$K32</f>
        <v>0</v>
      </c>
      <c r="AX32" s="1">
        <f>SUM($AT32,$AA32:AB32)-SUM($AV$5:AX$5)*$J32-SUM($AV$6:AX$6)*$K32</f>
        <v>0</v>
      </c>
      <c r="AY32" s="1">
        <f>SUM($AT32,$AA32:AC32)-SUM($AV$5:AY$5)*$J32-SUM($AV$6:AY$6)*$K32</f>
        <v>0</v>
      </c>
      <c r="AZ32" s="1">
        <f>SUM($AT32,$AA32:AD32)-SUM($AV$5:AZ$5)*$J32-SUM($AV$6:AZ$6)*$K32</f>
        <v>-10</v>
      </c>
      <c r="BA32" s="1">
        <f>SUM($AT32,$AA32:AE32)-SUM($AV$5:BA$5)*$J32-SUM($AV$6:BA$6)*$K32</f>
        <v>-30</v>
      </c>
      <c r="BB32" s="1">
        <f>SUM($AT32,$AA32:AF32)-SUM($AV$5:BB$5)*$J32-SUM($AV$6:BB$6)*$K32</f>
        <v>-120</v>
      </c>
      <c r="BC32" s="1">
        <f>SUM($AT32,$AA32:AG32)-SUM($AV$5:BC$5)*$J32-SUM($AV$6:BC$6)*$K32</f>
        <v>-210</v>
      </c>
      <c r="BD32" s="1">
        <f>SUM($AT32,$AA32:AH32)-SUM($AV$5:BD$5)*$J32-SUM($AV$6:BD$6)*$K32</f>
        <v>-276</v>
      </c>
      <c r="BE32" s="1">
        <f>SUM($AT32,$AA32:AI32)-SUM($AV$5:BE$5)*$J32-SUM($AV$6:BE$6)*$K32</f>
        <v>-276</v>
      </c>
      <c r="BF32" s="1">
        <f>SUM($AT32,$AA32:AJ32)-SUM($AV$5:BF$5)*$J32-SUM($AV$6:BF$6)*$K32</f>
        <v>-276</v>
      </c>
      <c r="BG32" s="1">
        <f>SUM($AT32,$AA32:AK32)-SUM($AV$5:BG$5)*$J32-SUM($AV$6:BG$6)*$K32</f>
        <v>-276</v>
      </c>
      <c r="BH32" s="1">
        <f>SUM($AT32,$AA32:AL32)-SUM($AV$5:BH$5)*$J32-SUM($AV$6:BH$6)*$K32</f>
        <v>-276</v>
      </c>
      <c r="BI32" s="1">
        <f>SUM($AT32,$AA32:AM32)-SUM($AV$5:BI$5)*$J32-SUM($AV$6:BI$6)*$K32</f>
        <v>-276</v>
      </c>
      <c r="BJ32" s="1">
        <f>SUM($AT32,$AA32:AN32)-SUM($AV$5:BJ$5)*$J32-SUM($AV$6:BJ$6)*$K32</f>
        <v>-276</v>
      </c>
      <c r="BK32" s="1">
        <f>SUM($AT32,$AA32:AO32)-SUM($AV$5:BK$5)*$J32-SUM($AV$6:BK$6)*$K32</f>
        <v>-276</v>
      </c>
      <c r="BL32" s="1">
        <f>SUM($AT32,$AA32:AP32)-SUM($AV$5:BL$5)*$J32-SUM($AV$6:BL$6)*$K32</f>
        <v>-276</v>
      </c>
      <c r="BM32" s="1">
        <f>SUM($AT32,$AA32:AQ32)-SUM($AV$5:BM$5)*$J32-SUM($AV$6:BM$6)*$K32</f>
        <v>-276</v>
      </c>
      <c r="BN32" s="1">
        <f>SUM($AT32,$AA32:AR32)-SUM($AV$5:BN$5)*$J32-SUM($AV$6:BN$6)*$K32</f>
        <v>-276</v>
      </c>
    </row>
    <row r="33" spans="1:66">
      <c r="A33" s="1">
        <v>294</v>
      </c>
      <c r="B33" s="28" t="s">
        <v>142</v>
      </c>
      <c r="C33" s="1" t="s">
        <v>40</v>
      </c>
      <c r="D33" s="2">
        <v>404102751</v>
      </c>
      <c r="E33" s="3" t="s">
        <v>143</v>
      </c>
      <c r="F33" s="1"/>
      <c r="G33" s="1" t="s">
        <v>42</v>
      </c>
      <c r="H33" s="1">
        <v>1</v>
      </c>
      <c r="I33" s="1">
        <v>4</v>
      </c>
      <c r="J33" s="1">
        <v>0</v>
      </c>
      <c r="K33" s="1">
        <v>0</v>
      </c>
      <c r="L33" s="1">
        <v>4</v>
      </c>
      <c r="M33" s="1">
        <f t="shared" si="2"/>
        <v>1104</v>
      </c>
      <c r="N33" s="1">
        <f t="shared" si="1"/>
        <v>1104</v>
      </c>
      <c r="O33" s="2" t="s">
        <v>144</v>
      </c>
      <c r="P33" s="1"/>
      <c r="Q33" s="1">
        <v>14.5</v>
      </c>
      <c r="R33" s="1" t="s">
        <v>44</v>
      </c>
      <c r="S33" s="30" t="s">
        <v>145</v>
      </c>
      <c r="T33" s="31" t="s">
        <v>146</v>
      </c>
      <c r="U33" s="1">
        <v>1</v>
      </c>
      <c r="V33" s="1">
        <v>1</v>
      </c>
      <c r="W33" s="1" t="s">
        <v>147</v>
      </c>
      <c r="X33" s="33" t="s">
        <v>148</v>
      </c>
      <c r="Y33" s="1" t="s">
        <v>149</v>
      </c>
      <c r="Z33" s="2" t="s">
        <v>144</v>
      </c>
      <c r="AA33" s="1"/>
      <c r="AB33" s="1"/>
      <c r="AC33" s="1"/>
      <c r="AD33" s="1"/>
      <c r="AE33" s="1"/>
      <c r="AF33" s="1"/>
      <c r="AG33" s="1"/>
      <c r="AH33" s="1"/>
      <c r="AI33" s="1"/>
      <c r="AJ33" s="1"/>
      <c r="AK33" s="1"/>
      <c r="AL33" s="1"/>
      <c r="AM33" s="1"/>
      <c r="AN33" s="1"/>
      <c r="AO33" s="1"/>
      <c r="AP33" s="1"/>
      <c r="AQ33" s="1"/>
      <c r="AR33" s="1"/>
      <c r="AS33" s="1"/>
      <c r="AT33" s="1"/>
      <c r="AU33" s="1"/>
      <c r="AV33" s="1">
        <f>SUM($AT33,Z33:$AA33)-SUM($AV$5:AV$5)*$J33-SUM($AV$6:AV$6)*$K33</f>
        <v>0</v>
      </c>
      <c r="AW33" s="1">
        <f>SUM($AT33,$AA33:AA33)-SUM($AV$5:AW$5)*$J33-SUM($AV$6:AW$6)*$K33</f>
        <v>0</v>
      </c>
      <c r="AX33" s="1">
        <f>SUM($AT33,$AA33:AB33)-SUM($AV$5:AX$5)*$J33-SUM($AV$6:AX$6)*$K33</f>
        <v>0</v>
      </c>
      <c r="AY33" s="1">
        <f>SUM($AT33,$AA33:AC33)-SUM($AV$5:AY$5)*$J33-SUM($AV$6:AY$6)*$K33</f>
        <v>0</v>
      </c>
      <c r="AZ33" s="1">
        <f>SUM($AT33,$AA33:AD33)-SUM($AV$5:AZ$5)*$J33-SUM($AV$6:AZ$6)*$K33</f>
        <v>0</v>
      </c>
      <c r="BA33" s="1">
        <f>SUM($AT33,$AA33:AE33)-SUM($AV$5:BA$5)*$J33-SUM($AV$6:BA$6)*$K33</f>
        <v>0</v>
      </c>
      <c r="BB33" s="1">
        <f>SUM($AT33,$AA33:AF33)-SUM($AV$5:BB$5)*$J33-SUM($AV$6:BB$6)*$K33</f>
        <v>0</v>
      </c>
      <c r="BC33" s="1">
        <f>SUM($AT33,$AA33:AG33)-SUM($AV$5:BC$5)*$J33-SUM($AV$6:BC$6)*$K33</f>
        <v>0</v>
      </c>
      <c r="BD33" s="1">
        <f>SUM($AT33,$AA33:AH33)-SUM($AV$5:BD$5)*$J33-SUM($AV$6:BD$6)*$K33</f>
        <v>0</v>
      </c>
      <c r="BE33" s="1">
        <f>SUM($AT33,$AA33:AI33)-SUM($AV$5:BE$5)*$J33-SUM($AV$6:BE$6)*$K33</f>
        <v>0</v>
      </c>
      <c r="BF33" s="1">
        <f>SUM($AT33,$AA33:AJ33)-SUM($AV$5:BF$5)*$J33-SUM($AV$6:BF$6)*$K33</f>
        <v>0</v>
      </c>
      <c r="BG33" s="1">
        <f>SUM($AT33,$AA33:AK33)-SUM($AV$5:BG$5)*$J33-SUM($AV$6:BG$6)*$K33</f>
        <v>0</v>
      </c>
      <c r="BH33" s="1">
        <f>SUM($AT33,$AA33:AL33)-SUM($AV$5:BH$5)*$J33-SUM($AV$6:BH$6)*$K33</f>
        <v>0</v>
      </c>
      <c r="BI33" s="1">
        <f>SUM($AT33,$AA33:AM33)-SUM($AV$5:BI$5)*$J33-SUM($AV$6:BI$6)*$K33</f>
        <v>0</v>
      </c>
      <c r="BJ33" s="1">
        <f>SUM($AT33,$AA33:AN33)-SUM($AV$5:BJ$5)*$J33-SUM($AV$6:BJ$6)*$K33</f>
        <v>0</v>
      </c>
      <c r="BK33" s="1">
        <f>SUM($AT33,$AA33:AO33)-SUM($AV$5:BK$5)*$J33-SUM($AV$6:BK$6)*$K33</f>
        <v>0</v>
      </c>
      <c r="BL33" s="1">
        <f>SUM($AT33,$AA33:AP33)-SUM($AV$5:BL$5)*$J33-SUM($AV$6:BL$6)*$K33</f>
        <v>0</v>
      </c>
      <c r="BM33" s="1">
        <f>SUM($AT33,$AA33:AQ33)-SUM($AV$5:BM$5)*$J33-SUM($AV$6:BM$6)*$K33</f>
        <v>0</v>
      </c>
      <c r="BN33" s="1">
        <f>SUM($AT33,$AA33:AR33)-SUM($AV$5:BN$5)*$J33-SUM($AV$6:BN$6)*$K33</f>
        <v>0</v>
      </c>
    </row>
    <row r="34" spans="1:66">
      <c r="A34" s="1">
        <v>46</v>
      </c>
      <c r="B34" s="28" t="s">
        <v>150</v>
      </c>
      <c r="C34" s="1" t="s">
        <v>151</v>
      </c>
      <c r="D34" s="2">
        <v>419015778</v>
      </c>
      <c r="E34" s="3" t="s">
        <v>152</v>
      </c>
      <c r="F34" s="1"/>
      <c r="G34" s="1" t="s">
        <v>42</v>
      </c>
      <c r="H34" s="1">
        <v>1</v>
      </c>
      <c r="I34" s="1">
        <v>1</v>
      </c>
      <c r="J34" s="1">
        <v>0</v>
      </c>
      <c r="K34" s="1">
        <v>0</v>
      </c>
      <c r="L34" s="1">
        <v>1</v>
      </c>
      <c r="M34" s="1">
        <f t="shared" si="2"/>
        <v>276</v>
      </c>
      <c r="N34" s="1">
        <f t="shared" si="1"/>
        <v>276</v>
      </c>
      <c r="O34" s="2" t="s">
        <v>153</v>
      </c>
      <c r="P34" s="1"/>
      <c r="Q34" s="1">
        <v>487.2</v>
      </c>
      <c r="R34" s="1" t="s">
        <v>44</v>
      </c>
      <c r="S34" s="30" t="s">
        <v>145</v>
      </c>
      <c r="T34" s="31" t="s">
        <v>154</v>
      </c>
      <c r="U34" s="1">
        <v>1</v>
      </c>
      <c r="V34" s="1">
        <v>1</v>
      </c>
      <c r="W34" s="1" t="s">
        <v>155</v>
      </c>
      <c r="X34" s="33" t="s">
        <v>156</v>
      </c>
      <c r="Y34" s="1">
        <v>358.40719986099998</v>
      </c>
      <c r="Z34" s="2" t="s">
        <v>157</v>
      </c>
      <c r="AA34" s="1"/>
      <c r="AB34" s="1"/>
      <c r="AC34" s="1"/>
      <c r="AD34" s="1"/>
      <c r="AE34" s="1"/>
      <c r="AF34" s="1"/>
      <c r="AG34" s="1"/>
      <c r="AH34" s="1"/>
      <c r="AI34" s="1"/>
      <c r="AJ34" s="1"/>
      <c r="AK34" s="1"/>
      <c r="AL34" s="1"/>
      <c r="AM34" s="1"/>
      <c r="AN34" s="1"/>
      <c r="AO34" s="1"/>
      <c r="AP34" s="1"/>
      <c r="AQ34" s="1"/>
      <c r="AR34" s="1"/>
      <c r="AS34" s="1"/>
      <c r="AT34" s="1"/>
      <c r="AU34" s="1"/>
      <c r="AV34" s="1">
        <f>SUM($AT34,Z34:$AA34)-SUM($AV$5:AV$5)*$J34-SUM($AV$6:AV$6)*$K34</f>
        <v>0</v>
      </c>
      <c r="AW34" s="1">
        <f>SUM($AT34,$AA34:AA34)-SUM($AV$5:AW$5)*$J34-SUM($AV$6:AW$6)*$K34</f>
        <v>0</v>
      </c>
      <c r="AX34" s="1">
        <f>SUM($AT34,$AA34:AB34)-SUM($AV$5:AX$5)*$J34-SUM($AV$6:AX$6)*$K34</f>
        <v>0</v>
      </c>
      <c r="AY34" s="1">
        <f>SUM($AT34,$AA34:AC34)-SUM($AV$5:AY$5)*$J34-SUM($AV$6:AY$6)*$K34</f>
        <v>0</v>
      </c>
      <c r="AZ34" s="1">
        <f>SUM($AT34,$AA34:AD34)-SUM($AV$5:AZ$5)*$J34-SUM($AV$6:AZ$6)*$K34</f>
        <v>0</v>
      </c>
      <c r="BA34" s="1">
        <f>SUM($AT34,$AA34:AE34)-SUM($AV$5:BA$5)*$J34-SUM($AV$6:BA$6)*$K34</f>
        <v>0</v>
      </c>
      <c r="BB34" s="1">
        <f>SUM($AT34,$AA34:AF34)-SUM($AV$5:BB$5)*$J34-SUM($AV$6:BB$6)*$K34</f>
        <v>0</v>
      </c>
      <c r="BC34" s="1">
        <f>SUM($AT34,$AA34:AG34)-SUM($AV$5:BC$5)*$J34-SUM($AV$6:BC$6)*$K34</f>
        <v>0</v>
      </c>
      <c r="BD34" s="1">
        <f>SUM($AT34,$AA34:AH34)-SUM($AV$5:BD$5)*$J34-SUM($AV$6:BD$6)*$K34</f>
        <v>0</v>
      </c>
      <c r="BE34" s="1">
        <f>SUM($AT34,$AA34:AI34)-SUM($AV$5:BE$5)*$J34-SUM($AV$6:BE$6)*$K34</f>
        <v>0</v>
      </c>
      <c r="BF34" s="1">
        <f>SUM($AT34,$AA34:AJ34)-SUM($AV$5:BF$5)*$J34-SUM($AV$6:BF$6)*$K34</f>
        <v>0</v>
      </c>
      <c r="BG34" s="1">
        <f>SUM($AT34,$AA34:AK34)-SUM($AV$5:BG$5)*$J34-SUM($AV$6:BG$6)*$K34</f>
        <v>0</v>
      </c>
      <c r="BH34" s="1">
        <f>SUM($AT34,$AA34:AL34)-SUM($AV$5:BH$5)*$J34-SUM($AV$6:BH$6)*$K34</f>
        <v>0</v>
      </c>
      <c r="BI34" s="1">
        <f>SUM($AT34,$AA34:AM34)-SUM($AV$5:BI$5)*$J34-SUM($AV$6:BI$6)*$K34</f>
        <v>0</v>
      </c>
      <c r="BJ34" s="1">
        <f>SUM($AT34,$AA34:AN34)-SUM($AV$5:BJ$5)*$J34-SUM($AV$6:BJ$6)*$K34</f>
        <v>0</v>
      </c>
      <c r="BK34" s="1">
        <f>SUM($AT34,$AA34:AO34)-SUM($AV$5:BK$5)*$J34-SUM($AV$6:BK$6)*$K34</f>
        <v>0</v>
      </c>
      <c r="BL34" s="1">
        <f>SUM($AT34,$AA34:AP34)-SUM($AV$5:BL$5)*$J34-SUM($AV$6:BL$6)*$K34</f>
        <v>0</v>
      </c>
      <c r="BM34" s="1">
        <f>SUM($AT34,$AA34:AQ34)-SUM($AV$5:BM$5)*$J34-SUM($AV$6:BM$6)*$K34</f>
        <v>0</v>
      </c>
      <c r="BN34" s="1">
        <f>SUM($AT34,$AA34:AR34)-SUM($AV$5:BN$5)*$J34-SUM($AV$6:BN$6)*$K34</f>
        <v>0</v>
      </c>
    </row>
    <row r="35" spans="1:66">
      <c r="A35" s="34">
        <v>30</v>
      </c>
      <c r="B35" s="35" t="s">
        <v>158</v>
      </c>
      <c r="C35" s="34" t="s">
        <v>127</v>
      </c>
      <c r="D35" s="29">
        <v>400955400</v>
      </c>
      <c r="E35" s="36" t="s">
        <v>159</v>
      </c>
      <c r="F35" s="34"/>
      <c r="G35" s="34" t="s">
        <v>42</v>
      </c>
      <c r="H35" s="34">
        <v>1</v>
      </c>
      <c r="I35" s="34">
        <v>1</v>
      </c>
      <c r="J35" s="34">
        <v>1</v>
      </c>
      <c r="K35" s="34">
        <v>0</v>
      </c>
      <c r="L35" s="34">
        <v>0</v>
      </c>
      <c r="M35" s="34">
        <f t="shared" si="2"/>
        <v>582</v>
      </c>
      <c r="N35" s="1">
        <f t="shared" si="1"/>
        <v>582</v>
      </c>
      <c r="O35" s="37" t="s">
        <v>160</v>
      </c>
      <c r="P35" s="1"/>
      <c r="Q35" s="34"/>
      <c r="R35" s="1"/>
      <c r="S35" s="38"/>
      <c r="T35" s="39"/>
      <c r="U35" s="34"/>
      <c r="V35" s="34"/>
      <c r="W35" s="34"/>
      <c r="X35" s="40"/>
      <c r="Y35" s="34"/>
      <c r="Z35" s="29" t="s">
        <v>160</v>
      </c>
      <c r="AA35" s="1"/>
      <c r="AB35" s="1"/>
      <c r="AC35" s="1"/>
      <c r="AD35" s="1"/>
      <c r="AE35" s="1"/>
      <c r="AF35" s="1"/>
      <c r="AG35" s="1"/>
      <c r="AH35" s="1"/>
      <c r="AI35" s="1"/>
      <c r="AJ35" s="1"/>
      <c r="AK35" s="1"/>
      <c r="AL35" s="1"/>
      <c r="AM35" s="1"/>
      <c r="AN35" s="1"/>
      <c r="AO35" s="1"/>
      <c r="AP35" s="1"/>
      <c r="AQ35" s="1"/>
      <c r="AR35" s="1"/>
      <c r="AS35" s="1"/>
      <c r="AT35" s="1"/>
      <c r="AU35" s="1"/>
      <c r="AV35" s="1">
        <f>SUM($AT35,Z35:$AA35)-SUM($AV$5:AV$5)*$J35-SUM($AV$6:AV$6)*$K35</f>
        <v>0</v>
      </c>
      <c r="AW35" s="1">
        <f>SUM($AT35,$AA35:AA35)-SUM($AV$5:AW$5)*$J35-SUM($AV$6:AW$6)*$K35</f>
        <v>0</v>
      </c>
      <c r="AX35" s="1">
        <f>SUM($AT35,$AA35:AB35)-SUM($AV$5:AX$5)*$J35-SUM($AV$6:AX$6)*$K35</f>
        <v>0</v>
      </c>
      <c r="AY35" s="1">
        <f>SUM($AT35,$AA35:AC35)-SUM($AV$5:AY$5)*$J35-SUM($AV$6:AY$6)*$K35</f>
        <v>0</v>
      </c>
      <c r="AZ35" s="1">
        <f>SUM($AT35,$AA35:AD35)-SUM($AV$5:AZ$5)*$J35-SUM($AV$6:AZ$6)*$K35</f>
        <v>-40</v>
      </c>
      <c r="BA35" s="1">
        <f>SUM($AT35,$AA35:AE35)-SUM($AV$5:BA$5)*$J35-SUM($AV$6:BA$6)*$K35</f>
        <v>-80</v>
      </c>
      <c r="BB35" s="1">
        <f>SUM($AT35,$AA35:AF35)-SUM($AV$5:BB$5)*$J35-SUM($AV$6:BB$6)*$K35</f>
        <v>-120</v>
      </c>
      <c r="BC35" s="1">
        <f>SUM($AT35,$AA35:AG35)-SUM($AV$5:BC$5)*$J35-SUM($AV$6:BC$6)*$K35</f>
        <v>-160</v>
      </c>
      <c r="BD35" s="1">
        <f>SUM($AT35,$AA35:AH35)-SUM($AV$5:BD$5)*$J35-SUM($AV$6:BD$6)*$K35</f>
        <v>-200</v>
      </c>
      <c r="BE35" s="1">
        <f>SUM($AT35,$AA35:AI35)-SUM($AV$5:BE$5)*$J35-SUM($AV$6:BE$6)*$K35</f>
        <v>-240</v>
      </c>
      <c r="BF35" s="1">
        <f>SUM($AT35,$AA35:AJ35)-SUM($AV$5:BF$5)*$J35-SUM($AV$6:BF$6)*$K35</f>
        <v>-280</v>
      </c>
      <c r="BG35" s="1">
        <f>SUM($AT35,$AA35:AK35)-SUM($AV$5:BG$5)*$J35-SUM($AV$6:BG$6)*$K35</f>
        <v>-320</v>
      </c>
      <c r="BH35" s="1">
        <f>SUM($AT35,$AA35:AL35)-SUM($AV$5:BH$5)*$J35-SUM($AV$6:BH$6)*$K35</f>
        <v>-360</v>
      </c>
      <c r="BI35" s="1">
        <f>SUM($AT35,$AA35:AM35)-SUM($AV$5:BI$5)*$J35-SUM($AV$6:BI$6)*$K35</f>
        <v>-400</v>
      </c>
      <c r="BJ35" s="1">
        <f>SUM($AT35,$AA35:AN35)-SUM($AV$5:BJ$5)*$J35-SUM($AV$6:BJ$6)*$K35</f>
        <v>-440</v>
      </c>
      <c r="BK35" s="1">
        <f>SUM($AT35,$AA35:AO35)-SUM($AV$5:BK$5)*$J35-SUM($AV$6:BK$6)*$K35</f>
        <v>-480</v>
      </c>
      <c r="BL35" s="1">
        <f>SUM($AT35,$AA35:AP35)-SUM($AV$5:BL$5)*$J35-SUM($AV$6:BL$6)*$K35</f>
        <v>-520</v>
      </c>
      <c r="BM35" s="1">
        <f>SUM($AT35,$AA35:AQ35)-SUM($AV$5:BM$5)*$J35-SUM($AV$6:BM$6)*$K35</f>
        <v>-560</v>
      </c>
      <c r="BN35" s="1">
        <f>SUM($AT35,$AA35:AR35)-SUM($AV$5:BN$5)*$J35-SUM($AV$6:BN$6)*$K35</f>
        <v>-582</v>
      </c>
    </row>
    <row r="36" spans="1:66">
      <c r="A36" s="1">
        <v>261</v>
      </c>
      <c r="B36" s="28" t="s">
        <v>161</v>
      </c>
      <c r="C36" s="1" t="s">
        <v>40</v>
      </c>
      <c r="D36" s="2">
        <v>732009568</v>
      </c>
      <c r="E36" s="3" t="s">
        <v>162</v>
      </c>
      <c r="F36" s="1" t="s">
        <v>163</v>
      </c>
      <c r="G36" s="1" t="s">
        <v>164</v>
      </c>
      <c r="H36" s="1">
        <v>2</v>
      </c>
      <c r="I36" s="1" t="s">
        <v>165</v>
      </c>
      <c r="J36" s="1">
        <v>0.05</v>
      </c>
      <c r="K36" s="1">
        <v>0</v>
      </c>
      <c r="L36" s="1">
        <v>0</v>
      </c>
      <c r="M36" s="1">
        <f t="shared" si="2"/>
        <v>29.1</v>
      </c>
      <c r="N36" s="1">
        <f t="shared" si="1"/>
        <v>29.1</v>
      </c>
      <c r="O36" s="2" t="s">
        <v>166</v>
      </c>
      <c r="P36" s="1"/>
      <c r="Q36" s="1">
        <v>44.15</v>
      </c>
      <c r="R36" s="1" t="s">
        <v>44</v>
      </c>
      <c r="S36" s="30"/>
      <c r="T36" s="31" t="s">
        <v>167</v>
      </c>
      <c r="U36" s="1">
        <v>1</v>
      </c>
      <c r="V36" s="1">
        <v>1</v>
      </c>
      <c r="W36" s="1" t="s">
        <v>168</v>
      </c>
      <c r="X36" s="33" t="s">
        <v>169</v>
      </c>
      <c r="Y36" s="1"/>
      <c r="Z36" s="2" t="s">
        <v>170</v>
      </c>
      <c r="AA36" s="1"/>
      <c r="AB36" s="1"/>
      <c r="AC36" s="1"/>
      <c r="AD36" s="1"/>
      <c r="AE36" s="1"/>
      <c r="AF36" s="1"/>
      <c r="AG36" s="1"/>
      <c r="AH36" s="1"/>
      <c r="AI36" s="1"/>
      <c r="AJ36" s="1"/>
      <c r="AK36" s="1"/>
      <c r="AL36" s="1"/>
      <c r="AM36" s="1"/>
      <c r="AN36" s="1"/>
      <c r="AO36" s="1"/>
      <c r="AP36" s="1"/>
      <c r="AQ36" s="1"/>
      <c r="AR36" s="1"/>
      <c r="AS36" s="1"/>
      <c r="AT36" s="1"/>
      <c r="AU36" s="1"/>
      <c r="AV36" s="1">
        <f>SUM($AT36,Z36:$AA36)-SUM($AV$5:AV$5)*$J36-SUM($AV$6:AV$6)*$K36</f>
        <v>0</v>
      </c>
      <c r="AW36" s="1">
        <f>SUM($AT36,$AA36:AA36)-SUM($AV$5:AW$5)*$J36-SUM($AV$6:AW$6)*$K36</f>
        <v>0</v>
      </c>
      <c r="AX36" s="1">
        <f>SUM($AT36,$AA36:AB36)-SUM($AV$5:AX$5)*$J36-SUM($AV$6:AX$6)*$K36</f>
        <v>0</v>
      </c>
      <c r="AY36" s="1">
        <f>SUM($AT36,$AA36:AC36)-SUM($AV$5:AY$5)*$J36-SUM($AV$6:AY$6)*$K36</f>
        <v>0</v>
      </c>
      <c r="AZ36" s="1">
        <f>SUM($AT36,$AA36:AD36)-SUM($AV$5:AZ$5)*$J36-SUM($AV$6:AZ$6)*$K36</f>
        <v>-2</v>
      </c>
      <c r="BA36" s="1">
        <f>SUM($AT36,$AA36:AE36)-SUM($AV$5:BA$5)*$J36-SUM($AV$6:BA$6)*$K36</f>
        <v>-4</v>
      </c>
      <c r="BB36" s="1">
        <f>SUM($AT36,$AA36:AF36)-SUM($AV$5:BB$5)*$J36-SUM($AV$6:BB$6)*$K36</f>
        <v>-6</v>
      </c>
      <c r="BC36" s="1">
        <f>SUM($AT36,$AA36:AG36)-SUM($AV$5:BC$5)*$J36-SUM($AV$6:BC$6)*$K36</f>
        <v>-8</v>
      </c>
      <c r="BD36" s="1">
        <f>SUM($AT36,$AA36:AH36)-SUM($AV$5:BD$5)*$J36-SUM($AV$6:BD$6)*$K36</f>
        <v>-10</v>
      </c>
      <c r="BE36" s="1">
        <f>SUM($AT36,$AA36:AI36)-SUM($AV$5:BE$5)*$J36-SUM($AV$6:BE$6)*$K36</f>
        <v>-12</v>
      </c>
      <c r="BF36" s="1">
        <f>SUM($AT36,$AA36:AJ36)-SUM($AV$5:BF$5)*$J36-SUM($AV$6:BF$6)*$K36</f>
        <v>-14</v>
      </c>
      <c r="BG36" s="1">
        <f>SUM($AT36,$AA36:AK36)-SUM($AV$5:BG$5)*$J36-SUM($AV$6:BG$6)*$K36</f>
        <v>-16</v>
      </c>
      <c r="BH36" s="1">
        <f>SUM($AT36,$AA36:AL36)-SUM($AV$5:BH$5)*$J36-SUM($AV$6:BH$6)*$K36</f>
        <v>-18</v>
      </c>
      <c r="BI36" s="1">
        <f>SUM($AT36,$AA36:AM36)-SUM($AV$5:BI$5)*$J36-SUM($AV$6:BI$6)*$K36</f>
        <v>-20</v>
      </c>
      <c r="BJ36" s="1">
        <f>SUM($AT36,$AA36:AN36)-SUM($AV$5:BJ$5)*$J36-SUM($AV$6:BJ$6)*$K36</f>
        <v>-22</v>
      </c>
      <c r="BK36" s="1">
        <f>SUM($AT36,$AA36:AO36)-SUM($AV$5:BK$5)*$J36-SUM($AV$6:BK$6)*$K36</f>
        <v>-24</v>
      </c>
      <c r="BL36" s="1">
        <f>SUM($AT36,$AA36:AP36)-SUM($AV$5:BL$5)*$J36-SUM($AV$6:BL$6)*$K36</f>
        <v>-26</v>
      </c>
      <c r="BM36" s="1">
        <f>SUM($AT36,$AA36:AQ36)-SUM($AV$5:BM$5)*$J36-SUM($AV$6:BM$6)*$K36</f>
        <v>-28</v>
      </c>
      <c r="BN36" s="1">
        <f>SUM($AT36,$AA36:AR36)-SUM($AV$5:BN$5)*$J36-SUM($AV$6:BN$6)*$K36</f>
        <v>-29.1</v>
      </c>
    </row>
    <row r="37" spans="1:66">
      <c r="A37" s="1">
        <v>33</v>
      </c>
      <c r="B37" s="28" t="s">
        <v>171</v>
      </c>
      <c r="C37" s="1" t="s">
        <v>151</v>
      </c>
      <c r="D37" s="2" t="s">
        <v>172</v>
      </c>
      <c r="E37" s="3" t="s">
        <v>173</v>
      </c>
      <c r="F37" s="1"/>
      <c r="G37" s="1" t="s">
        <v>42</v>
      </c>
      <c r="H37" s="1">
        <v>1</v>
      </c>
      <c r="I37" s="1">
        <v>8</v>
      </c>
      <c r="J37" s="1">
        <v>0</v>
      </c>
      <c r="K37" s="1">
        <v>0</v>
      </c>
      <c r="L37" s="1">
        <v>8</v>
      </c>
      <c r="M37" s="1">
        <f t="shared" si="2"/>
        <v>2208</v>
      </c>
      <c r="N37" s="1">
        <f t="shared" si="1"/>
        <v>2208</v>
      </c>
      <c r="O37" s="41" t="s">
        <v>144</v>
      </c>
      <c r="P37" s="1"/>
      <c r="Q37" s="1">
        <v>3.15</v>
      </c>
      <c r="R37" s="1" t="s">
        <v>44</v>
      </c>
      <c r="S37" s="30" t="s">
        <v>66</v>
      </c>
      <c r="T37" s="31" t="s">
        <v>146</v>
      </c>
      <c r="U37" s="1">
        <v>3000</v>
      </c>
      <c r="V37" s="1">
        <v>3000</v>
      </c>
      <c r="W37" s="1" t="s">
        <v>147</v>
      </c>
      <c r="X37" s="42" t="s">
        <v>174</v>
      </c>
      <c r="Y37" s="43" t="s">
        <v>149</v>
      </c>
      <c r="Z37" s="41" t="s">
        <v>144</v>
      </c>
      <c r="AA37" s="1"/>
      <c r="AB37" s="1"/>
      <c r="AC37" s="1"/>
      <c r="AD37" s="1"/>
      <c r="AE37" s="1"/>
      <c r="AF37" s="1"/>
      <c r="AG37" s="1"/>
      <c r="AH37" s="1"/>
      <c r="AI37" s="1"/>
      <c r="AJ37" s="1"/>
      <c r="AK37" s="1"/>
      <c r="AL37" s="1"/>
      <c r="AM37" s="1"/>
      <c r="AN37" s="1"/>
      <c r="AO37" s="1"/>
      <c r="AP37" s="1"/>
      <c r="AQ37" s="1"/>
      <c r="AR37" s="1"/>
      <c r="AS37" s="1"/>
      <c r="AT37" s="1"/>
      <c r="AU37" s="1"/>
      <c r="AV37" s="1">
        <f>SUM($AT37,Z37:$AA37)-SUM($AV$5:AV$5)*$J37-SUM($AV$6:AV$6)*$K37</f>
        <v>0</v>
      </c>
      <c r="AW37" s="1">
        <f>SUM($AT37,$AA37:AA37)-SUM($AV$5:AW$5)*$J37-SUM($AV$6:AW$6)*$K37</f>
        <v>0</v>
      </c>
      <c r="AX37" s="1">
        <f>SUM($AT37,$AA37:AB37)-SUM($AV$5:AX$5)*$J37-SUM($AV$6:AX$6)*$K37</f>
        <v>0</v>
      </c>
      <c r="AY37" s="1">
        <f>SUM($AT37,$AA37:AC37)-SUM($AV$5:AY$5)*$J37-SUM($AV$6:AY$6)*$K37</f>
        <v>0</v>
      </c>
      <c r="AZ37" s="1">
        <f>SUM($AT37,$AA37:AD37)-SUM($AV$5:AZ$5)*$J37-SUM($AV$6:AZ$6)*$K37</f>
        <v>0</v>
      </c>
      <c r="BA37" s="1">
        <f>SUM($AT37,$AA37:AE37)-SUM($AV$5:BA$5)*$J37-SUM($AV$6:BA$6)*$K37</f>
        <v>0</v>
      </c>
      <c r="BB37" s="1">
        <f>SUM($AT37,$AA37:AF37)-SUM($AV$5:BB$5)*$J37-SUM($AV$6:BB$6)*$K37</f>
        <v>0</v>
      </c>
      <c r="BC37" s="1">
        <f>SUM($AT37,$AA37:AG37)-SUM($AV$5:BC$5)*$J37-SUM($AV$6:BC$6)*$K37</f>
        <v>0</v>
      </c>
      <c r="BD37" s="1">
        <f>SUM($AT37,$AA37:AH37)-SUM($AV$5:BD$5)*$J37-SUM($AV$6:BD$6)*$K37</f>
        <v>0</v>
      </c>
      <c r="BE37" s="1">
        <f>SUM($AT37,$AA37:AI37)-SUM($AV$5:BE$5)*$J37-SUM($AV$6:BE$6)*$K37</f>
        <v>0</v>
      </c>
      <c r="BF37" s="1">
        <f>SUM($AT37,$AA37:AJ37)-SUM($AV$5:BF$5)*$J37-SUM($AV$6:BF$6)*$K37</f>
        <v>0</v>
      </c>
      <c r="BG37" s="1">
        <f>SUM($AT37,$AA37:AK37)-SUM($AV$5:BG$5)*$J37-SUM($AV$6:BG$6)*$K37</f>
        <v>0</v>
      </c>
      <c r="BH37" s="1">
        <f>SUM($AT37,$AA37:AL37)-SUM($AV$5:BH$5)*$J37-SUM($AV$6:BH$6)*$K37</f>
        <v>0</v>
      </c>
      <c r="BI37" s="1">
        <f>SUM($AT37,$AA37:AM37)-SUM($AV$5:BI$5)*$J37-SUM($AV$6:BI$6)*$K37</f>
        <v>0</v>
      </c>
      <c r="BJ37" s="1">
        <f>SUM($AT37,$AA37:AN37)-SUM($AV$5:BJ$5)*$J37-SUM($AV$6:BJ$6)*$K37</f>
        <v>0</v>
      </c>
      <c r="BK37" s="1">
        <f>SUM($AT37,$AA37:AO37)-SUM($AV$5:BK$5)*$J37-SUM($AV$6:BK$6)*$K37</f>
        <v>0</v>
      </c>
      <c r="BL37" s="1">
        <f>SUM($AT37,$AA37:AP37)-SUM($AV$5:BL$5)*$J37-SUM($AV$6:BL$6)*$K37</f>
        <v>0</v>
      </c>
      <c r="BM37" s="1">
        <f>SUM($AT37,$AA37:AQ37)-SUM($AV$5:BM$5)*$J37-SUM($AV$6:BM$6)*$K37</f>
        <v>0</v>
      </c>
      <c r="BN37" s="1">
        <f>SUM($AT37,$AA37:AR37)-SUM($AV$5:BN$5)*$J37-SUM($AV$6:BN$6)*$K37</f>
        <v>0</v>
      </c>
    </row>
    <row r="38" spans="1:66">
      <c r="A38" s="1">
        <v>301</v>
      </c>
      <c r="B38" s="28" t="s">
        <v>175</v>
      </c>
      <c r="C38" s="1" t="s">
        <v>176</v>
      </c>
      <c r="D38" s="2">
        <v>732684436</v>
      </c>
      <c r="E38" s="3" t="s">
        <v>177</v>
      </c>
      <c r="F38" s="1" t="s">
        <v>178</v>
      </c>
      <c r="G38" s="1" t="s">
        <v>164</v>
      </c>
      <c r="H38" s="1">
        <v>2</v>
      </c>
      <c r="I38" s="1" t="s">
        <v>165</v>
      </c>
      <c r="J38" s="1">
        <v>0</v>
      </c>
      <c r="K38" s="1">
        <v>0.05</v>
      </c>
      <c r="L38" s="1">
        <v>0</v>
      </c>
      <c r="M38" s="1">
        <f t="shared" si="2"/>
        <v>13.8</v>
      </c>
      <c r="N38" s="1">
        <f t="shared" si="1"/>
        <v>13.8</v>
      </c>
      <c r="O38" s="2" t="s">
        <v>179</v>
      </c>
      <c r="P38" s="1"/>
      <c r="Q38" s="1">
        <v>50.87</v>
      </c>
      <c r="R38" s="1" t="s">
        <v>44</v>
      </c>
      <c r="S38" s="30"/>
      <c r="T38" s="31" t="s">
        <v>167</v>
      </c>
      <c r="U38" s="1">
        <v>1</v>
      </c>
      <c r="V38" s="1">
        <v>1</v>
      </c>
      <c r="W38" s="1" t="s">
        <v>180</v>
      </c>
      <c r="X38" s="33" t="s">
        <v>181</v>
      </c>
      <c r="Y38" s="1"/>
      <c r="Z38" s="2" t="s">
        <v>179</v>
      </c>
      <c r="AA38" s="1"/>
      <c r="AB38" s="1"/>
      <c r="AC38" s="1"/>
      <c r="AD38" s="1"/>
      <c r="AE38" s="1"/>
      <c r="AF38" s="1"/>
      <c r="AG38" s="1"/>
      <c r="AH38" s="1"/>
      <c r="AI38" s="1"/>
      <c r="AJ38" s="1"/>
      <c r="AK38" s="1"/>
      <c r="AL38" s="1"/>
      <c r="AM38" s="1"/>
      <c r="AN38" s="1"/>
      <c r="AO38" s="1"/>
      <c r="AP38" s="1"/>
      <c r="AQ38" s="1"/>
      <c r="AR38" s="1"/>
      <c r="AS38" s="1"/>
      <c r="AT38" s="1"/>
      <c r="AU38" s="1"/>
      <c r="AV38" s="1">
        <f>SUM($AT38,Z38:$AA38)-SUM($AV$5:AV$5)*$J38-SUM($AV$6:AV$6)*$K38</f>
        <v>0</v>
      </c>
      <c r="AW38" s="1">
        <f>SUM($AT38,$AA38:AA38)-SUM($AV$5:AW$5)*$J38-SUM($AV$6:AW$6)*$K38</f>
        <v>0</v>
      </c>
      <c r="AX38" s="1">
        <f>SUM($AT38,$AA38:AB38)-SUM($AV$5:AX$5)*$J38-SUM($AV$6:AX$6)*$K38</f>
        <v>0</v>
      </c>
      <c r="AY38" s="1">
        <f>SUM($AT38,$AA38:AC38)-SUM($AV$5:AY$5)*$J38-SUM($AV$6:AY$6)*$K38</f>
        <v>0</v>
      </c>
      <c r="AZ38" s="1">
        <f>SUM($AT38,$AA38:AD38)-SUM($AV$5:AZ$5)*$J38-SUM($AV$6:AZ$6)*$K38</f>
        <v>-0.5</v>
      </c>
      <c r="BA38" s="1">
        <f>SUM($AT38,$AA38:AE38)-SUM($AV$5:BA$5)*$J38-SUM($AV$6:BA$6)*$K38</f>
        <v>-1.5</v>
      </c>
      <c r="BB38" s="1">
        <f>SUM($AT38,$AA38:AF38)-SUM($AV$5:BB$5)*$J38-SUM($AV$6:BB$6)*$K38</f>
        <v>-6</v>
      </c>
      <c r="BC38" s="1">
        <f>SUM($AT38,$AA38:AG38)-SUM($AV$5:BC$5)*$J38-SUM($AV$6:BC$6)*$K38</f>
        <v>-10.5</v>
      </c>
      <c r="BD38" s="1">
        <f>SUM($AT38,$AA38:AH38)-SUM($AV$5:BD$5)*$J38-SUM($AV$6:BD$6)*$K38</f>
        <v>-13.8</v>
      </c>
      <c r="BE38" s="1">
        <f>SUM($AT38,$AA38:AI38)-SUM($AV$5:BE$5)*$J38-SUM($AV$6:BE$6)*$K38</f>
        <v>-13.8</v>
      </c>
      <c r="BF38" s="1">
        <f>SUM($AT38,$AA38:AJ38)-SUM($AV$5:BF$5)*$J38-SUM($AV$6:BF$6)*$K38</f>
        <v>-13.8</v>
      </c>
      <c r="BG38" s="1">
        <f>SUM($AT38,$AA38:AK38)-SUM($AV$5:BG$5)*$J38-SUM($AV$6:BG$6)*$K38</f>
        <v>-13.8</v>
      </c>
      <c r="BH38" s="1">
        <f>SUM($AT38,$AA38:AL38)-SUM($AV$5:BH$5)*$J38-SUM($AV$6:BH$6)*$K38</f>
        <v>-13.8</v>
      </c>
      <c r="BI38" s="1">
        <f>SUM($AT38,$AA38:AM38)-SUM($AV$5:BI$5)*$J38-SUM($AV$6:BI$6)*$K38</f>
        <v>-13.8</v>
      </c>
      <c r="BJ38" s="1">
        <f>SUM($AT38,$AA38:AN38)-SUM($AV$5:BJ$5)*$J38-SUM($AV$6:BJ$6)*$K38</f>
        <v>-13.8</v>
      </c>
      <c r="BK38" s="1">
        <f>SUM($AT38,$AA38:AO38)-SUM($AV$5:BK$5)*$J38-SUM($AV$6:BK$6)*$K38</f>
        <v>-13.8</v>
      </c>
      <c r="BL38" s="1">
        <f>SUM($AT38,$AA38:AP38)-SUM($AV$5:BL$5)*$J38-SUM($AV$6:BL$6)*$K38</f>
        <v>-13.8</v>
      </c>
      <c r="BM38" s="1">
        <f>SUM($AT38,$AA38:AQ38)-SUM($AV$5:BM$5)*$J38-SUM($AV$6:BM$6)*$K38</f>
        <v>-13.8</v>
      </c>
      <c r="BN38" s="1">
        <f>SUM($AT38,$AA38:AR38)-SUM($AV$5:BN$5)*$J38-SUM($AV$6:BN$6)*$K38</f>
        <v>-13.8</v>
      </c>
    </row>
    <row r="39" spans="1:66">
      <c r="A39" s="1">
        <v>394</v>
      </c>
      <c r="B39" s="28" t="s">
        <v>182</v>
      </c>
      <c r="C39" s="1" t="s">
        <v>40</v>
      </c>
      <c r="D39" s="2">
        <v>732400080</v>
      </c>
      <c r="E39" s="3" t="s">
        <v>183</v>
      </c>
      <c r="F39" s="1"/>
      <c r="G39" s="1" t="s">
        <v>164</v>
      </c>
      <c r="H39" s="1">
        <v>2</v>
      </c>
      <c r="I39" s="1" t="s">
        <v>165</v>
      </c>
      <c r="J39" s="1">
        <v>0</v>
      </c>
      <c r="K39" s="1">
        <v>0.05</v>
      </c>
      <c r="L39" s="1">
        <v>0</v>
      </c>
      <c r="M39" s="1">
        <f t="shared" si="2"/>
        <v>13.8</v>
      </c>
      <c r="N39" s="1">
        <f t="shared" si="1"/>
        <v>13.8</v>
      </c>
      <c r="O39" s="2" t="s">
        <v>184</v>
      </c>
      <c r="P39" s="1"/>
      <c r="Q39" s="1">
        <v>30.61</v>
      </c>
      <c r="R39" s="1" t="s">
        <v>44</v>
      </c>
      <c r="S39" s="30"/>
      <c r="T39" s="31" t="s">
        <v>167</v>
      </c>
      <c r="U39" s="1">
        <v>1</v>
      </c>
      <c r="V39" s="1">
        <v>1</v>
      </c>
      <c r="W39" s="1" t="s">
        <v>180</v>
      </c>
      <c r="X39" s="33" t="s">
        <v>181</v>
      </c>
      <c r="Y39" s="1"/>
      <c r="Z39" s="2" t="s">
        <v>184</v>
      </c>
      <c r="AA39" s="1"/>
      <c r="AB39" s="1"/>
      <c r="AC39" s="1"/>
      <c r="AD39" s="1"/>
      <c r="AE39" s="1"/>
      <c r="AF39" s="1"/>
      <c r="AG39" s="1"/>
      <c r="AH39" s="1"/>
      <c r="AI39" s="1"/>
      <c r="AJ39" s="1"/>
      <c r="AK39" s="1"/>
      <c r="AL39" s="1"/>
      <c r="AM39" s="1"/>
      <c r="AN39" s="1"/>
      <c r="AO39" s="1"/>
      <c r="AP39" s="1"/>
      <c r="AQ39" s="1"/>
      <c r="AR39" s="1"/>
      <c r="AS39" s="1"/>
      <c r="AT39" s="1"/>
      <c r="AU39" s="1"/>
      <c r="AV39" s="1">
        <f>SUM($AT39,Z39:$AA39)-SUM($AV$5:AV$5)*$J39-SUM($AV$6:AV$6)*$K39</f>
        <v>0</v>
      </c>
      <c r="AW39" s="1">
        <f>SUM($AT39,$AA39:AA39)-SUM($AV$5:AW$5)*$J39-SUM($AV$6:AW$6)*$K39</f>
        <v>0</v>
      </c>
      <c r="AX39" s="1">
        <f>SUM($AT39,$AA39:AB39)-SUM($AV$5:AX$5)*$J39-SUM($AV$6:AX$6)*$K39</f>
        <v>0</v>
      </c>
      <c r="AY39" s="1">
        <f>SUM($AT39,$AA39:AC39)-SUM($AV$5:AY$5)*$J39-SUM($AV$6:AY$6)*$K39</f>
        <v>0</v>
      </c>
      <c r="AZ39" s="1">
        <f>SUM($AT39,$AA39:AD39)-SUM($AV$5:AZ$5)*$J39-SUM($AV$6:AZ$6)*$K39</f>
        <v>-0.5</v>
      </c>
      <c r="BA39" s="1">
        <f>SUM($AT39,$AA39:AE39)-SUM($AV$5:BA$5)*$J39-SUM($AV$6:BA$6)*$K39</f>
        <v>-1.5</v>
      </c>
      <c r="BB39" s="1">
        <f>SUM($AT39,$AA39:AF39)-SUM($AV$5:BB$5)*$J39-SUM($AV$6:BB$6)*$K39</f>
        <v>-6</v>
      </c>
      <c r="BC39" s="1">
        <f>SUM($AT39,$AA39:AG39)-SUM($AV$5:BC$5)*$J39-SUM($AV$6:BC$6)*$K39</f>
        <v>-10.5</v>
      </c>
      <c r="BD39" s="1">
        <f>SUM($AT39,$AA39:AH39)-SUM($AV$5:BD$5)*$J39-SUM($AV$6:BD$6)*$K39</f>
        <v>-13.8</v>
      </c>
      <c r="BE39" s="1">
        <f>SUM($AT39,$AA39:AI39)-SUM($AV$5:BE$5)*$J39-SUM($AV$6:BE$6)*$K39</f>
        <v>-13.8</v>
      </c>
      <c r="BF39" s="1">
        <f>SUM($AT39,$AA39:AJ39)-SUM($AV$5:BF$5)*$J39-SUM($AV$6:BF$6)*$K39</f>
        <v>-13.8</v>
      </c>
      <c r="BG39" s="1">
        <f>SUM($AT39,$AA39:AK39)-SUM($AV$5:BG$5)*$J39-SUM($AV$6:BG$6)*$K39</f>
        <v>-13.8</v>
      </c>
      <c r="BH39" s="1">
        <f>SUM($AT39,$AA39:AL39)-SUM($AV$5:BH$5)*$J39-SUM($AV$6:BH$6)*$K39</f>
        <v>-13.8</v>
      </c>
      <c r="BI39" s="1">
        <f>SUM($AT39,$AA39:AM39)-SUM($AV$5:BI$5)*$J39-SUM($AV$6:BI$6)*$K39</f>
        <v>-13.8</v>
      </c>
      <c r="BJ39" s="1">
        <f>SUM($AT39,$AA39:AN39)-SUM($AV$5:BJ$5)*$J39-SUM($AV$6:BJ$6)*$K39</f>
        <v>-13.8</v>
      </c>
      <c r="BK39" s="1">
        <f>SUM($AT39,$AA39:AO39)-SUM($AV$5:BK$5)*$J39-SUM($AV$6:BK$6)*$K39</f>
        <v>-13.8</v>
      </c>
      <c r="BL39" s="1">
        <f>SUM($AT39,$AA39:AP39)-SUM($AV$5:BL$5)*$J39-SUM($AV$6:BL$6)*$K39</f>
        <v>-13.8</v>
      </c>
      <c r="BM39" s="1">
        <f>SUM($AT39,$AA39:AQ39)-SUM($AV$5:BM$5)*$J39-SUM($AV$6:BM$6)*$K39</f>
        <v>-13.8</v>
      </c>
      <c r="BN39" s="1">
        <f>SUM($AT39,$AA39:AR39)-SUM($AV$5:BN$5)*$J39-SUM($AV$6:BN$6)*$K39</f>
        <v>-13.8</v>
      </c>
    </row>
    <row r="40" spans="1:66">
      <c r="A40" s="1">
        <v>36</v>
      </c>
      <c r="B40" s="28" t="s">
        <v>185</v>
      </c>
      <c r="C40" s="1" t="s">
        <v>151</v>
      </c>
      <c r="D40" s="2">
        <v>420564241</v>
      </c>
      <c r="E40" s="3" t="s">
        <v>186</v>
      </c>
      <c r="F40" s="1"/>
      <c r="G40" s="1" t="s">
        <v>42</v>
      </c>
      <c r="H40" s="1">
        <v>1</v>
      </c>
      <c r="I40" s="1">
        <v>1</v>
      </c>
      <c r="J40" s="1">
        <v>0</v>
      </c>
      <c r="K40" s="1">
        <v>1</v>
      </c>
      <c r="L40" s="1">
        <v>0</v>
      </c>
      <c r="M40" s="1">
        <f t="shared" si="2"/>
        <v>276</v>
      </c>
      <c r="N40" s="1">
        <f t="shared" ref="N40:N71" si="3">SUMPRODUCT(J40:L40,$J$2:$L$2)</f>
        <v>276</v>
      </c>
      <c r="O40" s="30" t="s">
        <v>187</v>
      </c>
      <c r="P40" s="1"/>
      <c r="Q40" s="1">
        <v>1.5</v>
      </c>
      <c r="R40" s="1" t="s">
        <v>44</v>
      </c>
      <c r="S40" s="30" t="s">
        <v>91</v>
      </c>
      <c r="T40" s="31" t="s">
        <v>187</v>
      </c>
      <c r="U40" s="1">
        <v>1</v>
      </c>
      <c r="V40" s="1">
        <v>1</v>
      </c>
      <c r="W40" s="1" t="s">
        <v>188</v>
      </c>
      <c r="X40" s="33" t="s">
        <v>189</v>
      </c>
      <c r="Y40" s="1" t="s">
        <v>190</v>
      </c>
      <c r="Z40" s="2" t="s">
        <v>191</v>
      </c>
      <c r="AA40" s="1"/>
      <c r="AB40" s="1"/>
      <c r="AC40" s="1"/>
      <c r="AD40" s="1"/>
      <c r="AE40" s="1"/>
      <c r="AF40" s="1"/>
      <c r="AG40" s="1"/>
      <c r="AH40" s="1"/>
      <c r="AI40" s="1"/>
      <c r="AJ40" s="1"/>
      <c r="AK40" s="1"/>
      <c r="AL40" s="1"/>
      <c r="AM40" s="1"/>
      <c r="AN40" s="1"/>
      <c r="AO40" s="1"/>
      <c r="AP40" s="1"/>
      <c r="AQ40" s="1"/>
      <c r="AR40" s="1"/>
      <c r="AS40" s="1"/>
      <c r="AT40" s="1"/>
      <c r="AU40" s="1"/>
      <c r="AV40" s="1">
        <f>SUM($AT40,Z40:$AA40)-SUM($AV$5:AV$5)*$J40-SUM($AV$6:AV$6)*$K40</f>
        <v>0</v>
      </c>
      <c r="AW40" s="1">
        <f>SUM($AT40,$AA40:AA40)-SUM($AV$5:AW$5)*$J40-SUM($AV$6:AW$6)*$K40</f>
        <v>0</v>
      </c>
      <c r="AX40" s="1">
        <f>SUM($AT40,$AA40:AB40)-SUM($AV$5:AX$5)*$J40-SUM($AV$6:AX$6)*$K40</f>
        <v>0</v>
      </c>
      <c r="AY40" s="1">
        <f>SUM($AT40,$AA40:AC40)-SUM($AV$5:AY$5)*$J40-SUM($AV$6:AY$6)*$K40</f>
        <v>0</v>
      </c>
      <c r="AZ40" s="1">
        <f>SUM($AT40,$AA40:AD40)-SUM($AV$5:AZ$5)*$J40-SUM($AV$6:AZ$6)*$K40</f>
        <v>-10</v>
      </c>
      <c r="BA40" s="1">
        <f>SUM($AT40,$AA40:AE40)-SUM($AV$5:BA$5)*$J40-SUM($AV$6:BA$6)*$K40</f>
        <v>-30</v>
      </c>
      <c r="BB40" s="1">
        <f>SUM($AT40,$AA40:AF40)-SUM($AV$5:BB$5)*$J40-SUM($AV$6:BB$6)*$K40</f>
        <v>-120</v>
      </c>
      <c r="BC40" s="1">
        <f>SUM($AT40,$AA40:AG40)-SUM($AV$5:BC$5)*$J40-SUM($AV$6:BC$6)*$K40</f>
        <v>-210</v>
      </c>
      <c r="BD40" s="1">
        <f>SUM($AT40,$AA40:AH40)-SUM($AV$5:BD$5)*$J40-SUM($AV$6:BD$6)*$K40</f>
        <v>-276</v>
      </c>
      <c r="BE40" s="1">
        <f>SUM($AT40,$AA40:AI40)-SUM($AV$5:BE$5)*$J40-SUM($AV$6:BE$6)*$K40</f>
        <v>-276</v>
      </c>
      <c r="BF40" s="1">
        <f>SUM($AT40,$AA40:AJ40)-SUM($AV$5:BF$5)*$J40-SUM($AV$6:BF$6)*$K40</f>
        <v>-276</v>
      </c>
      <c r="BG40" s="1">
        <f>SUM($AT40,$AA40:AK40)-SUM($AV$5:BG$5)*$J40-SUM($AV$6:BG$6)*$K40</f>
        <v>-276</v>
      </c>
      <c r="BH40" s="1">
        <f>SUM($AT40,$AA40:AL40)-SUM($AV$5:BH$5)*$J40-SUM($AV$6:BH$6)*$K40</f>
        <v>-276</v>
      </c>
      <c r="BI40" s="1">
        <f>SUM($AT40,$AA40:AM40)-SUM($AV$5:BI$5)*$J40-SUM($AV$6:BI$6)*$K40</f>
        <v>-276</v>
      </c>
      <c r="BJ40" s="1">
        <f>SUM($AT40,$AA40:AN40)-SUM($AV$5:BJ$5)*$J40-SUM($AV$6:BJ$6)*$K40</f>
        <v>-276</v>
      </c>
      <c r="BK40" s="1">
        <f>SUM($AT40,$AA40:AO40)-SUM($AV$5:BK$5)*$J40-SUM($AV$6:BK$6)*$K40</f>
        <v>-276</v>
      </c>
      <c r="BL40" s="1">
        <f>SUM($AT40,$AA40:AP40)-SUM($AV$5:BL$5)*$J40-SUM($AV$6:BL$6)*$K40</f>
        <v>-276</v>
      </c>
      <c r="BM40" s="1">
        <f>SUM($AT40,$AA40:AQ40)-SUM($AV$5:BM$5)*$J40-SUM($AV$6:BM$6)*$K40</f>
        <v>-276</v>
      </c>
      <c r="BN40" s="1">
        <f>SUM($AT40,$AA40:AR40)-SUM($AV$5:BN$5)*$J40-SUM($AV$6:BN$6)*$K40</f>
        <v>-276</v>
      </c>
    </row>
    <row r="41" spans="1:66">
      <c r="A41" s="1">
        <v>39</v>
      </c>
      <c r="B41" s="28" t="s">
        <v>192</v>
      </c>
      <c r="C41" s="1" t="s">
        <v>151</v>
      </c>
      <c r="D41" s="2">
        <v>414371155</v>
      </c>
      <c r="E41" s="3" t="s">
        <v>193</v>
      </c>
      <c r="F41" s="1"/>
      <c r="G41" s="1" t="s">
        <v>42</v>
      </c>
      <c r="H41" s="1">
        <v>1</v>
      </c>
      <c r="I41" s="1">
        <v>1</v>
      </c>
      <c r="J41" s="1">
        <v>0</v>
      </c>
      <c r="K41" s="1">
        <v>1</v>
      </c>
      <c r="L41" s="1">
        <v>0</v>
      </c>
      <c r="M41" s="1">
        <f t="shared" si="2"/>
        <v>276</v>
      </c>
      <c r="N41" s="1">
        <f t="shared" si="3"/>
        <v>276</v>
      </c>
      <c r="O41" s="2" t="s">
        <v>194</v>
      </c>
      <c r="P41" s="1"/>
      <c r="Q41" s="31">
        <v>215</v>
      </c>
      <c r="R41" s="1" t="s">
        <v>44</v>
      </c>
      <c r="S41" s="30" t="s">
        <v>145</v>
      </c>
      <c r="T41" s="31" t="s">
        <v>195</v>
      </c>
      <c r="U41" s="1">
        <v>1</v>
      </c>
      <c r="V41" s="1">
        <v>1</v>
      </c>
      <c r="W41" s="1" t="s">
        <v>196</v>
      </c>
      <c r="X41" s="33" t="s">
        <v>132</v>
      </c>
      <c r="Y41" s="1" t="s">
        <v>133</v>
      </c>
      <c r="Z41" s="2" t="s">
        <v>197</v>
      </c>
      <c r="AA41" s="1"/>
      <c r="AB41" s="1"/>
      <c r="AC41" s="1"/>
      <c r="AD41" s="1"/>
      <c r="AE41" s="1"/>
      <c r="AF41" s="1"/>
      <c r="AG41" s="1"/>
      <c r="AH41" s="1"/>
      <c r="AI41" s="1"/>
      <c r="AJ41" s="1"/>
      <c r="AK41" s="1"/>
      <c r="AL41" s="1"/>
      <c r="AM41" s="1"/>
      <c r="AN41" s="1"/>
      <c r="AO41" s="1"/>
      <c r="AP41" s="1"/>
      <c r="AQ41" s="1"/>
      <c r="AR41" s="1"/>
      <c r="AS41" s="1"/>
      <c r="AT41" s="1"/>
      <c r="AU41" s="1"/>
      <c r="AV41" s="1">
        <f>SUM($AT41,Z41:$AA41)-SUM($AV$5:AV$5)*$J41-SUM($AV$6:AV$6)*$K41</f>
        <v>0</v>
      </c>
      <c r="AW41" s="1">
        <f>SUM($AT41,$AA41:AA41)-SUM($AV$5:AW$5)*$J41-SUM($AV$6:AW$6)*$K41</f>
        <v>0</v>
      </c>
      <c r="AX41" s="1">
        <f>SUM($AT41,$AA41:AB41)-SUM($AV$5:AX$5)*$J41-SUM($AV$6:AX$6)*$K41</f>
        <v>0</v>
      </c>
      <c r="AY41" s="1">
        <f>SUM($AT41,$AA41:AC41)-SUM($AV$5:AY$5)*$J41-SUM($AV$6:AY$6)*$K41</f>
        <v>0</v>
      </c>
      <c r="AZ41" s="1">
        <f>SUM($AT41,$AA41:AD41)-SUM($AV$5:AZ$5)*$J41-SUM($AV$6:AZ$6)*$K41</f>
        <v>-10</v>
      </c>
      <c r="BA41" s="1">
        <f>SUM($AT41,$AA41:AE41)-SUM($AV$5:BA$5)*$J41-SUM($AV$6:BA$6)*$K41</f>
        <v>-30</v>
      </c>
      <c r="BB41" s="1">
        <f>SUM($AT41,$AA41:AF41)-SUM($AV$5:BB$5)*$J41-SUM($AV$6:BB$6)*$K41</f>
        <v>-120</v>
      </c>
      <c r="BC41" s="1">
        <f>SUM($AT41,$AA41:AG41)-SUM($AV$5:BC$5)*$J41-SUM($AV$6:BC$6)*$K41</f>
        <v>-210</v>
      </c>
      <c r="BD41" s="1">
        <f>SUM($AT41,$AA41:AH41)-SUM($AV$5:BD$5)*$J41-SUM($AV$6:BD$6)*$K41</f>
        <v>-276</v>
      </c>
      <c r="BE41" s="1">
        <f>SUM($AT41,$AA41:AI41)-SUM($AV$5:BE$5)*$J41-SUM($AV$6:BE$6)*$K41</f>
        <v>-276</v>
      </c>
      <c r="BF41" s="1">
        <f>SUM($AT41,$AA41:AJ41)-SUM($AV$5:BF$5)*$J41-SUM($AV$6:BF$6)*$K41</f>
        <v>-276</v>
      </c>
      <c r="BG41" s="1">
        <f>SUM($AT41,$AA41:AK41)-SUM($AV$5:BG$5)*$J41-SUM($AV$6:BG$6)*$K41</f>
        <v>-276</v>
      </c>
      <c r="BH41" s="1">
        <f>SUM($AT41,$AA41:AL41)-SUM($AV$5:BH$5)*$J41-SUM($AV$6:BH$6)*$K41</f>
        <v>-276</v>
      </c>
      <c r="BI41" s="1">
        <f>SUM($AT41,$AA41:AM41)-SUM($AV$5:BI$5)*$J41-SUM($AV$6:BI$6)*$K41</f>
        <v>-276</v>
      </c>
      <c r="BJ41" s="1">
        <f>SUM($AT41,$AA41:AN41)-SUM($AV$5:BJ$5)*$J41-SUM($AV$6:BJ$6)*$K41</f>
        <v>-276</v>
      </c>
      <c r="BK41" s="1">
        <f>SUM($AT41,$AA41:AO41)-SUM($AV$5:BK$5)*$J41-SUM($AV$6:BK$6)*$K41</f>
        <v>-276</v>
      </c>
      <c r="BL41" s="1">
        <f>SUM($AT41,$AA41:AP41)-SUM($AV$5:BL$5)*$J41-SUM($AV$6:BL$6)*$K41</f>
        <v>-276</v>
      </c>
      <c r="BM41" s="1">
        <f>SUM($AT41,$AA41:AQ41)-SUM($AV$5:BM$5)*$J41-SUM($AV$6:BM$6)*$K41</f>
        <v>-276</v>
      </c>
      <c r="BN41" s="1">
        <f>SUM($AT41,$AA41:AR41)-SUM($AV$5:BN$5)*$J41-SUM($AV$6:BN$6)*$K41</f>
        <v>-276</v>
      </c>
    </row>
    <row r="42" spans="1:66">
      <c r="A42" s="1">
        <v>40</v>
      </c>
      <c r="B42" s="28" t="s">
        <v>198</v>
      </c>
      <c r="C42" s="1" t="s">
        <v>127</v>
      </c>
      <c r="D42" s="2">
        <v>414371154</v>
      </c>
      <c r="E42" s="3" t="s">
        <v>199</v>
      </c>
      <c r="F42" s="1"/>
      <c r="G42" s="1" t="s">
        <v>42</v>
      </c>
      <c r="H42" s="1">
        <v>1</v>
      </c>
      <c r="I42" s="1">
        <v>1</v>
      </c>
      <c r="J42" s="1">
        <v>0</v>
      </c>
      <c r="K42" s="1">
        <v>1</v>
      </c>
      <c r="L42" s="1">
        <v>0</v>
      </c>
      <c r="M42" s="1">
        <f t="shared" si="2"/>
        <v>276</v>
      </c>
      <c r="N42" s="1">
        <f t="shared" si="3"/>
        <v>276</v>
      </c>
      <c r="O42" s="2" t="s">
        <v>194</v>
      </c>
      <c r="P42" s="1"/>
      <c r="Q42" s="31">
        <v>215</v>
      </c>
      <c r="R42" s="1" t="s">
        <v>44</v>
      </c>
      <c r="S42" s="30" t="s">
        <v>145</v>
      </c>
      <c r="T42" s="31" t="s">
        <v>195</v>
      </c>
      <c r="U42" s="1">
        <v>1</v>
      </c>
      <c r="V42" s="1">
        <v>1</v>
      </c>
      <c r="W42" s="1" t="s">
        <v>196</v>
      </c>
      <c r="X42" s="33" t="s">
        <v>132</v>
      </c>
      <c r="Y42" s="1" t="s">
        <v>133</v>
      </c>
      <c r="Z42" s="2" t="s">
        <v>197</v>
      </c>
      <c r="AA42" s="1"/>
      <c r="AB42" s="1"/>
      <c r="AC42" s="1"/>
      <c r="AD42" s="1"/>
      <c r="AE42" s="1"/>
      <c r="AF42" s="1"/>
      <c r="AG42" s="1"/>
      <c r="AH42" s="1"/>
      <c r="AI42" s="1"/>
      <c r="AJ42" s="1"/>
      <c r="AK42" s="1"/>
      <c r="AL42" s="1"/>
      <c r="AM42" s="1"/>
      <c r="AN42" s="1"/>
      <c r="AO42" s="1"/>
      <c r="AP42" s="1"/>
      <c r="AQ42" s="1"/>
      <c r="AR42" s="1"/>
      <c r="AS42" s="1"/>
      <c r="AT42" s="1"/>
      <c r="AU42" s="1"/>
      <c r="AV42" s="1">
        <f>SUM($AT42,Z42:$AA42)-SUM($AV$5:AV$5)*$J42-SUM($AV$6:AV$6)*$K42</f>
        <v>0</v>
      </c>
      <c r="AW42" s="1">
        <f>SUM($AT42,$AA42:AA42)-SUM($AV$5:AW$5)*$J42-SUM($AV$6:AW$6)*$K42</f>
        <v>0</v>
      </c>
      <c r="AX42" s="1">
        <f>SUM($AT42,$AA42:AB42)-SUM($AV$5:AX$5)*$J42-SUM($AV$6:AX$6)*$K42</f>
        <v>0</v>
      </c>
      <c r="AY42" s="1">
        <f>SUM($AT42,$AA42:AC42)-SUM($AV$5:AY$5)*$J42-SUM($AV$6:AY$6)*$K42</f>
        <v>0</v>
      </c>
      <c r="AZ42" s="1">
        <f>SUM($AT42,$AA42:AD42)-SUM($AV$5:AZ$5)*$J42-SUM($AV$6:AZ$6)*$K42</f>
        <v>-10</v>
      </c>
      <c r="BA42" s="1">
        <f>SUM($AT42,$AA42:AE42)-SUM($AV$5:BA$5)*$J42-SUM($AV$6:BA$6)*$K42</f>
        <v>-30</v>
      </c>
      <c r="BB42" s="1">
        <f>SUM($AT42,$AA42:AF42)-SUM($AV$5:BB$5)*$J42-SUM($AV$6:BB$6)*$K42</f>
        <v>-120</v>
      </c>
      <c r="BC42" s="1">
        <f>SUM($AT42,$AA42:AG42)-SUM($AV$5:BC$5)*$J42-SUM($AV$6:BC$6)*$K42</f>
        <v>-210</v>
      </c>
      <c r="BD42" s="1">
        <f>SUM($AT42,$AA42:AH42)-SUM($AV$5:BD$5)*$J42-SUM($AV$6:BD$6)*$K42</f>
        <v>-276</v>
      </c>
      <c r="BE42" s="1">
        <f>SUM($AT42,$AA42:AI42)-SUM($AV$5:BE$5)*$J42-SUM($AV$6:BE$6)*$K42</f>
        <v>-276</v>
      </c>
      <c r="BF42" s="1">
        <f>SUM($AT42,$AA42:AJ42)-SUM($AV$5:BF$5)*$J42-SUM($AV$6:BF$6)*$K42</f>
        <v>-276</v>
      </c>
      <c r="BG42" s="1">
        <f>SUM($AT42,$AA42:AK42)-SUM($AV$5:BG$5)*$J42-SUM($AV$6:BG$6)*$K42</f>
        <v>-276</v>
      </c>
      <c r="BH42" s="1">
        <f>SUM($AT42,$AA42:AL42)-SUM($AV$5:BH$5)*$J42-SUM($AV$6:BH$6)*$K42</f>
        <v>-276</v>
      </c>
      <c r="BI42" s="1">
        <f>SUM($AT42,$AA42:AM42)-SUM($AV$5:BI$5)*$J42-SUM($AV$6:BI$6)*$K42</f>
        <v>-276</v>
      </c>
      <c r="BJ42" s="1">
        <f>SUM($AT42,$AA42:AN42)-SUM($AV$5:BJ$5)*$J42-SUM($AV$6:BJ$6)*$K42</f>
        <v>-276</v>
      </c>
      <c r="BK42" s="1">
        <f>SUM($AT42,$AA42:AO42)-SUM($AV$5:BK$5)*$J42-SUM($AV$6:BK$6)*$K42</f>
        <v>-276</v>
      </c>
      <c r="BL42" s="1">
        <f>SUM($AT42,$AA42:AP42)-SUM($AV$5:BL$5)*$J42-SUM($AV$6:BL$6)*$K42</f>
        <v>-276</v>
      </c>
      <c r="BM42" s="1">
        <f>SUM($AT42,$AA42:AQ42)-SUM($AV$5:BM$5)*$J42-SUM($AV$6:BM$6)*$K42</f>
        <v>-276</v>
      </c>
      <c r="BN42" s="1">
        <f>SUM($AT42,$AA42:AR42)-SUM($AV$5:BN$5)*$J42-SUM($AV$6:BN$6)*$K42</f>
        <v>-276</v>
      </c>
    </row>
    <row r="43" spans="1:66">
      <c r="A43" s="1">
        <v>41</v>
      </c>
      <c r="B43" s="28" t="s">
        <v>200</v>
      </c>
      <c r="C43" s="1" t="s">
        <v>151</v>
      </c>
      <c r="D43" s="2">
        <v>414371153</v>
      </c>
      <c r="E43" s="3" t="s">
        <v>201</v>
      </c>
      <c r="F43" s="1"/>
      <c r="G43" s="1" t="s">
        <v>42</v>
      </c>
      <c r="H43" s="1">
        <v>1</v>
      </c>
      <c r="I43" s="1">
        <v>1</v>
      </c>
      <c r="J43" s="1">
        <v>0</v>
      </c>
      <c r="K43" s="1">
        <v>1</v>
      </c>
      <c r="L43" s="1">
        <v>0</v>
      </c>
      <c r="M43" s="1">
        <f t="shared" si="2"/>
        <v>276</v>
      </c>
      <c r="N43" s="1">
        <f t="shared" si="3"/>
        <v>276</v>
      </c>
      <c r="O43" s="2" t="s">
        <v>194</v>
      </c>
      <c r="P43" s="1"/>
      <c r="Q43" s="31">
        <v>215</v>
      </c>
      <c r="R43" s="1" t="s">
        <v>44</v>
      </c>
      <c r="S43" s="30" t="s">
        <v>145</v>
      </c>
      <c r="T43" s="31" t="s">
        <v>195</v>
      </c>
      <c r="U43" s="1">
        <v>1</v>
      </c>
      <c r="V43" s="1">
        <v>1</v>
      </c>
      <c r="W43" s="1" t="s">
        <v>196</v>
      </c>
      <c r="X43" s="33" t="s">
        <v>132</v>
      </c>
      <c r="Y43" s="1" t="s">
        <v>133</v>
      </c>
      <c r="Z43" s="2" t="s">
        <v>197</v>
      </c>
      <c r="AA43" s="1"/>
      <c r="AB43" s="1"/>
      <c r="AC43" s="1"/>
      <c r="AD43" s="1"/>
      <c r="AE43" s="1"/>
      <c r="AF43" s="1"/>
      <c r="AG43" s="1"/>
      <c r="AH43" s="1"/>
      <c r="AI43" s="1"/>
      <c r="AJ43" s="1"/>
      <c r="AK43" s="1"/>
      <c r="AL43" s="1"/>
      <c r="AM43" s="1"/>
      <c r="AN43" s="1"/>
      <c r="AO43" s="1"/>
      <c r="AP43" s="1"/>
      <c r="AQ43" s="1"/>
      <c r="AR43" s="1"/>
      <c r="AS43" s="1"/>
      <c r="AT43" s="1"/>
      <c r="AU43" s="1"/>
      <c r="AV43" s="1">
        <f>SUM($AT43,Z43:$AA43)-SUM($AV$5:AV$5)*$J43-SUM($AV$6:AV$6)*$K43</f>
        <v>0</v>
      </c>
      <c r="AW43" s="1">
        <f>SUM($AT43,$AA43:AA43)-SUM($AV$5:AW$5)*$J43-SUM($AV$6:AW$6)*$K43</f>
        <v>0</v>
      </c>
      <c r="AX43" s="1">
        <f>SUM($AT43,$AA43:AB43)-SUM($AV$5:AX$5)*$J43-SUM($AV$6:AX$6)*$K43</f>
        <v>0</v>
      </c>
      <c r="AY43" s="1">
        <f>SUM($AT43,$AA43:AC43)-SUM($AV$5:AY$5)*$J43-SUM($AV$6:AY$6)*$K43</f>
        <v>0</v>
      </c>
      <c r="AZ43" s="1">
        <f>SUM($AT43,$AA43:AD43)-SUM($AV$5:AZ$5)*$J43-SUM($AV$6:AZ$6)*$K43</f>
        <v>-10</v>
      </c>
      <c r="BA43" s="1">
        <f>SUM($AT43,$AA43:AE43)-SUM($AV$5:BA$5)*$J43-SUM($AV$6:BA$6)*$K43</f>
        <v>-30</v>
      </c>
      <c r="BB43" s="1">
        <f>SUM($AT43,$AA43:AF43)-SUM($AV$5:BB$5)*$J43-SUM($AV$6:BB$6)*$K43</f>
        <v>-120</v>
      </c>
      <c r="BC43" s="1">
        <f>SUM($AT43,$AA43:AG43)-SUM($AV$5:BC$5)*$J43-SUM($AV$6:BC$6)*$K43</f>
        <v>-210</v>
      </c>
      <c r="BD43" s="1">
        <f>SUM($AT43,$AA43:AH43)-SUM($AV$5:BD$5)*$J43-SUM($AV$6:BD$6)*$K43</f>
        <v>-276</v>
      </c>
      <c r="BE43" s="1">
        <f>SUM($AT43,$AA43:AI43)-SUM($AV$5:BE$5)*$J43-SUM($AV$6:BE$6)*$K43</f>
        <v>-276</v>
      </c>
      <c r="BF43" s="1">
        <f>SUM($AT43,$AA43:AJ43)-SUM($AV$5:BF$5)*$J43-SUM($AV$6:BF$6)*$K43</f>
        <v>-276</v>
      </c>
      <c r="BG43" s="1">
        <f>SUM($AT43,$AA43:AK43)-SUM($AV$5:BG$5)*$J43-SUM($AV$6:BG$6)*$K43</f>
        <v>-276</v>
      </c>
      <c r="BH43" s="1">
        <f>SUM($AT43,$AA43:AL43)-SUM($AV$5:BH$5)*$J43-SUM($AV$6:BH$6)*$K43</f>
        <v>-276</v>
      </c>
      <c r="BI43" s="1">
        <f>SUM($AT43,$AA43:AM43)-SUM($AV$5:BI$5)*$J43-SUM($AV$6:BI$6)*$K43</f>
        <v>-276</v>
      </c>
      <c r="BJ43" s="1">
        <f>SUM($AT43,$AA43:AN43)-SUM($AV$5:BJ$5)*$J43-SUM($AV$6:BJ$6)*$K43</f>
        <v>-276</v>
      </c>
      <c r="BK43" s="1">
        <f>SUM($AT43,$AA43:AO43)-SUM($AV$5:BK$5)*$J43-SUM($AV$6:BK$6)*$K43</f>
        <v>-276</v>
      </c>
      <c r="BL43" s="1">
        <f>SUM($AT43,$AA43:AP43)-SUM($AV$5:BL$5)*$J43-SUM($AV$6:BL$6)*$K43</f>
        <v>-276</v>
      </c>
      <c r="BM43" s="1">
        <f>SUM($AT43,$AA43:AQ43)-SUM($AV$5:BM$5)*$J43-SUM($AV$6:BM$6)*$K43</f>
        <v>-276</v>
      </c>
      <c r="BN43" s="1">
        <f>SUM($AT43,$AA43:AR43)-SUM($AV$5:BN$5)*$J43-SUM($AV$6:BN$6)*$K43</f>
        <v>-276</v>
      </c>
    </row>
    <row r="44" spans="1:66">
      <c r="A44" s="1">
        <v>42</v>
      </c>
      <c r="B44" s="28" t="s">
        <v>202</v>
      </c>
      <c r="C44" s="1" t="s">
        <v>151</v>
      </c>
      <c r="D44" s="2">
        <v>414371152</v>
      </c>
      <c r="E44" s="3" t="s">
        <v>203</v>
      </c>
      <c r="F44" s="1"/>
      <c r="G44" s="1" t="s">
        <v>42</v>
      </c>
      <c r="H44" s="1">
        <v>1</v>
      </c>
      <c r="I44" s="1">
        <v>1</v>
      </c>
      <c r="J44" s="1">
        <v>0</v>
      </c>
      <c r="K44" s="1">
        <v>1</v>
      </c>
      <c r="L44" s="1">
        <v>0</v>
      </c>
      <c r="M44" s="1">
        <f t="shared" si="2"/>
        <v>276</v>
      </c>
      <c r="N44" s="1">
        <f t="shared" si="3"/>
        <v>276</v>
      </c>
      <c r="O44" s="2" t="s">
        <v>194</v>
      </c>
      <c r="P44" s="1"/>
      <c r="Q44" s="31">
        <v>215</v>
      </c>
      <c r="R44" s="1" t="s">
        <v>44</v>
      </c>
      <c r="S44" s="30" t="s">
        <v>145</v>
      </c>
      <c r="T44" s="31" t="s">
        <v>195</v>
      </c>
      <c r="U44" s="1">
        <v>1</v>
      </c>
      <c r="V44" s="1">
        <v>1</v>
      </c>
      <c r="W44" s="1" t="s">
        <v>196</v>
      </c>
      <c r="X44" s="33" t="s">
        <v>132</v>
      </c>
      <c r="Y44" s="1" t="s">
        <v>133</v>
      </c>
      <c r="Z44" s="2" t="s">
        <v>197</v>
      </c>
      <c r="AA44" s="1"/>
      <c r="AB44" s="1"/>
      <c r="AC44" s="1"/>
      <c r="AD44" s="1"/>
      <c r="AE44" s="1"/>
      <c r="AF44" s="1"/>
      <c r="AG44" s="1"/>
      <c r="AH44" s="1"/>
      <c r="AI44" s="1"/>
      <c r="AJ44" s="1"/>
      <c r="AK44" s="1"/>
      <c r="AL44" s="1"/>
      <c r="AM44" s="1"/>
      <c r="AN44" s="1"/>
      <c r="AO44" s="1"/>
      <c r="AP44" s="1"/>
      <c r="AQ44" s="1"/>
      <c r="AR44" s="1"/>
      <c r="AS44" s="1"/>
      <c r="AT44" s="1"/>
      <c r="AU44" s="1"/>
      <c r="AV44" s="1">
        <f>SUM($AT44,Z44:$AA44)-SUM($AV$5:AV$5)*$J44-SUM($AV$6:AV$6)*$K44</f>
        <v>0</v>
      </c>
      <c r="AW44" s="1">
        <f>SUM($AT44,$AA44:AA44)-SUM($AV$5:AW$5)*$J44-SUM($AV$6:AW$6)*$K44</f>
        <v>0</v>
      </c>
      <c r="AX44" s="1">
        <f>SUM($AT44,$AA44:AB44)-SUM($AV$5:AX$5)*$J44-SUM($AV$6:AX$6)*$K44</f>
        <v>0</v>
      </c>
      <c r="AY44" s="1">
        <f>SUM($AT44,$AA44:AC44)-SUM($AV$5:AY$5)*$J44-SUM($AV$6:AY$6)*$K44</f>
        <v>0</v>
      </c>
      <c r="AZ44" s="1">
        <f>SUM($AT44,$AA44:AD44)-SUM($AV$5:AZ$5)*$J44-SUM($AV$6:AZ$6)*$K44</f>
        <v>-10</v>
      </c>
      <c r="BA44" s="1">
        <f>SUM($AT44,$AA44:AE44)-SUM($AV$5:BA$5)*$J44-SUM($AV$6:BA$6)*$K44</f>
        <v>-30</v>
      </c>
      <c r="BB44" s="1">
        <f>SUM($AT44,$AA44:AF44)-SUM($AV$5:BB$5)*$J44-SUM($AV$6:BB$6)*$K44</f>
        <v>-120</v>
      </c>
      <c r="BC44" s="1">
        <f>SUM($AT44,$AA44:AG44)-SUM($AV$5:BC$5)*$J44-SUM($AV$6:BC$6)*$K44</f>
        <v>-210</v>
      </c>
      <c r="BD44" s="1">
        <f>SUM($AT44,$AA44:AH44)-SUM($AV$5:BD$5)*$J44-SUM($AV$6:BD$6)*$K44</f>
        <v>-276</v>
      </c>
      <c r="BE44" s="1">
        <f>SUM($AT44,$AA44:AI44)-SUM($AV$5:BE$5)*$J44-SUM($AV$6:BE$6)*$K44</f>
        <v>-276</v>
      </c>
      <c r="BF44" s="1">
        <f>SUM($AT44,$AA44:AJ44)-SUM($AV$5:BF$5)*$J44-SUM($AV$6:BF$6)*$K44</f>
        <v>-276</v>
      </c>
      <c r="BG44" s="1">
        <f>SUM($AT44,$AA44:AK44)-SUM($AV$5:BG$5)*$J44-SUM($AV$6:BG$6)*$K44</f>
        <v>-276</v>
      </c>
      <c r="BH44" s="1">
        <f>SUM($AT44,$AA44:AL44)-SUM($AV$5:BH$5)*$J44-SUM($AV$6:BH$6)*$K44</f>
        <v>-276</v>
      </c>
      <c r="BI44" s="1">
        <f>SUM($AT44,$AA44:AM44)-SUM($AV$5:BI$5)*$J44-SUM($AV$6:BI$6)*$K44</f>
        <v>-276</v>
      </c>
      <c r="BJ44" s="1">
        <f>SUM($AT44,$AA44:AN44)-SUM($AV$5:BJ$5)*$J44-SUM($AV$6:BJ$6)*$K44</f>
        <v>-276</v>
      </c>
      <c r="BK44" s="1">
        <f>SUM($AT44,$AA44:AO44)-SUM($AV$5:BK$5)*$J44-SUM($AV$6:BK$6)*$K44</f>
        <v>-276</v>
      </c>
      <c r="BL44" s="1">
        <f>SUM($AT44,$AA44:AP44)-SUM($AV$5:BL$5)*$J44-SUM($AV$6:BL$6)*$K44</f>
        <v>-276</v>
      </c>
      <c r="BM44" s="1">
        <f>SUM($AT44,$AA44:AQ44)-SUM($AV$5:BM$5)*$J44-SUM($AV$6:BM$6)*$K44</f>
        <v>-276</v>
      </c>
      <c r="BN44" s="1">
        <f>SUM($AT44,$AA44:AR44)-SUM($AV$5:BN$5)*$J44-SUM($AV$6:BN$6)*$K44</f>
        <v>-276</v>
      </c>
    </row>
    <row r="45" spans="1:66">
      <c r="A45" s="1">
        <v>43</v>
      </c>
      <c r="B45" s="28" t="s">
        <v>204</v>
      </c>
      <c r="C45" s="1" t="s">
        <v>151</v>
      </c>
      <c r="D45" s="2">
        <v>414371156</v>
      </c>
      <c r="E45" s="3" t="s">
        <v>205</v>
      </c>
      <c r="F45" s="1"/>
      <c r="G45" s="1" t="s">
        <v>42</v>
      </c>
      <c r="H45" s="1">
        <v>1</v>
      </c>
      <c r="I45" s="1">
        <v>1</v>
      </c>
      <c r="J45" s="1">
        <v>0</v>
      </c>
      <c r="K45" s="1">
        <v>1</v>
      </c>
      <c r="L45" s="1">
        <v>0</v>
      </c>
      <c r="M45" s="1">
        <f t="shared" si="2"/>
        <v>276</v>
      </c>
      <c r="N45" s="1">
        <f t="shared" si="3"/>
        <v>276</v>
      </c>
      <c r="O45" s="2" t="s">
        <v>194</v>
      </c>
      <c r="P45" s="1"/>
      <c r="Q45" s="31">
        <v>215</v>
      </c>
      <c r="R45" s="1" t="s">
        <v>44</v>
      </c>
      <c r="S45" s="30" t="s">
        <v>145</v>
      </c>
      <c r="T45" s="31" t="s">
        <v>195</v>
      </c>
      <c r="U45" s="1">
        <v>1</v>
      </c>
      <c r="V45" s="1">
        <v>1</v>
      </c>
      <c r="W45" s="1" t="s">
        <v>196</v>
      </c>
      <c r="X45" s="33" t="s">
        <v>132</v>
      </c>
      <c r="Y45" s="1" t="s">
        <v>133</v>
      </c>
      <c r="Z45" s="2" t="s">
        <v>197</v>
      </c>
      <c r="AA45" s="1"/>
      <c r="AB45" s="1"/>
      <c r="AC45" s="1"/>
      <c r="AD45" s="1"/>
      <c r="AE45" s="1"/>
      <c r="AF45" s="1"/>
      <c r="AG45" s="1"/>
      <c r="AH45" s="1"/>
      <c r="AI45" s="1"/>
      <c r="AJ45" s="1"/>
      <c r="AK45" s="1"/>
      <c r="AL45" s="1"/>
      <c r="AM45" s="1"/>
      <c r="AN45" s="1"/>
      <c r="AO45" s="1"/>
      <c r="AP45" s="1"/>
      <c r="AQ45" s="1"/>
      <c r="AR45" s="1"/>
      <c r="AS45" s="1"/>
      <c r="AT45" s="1"/>
      <c r="AU45" s="1"/>
      <c r="AV45" s="1">
        <f>SUM($AT45,Z45:$AA45)-SUM($AV$5:AV$5)*$J45-SUM($AV$6:AV$6)*$K45</f>
        <v>0</v>
      </c>
      <c r="AW45" s="1">
        <f>SUM($AT45,$AA45:AA45)-SUM($AV$5:AW$5)*$J45-SUM($AV$6:AW$6)*$K45</f>
        <v>0</v>
      </c>
      <c r="AX45" s="1">
        <f>SUM($AT45,$AA45:AB45)-SUM($AV$5:AX$5)*$J45-SUM($AV$6:AX$6)*$K45</f>
        <v>0</v>
      </c>
      <c r="AY45" s="1">
        <f>SUM($AT45,$AA45:AC45)-SUM($AV$5:AY$5)*$J45-SUM($AV$6:AY$6)*$K45</f>
        <v>0</v>
      </c>
      <c r="AZ45" s="1">
        <f>SUM($AT45,$AA45:AD45)-SUM($AV$5:AZ$5)*$J45-SUM($AV$6:AZ$6)*$K45</f>
        <v>-10</v>
      </c>
      <c r="BA45" s="1">
        <f>SUM($AT45,$AA45:AE45)-SUM($AV$5:BA$5)*$J45-SUM($AV$6:BA$6)*$K45</f>
        <v>-30</v>
      </c>
      <c r="BB45" s="1">
        <f>SUM($AT45,$AA45:AF45)-SUM($AV$5:BB$5)*$J45-SUM($AV$6:BB$6)*$K45</f>
        <v>-120</v>
      </c>
      <c r="BC45" s="1">
        <f>SUM($AT45,$AA45:AG45)-SUM($AV$5:BC$5)*$J45-SUM($AV$6:BC$6)*$K45</f>
        <v>-210</v>
      </c>
      <c r="BD45" s="1">
        <f>SUM($AT45,$AA45:AH45)-SUM($AV$5:BD$5)*$J45-SUM($AV$6:BD$6)*$K45</f>
        <v>-276</v>
      </c>
      <c r="BE45" s="1">
        <f>SUM($AT45,$AA45:AI45)-SUM($AV$5:BE$5)*$J45-SUM($AV$6:BE$6)*$K45</f>
        <v>-276</v>
      </c>
      <c r="BF45" s="1">
        <f>SUM($AT45,$AA45:AJ45)-SUM($AV$5:BF$5)*$J45-SUM($AV$6:BF$6)*$K45</f>
        <v>-276</v>
      </c>
      <c r="BG45" s="1">
        <f>SUM($AT45,$AA45:AK45)-SUM($AV$5:BG$5)*$J45-SUM($AV$6:BG$6)*$K45</f>
        <v>-276</v>
      </c>
      <c r="BH45" s="1">
        <f>SUM($AT45,$AA45:AL45)-SUM($AV$5:BH$5)*$J45-SUM($AV$6:BH$6)*$K45</f>
        <v>-276</v>
      </c>
      <c r="BI45" s="1">
        <f>SUM($AT45,$AA45:AM45)-SUM($AV$5:BI$5)*$J45-SUM($AV$6:BI$6)*$K45</f>
        <v>-276</v>
      </c>
      <c r="BJ45" s="1">
        <f>SUM($AT45,$AA45:AN45)-SUM($AV$5:BJ$5)*$J45-SUM($AV$6:BJ$6)*$K45</f>
        <v>-276</v>
      </c>
      <c r="BK45" s="1">
        <f>SUM($AT45,$AA45:AO45)-SUM($AV$5:BK$5)*$J45-SUM($AV$6:BK$6)*$K45</f>
        <v>-276</v>
      </c>
      <c r="BL45" s="1">
        <f>SUM($AT45,$AA45:AP45)-SUM($AV$5:BL$5)*$J45-SUM($AV$6:BL$6)*$K45</f>
        <v>-276</v>
      </c>
      <c r="BM45" s="1">
        <f>SUM($AT45,$AA45:AQ45)-SUM($AV$5:BM$5)*$J45-SUM($AV$6:BM$6)*$K45</f>
        <v>-276</v>
      </c>
      <c r="BN45" s="1">
        <f>SUM($AT45,$AA45:AR45)-SUM($AV$5:BN$5)*$J45-SUM($AV$6:BN$6)*$K45</f>
        <v>-276</v>
      </c>
    </row>
    <row r="46" spans="1:66">
      <c r="A46" s="1">
        <v>249</v>
      </c>
      <c r="B46" s="28" t="s">
        <v>206</v>
      </c>
      <c r="C46" s="1" t="s">
        <v>40</v>
      </c>
      <c r="D46" s="2" t="s">
        <v>207</v>
      </c>
      <c r="E46" s="3" t="s">
        <v>208</v>
      </c>
      <c r="F46" s="1"/>
      <c r="G46" s="1" t="s">
        <v>42</v>
      </c>
      <c r="H46" s="1">
        <v>2</v>
      </c>
      <c r="I46" s="1">
        <v>1</v>
      </c>
      <c r="J46" s="1">
        <v>0</v>
      </c>
      <c r="K46" s="1">
        <v>1</v>
      </c>
      <c r="L46" s="1">
        <v>0</v>
      </c>
      <c r="M46" s="1">
        <f t="shared" si="2"/>
        <v>276</v>
      </c>
      <c r="N46" s="1">
        <f t="shared" si="3"/>
        <v>276</v>
      </c>
      <c r="O46" s="2" t="s">
        <v>137</v>
      </c>
      <c r="P46" s="1"/>
      <c r="Q46" s="1">
        <v>36.799999999999997</v>
      </c>
      <c r="R46" s="1" t="s">
        <v>44</v>
      </c>
      <c r="S46" s="30"/>
      <c r="T46" s="31" t="s">
        <v>209</v>
      </c>
      <c r="U46" s="1">
        <v>1</v>
      </c>
      <c r="V46" s="1">
        <v>1</v>
      </c>
      <c r="W46" s="1" t="s">
        <v>210</v>
      </c>
      <c r="X46" s="32" t="s">
        <v>211</v>
      </c>
      <c r="Y46" s="1" t="s">
        <v>212</v>
      </c>
      <c r="Z46" s="2" t="s">
        <v>137</v>
      </c>
      <c r="AA46" s="1"/>
      <c r="AB46" s="1"/>
      <c r="AC46" s="1"/>
      <c r="AD46" s="1"/>
      <c r="AE46" s="1"/>
      <c r="AF46" s="1"/>
      <c r="AG46" s="1"/>
      <c r="AH46" s="1"/>
      <c r="AI46" s="1"/>
      <c r="AJ46" s="1"/>
      <c r="AK46" s="1"/>
      <c r="AL46" s="1"/>
      <c r="AM46" s="1"/>
      <c r="AN46" s="1"/>
      <c r="AO46" s="1"/>
      <c r="AP46" s="1"/>
      <c r="AQ46" s="1"/>
      <c r="AR46" s="1"/>
      <c r="AS46" s="1"/>
      <c r="AT46" s="1"/>
      <c r="AU46" s="1"/>
      <c r="AV46" s="1">
        <f>SUM($AT46,Z46:$AA46)-SUM($AV$5:AV$5)*$J46-SUM($AV$6:AV$6)*$K46</f>
        <v>0</v>
      </c>
      <c r="AW46" s="1">
        <f>SUM($AT46,$AA46:AA46)-SUM($AV$5:AW$5)*$J46-SUM($AV$6:AW$6)*$K46</f>
        <v>0</v>
      </c>
      <c r="AX46" s="1">
        <f>SUM($AT46,$AA46:AB46)-SUM($AV$5:AX$5)*$J46-SUM($AV$6:AX$6)*$K46</f>
        <v>0</v>
      </c>
      <c r="AY46" s="1">
        <f>SUM($AT46,$AA46:AC46)-SUM($AV$5:AY$5)*$J46-SUM($AV$6:AY$6)*$K46</f>
        <v>0</v>
      </c>
      <c r="AZ46" s="1">
        <f>SUM($AT46,$AA46:AD46)-SUM($AV$5:AZ$5)*$J46-SUM($AV$6:AZ$6)*$K46</f>
        <v>-10</v>
      </c>
      <c r="BA46" s="1">
        <f>SUM($AT46,$AA46:AE46)-SUM($AV$5:BA$5)*$J46-SUM($AV$6:BA$6)*$K46</f>
        <v>-30</v>
      </c>
      <c r="BB46" s="1">
        <f>SUM($AT46,$AA46:AF46)-SUM($AV$5:BB$5)*$J46-SUM($AV$6:BB$6)*$K46</f>
        <v>-120</v>
      </c>
      <c r="BC46" s="1">
        <f>SUM($AT46,$AA46:AG46)-SUM($AV$5:BC$5)*$J46-SUM($AV$6:BC$6)*$K46</f>
        <v>-210</v>
      </c>
      <c r="BD46" s="1">
        <f>SUM($AT46,$AA46:AH46)-SUM($AV$5:BD$5)*$J46-SUM($AV$6:BD$6)*$K46</f>
        <v>-276</v>
      </c>
      <c r="BE46" s="1">
        <f>SUM($AT46,$AA46:AI46)-SUM($AV$5:BE$5)*$J46-SUM($AV$6:BE$6)*$K46</f>
        <v>-276</v>
      </c>
      <c r="BF46" s="1">
        <f>SUM($AT46,$AA46:AJ46)-SUM($AV$5:BF$5)*$J46-SUM($AV$6:BF$6)*$K46</f>
        <v>-276</v>
      </c>
      <c r="BG46" s="1">
        <f>SUM($AT46,$AA46:AK46)-SUM($AV$5:BG$5)*$J46-SUM($AV$6:BG$6)*$K46</f>
        <v>-276</v>
      </c>
      <c r="BH46" s="1">
        <f>SUM($AT46,$AA46:AL46)-SUM($AV$5:BH$5)*$J46-SUM($AV$6:BH$6)*$K46</f>
        <v>-276</v>
      </c>
      <c r="BI46" s="1">
        <f>SUM($AT46,$AA46:AM46)-SUM($AV$5:BI$5)*$J46-SUM($AV$6:BI$6)*$K46</f>
        <v>-276</v>
      </c>
      <c r="BJ46" s="1">
        <f>SUM($AT46,$AA46:AN46)-SUM($AV$5:BJ$5)*$J46-SUM($AV$6:BJ$6)*$K46</f>
        <v>-276</v>
      </c>
      <c r="BK46" s="1">
        <f>SUM($AT46,$AA46:AO46)-SUM($AV$5:BK$5)*$J46-SUM($AV$6:BK$6)*$K46</f>
        <v>-276</v>
      </c>
      <c r="BL46" s="1">
        <f>SUM($AT46,$AA46:AP46)-SUM($AV$5:BL$5)*$J46-SUM($AV$6:BL$6)*$K46</f>
        <v>-276</v>
      </c>
      <c r="BM46" s="1">
        <f>SUM($AT46,$AA46:AQ46)-SUM($AV$5:BM$5)*$J46-SUM($AV$6:BM$6)*$K46</f>
        <v>-276</v>
      </c>
      <c r="BN46" s="1">
        <f>SUM($AT46,$AA46:AR46)-SUM($AV$5:BN$5)*$J46-SUM($AV$6:BN$6)*$K46</f>
        <v>-276</v>
      </c>
    </row>
    <row r="47" spans="1:66">
      <c r="A47" s="1">
        <v>97</v>
      </c>
      <c r="B47" s="28" t="s">
        <v>213</v>
      </c>
      <c r="C47" s="1" t="s">
        <v>176</v>
      </c>
      <c r="D47" s="2">
        <v>425125210</v>
      </c>
      <c r="E47" s="3" t="s">
        <v>214</v>
      </c>
      <c r="F47" s="1"/>
      <c r="G47" s="1" t="s">
        <v>42</v>
      </c>
      <c r="H47" s="1">
        <v>2</v>
      </c>
      <c r="I47" s="1">
        <v>1</v>
      </c>
      <c r="J47" s="1">
        <v>1</v>
      </c>
      <c r="K47" s="1">
        <v>0</v>
      </c>
      <c r="L47" s="1">
        <v>0</v>
      </c>
      <c r="M47" s="1">
        <f t="shared" si="2"/>
        <v>582</v>
      </c>
      <c r="N47" s="1">
        <f t="shared" si="3"/>
        <v>582</v>
      </c>
      <c r="O47" s="2" t="s">
        <v>215</v>
      </c>
      <c r="P47" s="1"/>
      <c r="Q47" s="1">
        <v>3.15</v>
      </c>
      <c r="R47" s="1" t="s">
        <v>44</v>
      </c>
      <c r="S47" s="30" t="s">
        <v>145</v>
      </c>
      <c r="T47" s="31" t="s">
        <v>215</v>
      </c>
      <c r="U47" s="1"/>
      <c r="V47" s="1">
        <v>1000</v>
      </c>
      <c r="W47" s="1" t="s">
        <v>216</v>
      </c>
      <c r="X47" s="32" t="s">
        <v>217</v>
      </c>
      <c r="Y47" s="1" t="s">
        <v>218</v>
      </c>
      <c r="Z47" s="2" t="s">
        <v>215</v>
      </c>
      <c r="AA47" s="1"/>
      <c r="AB47" s="1"/>
      <c r="AC47" s="1"/>
      <c r="AD47" s="1"/>
      <c r="AE47" s="1"/>
      <c r="AF47" s="1"/>
      <c r="AG47" s="1"/>
      <c r="AH47" s="1"/>
      <c r="AI47" s="1"/>
      <c r="AJ47" s="1"/>
      <c r="AK47" s="1"/>
      <c r="AL47" s="1"/>
      <c r="AM47" s="1"/>
      <c r="AN47" s="1"/>
      <c r="AO47" s="1"/>
      <c r="AP47" s="1"/>
      <c r="AQ47" s="1"/>
      <c r="AR47" s="1"/>
      <c r="AS47" s="1"/>
      <c r="AT47" s="1"/>
      <c r="AU47" s="1"/>
      <c r="AV47" s="1">
        <f>SUM($AT47,Z47:$AA47)-SUM($AV$5:AV$5)*$J47-SUM($AV$6:AV$6)*$K47</f>
        <v>0</v>
      </c>
      <c r="AW47" s="1">
        <f>SUM($AT47,$AA47:AA47)-SUM($AV$5:AW$5)*$J47-SUM($AV$6:AW$6)*$K47</f>
        <v>0</v>
      </c>
      <c r="AX47" s="1">
        <f>SUM($AT47,$AA47:AB47)-SUM($AV$5:AX$5)*$J47-SUM($AV$6:AX$6)*$K47</f>
        <v>0</v>
      </c>
      <c r="AY47" s="1">
        <f>SUM($AT47,$AA47:AC47)-SUM($AV$5:AY$5)*$J47-SUM($AV$6:AY$6)*$K47</f>
        <v>0</v>
      </c>
      <c r="AZ47" s="1">
        <f>SUM($AT47,$AA47:AD47)-SUM($AV$5:AZ$5)*$J47-SUM($AV$6:AZ$6)*$K47</f>
        <v>-40</v>
      </c>
      <c r="BA47" s="1">
        <f>SUM($AT47,$AA47:AE47)-SUM($AV$5:BA$5)*$J47-SUM($AV$6:BA$6)*$K47</f>
        <v>-80</v>
      </c>
      <c r="BB47" s="1">
        <f>SUM($AT47,$AA47:AF47)-SUM($AV$5:BB$5)*$J47-SUM($AV$6:BB$6)*$K47</f>
        <v>-120</v>
      </c>
      <c r="BC47" s="1">
        <f>SUM($AT47,$AA47:AG47)-SUM($AV$5:BC$5)*$J47-SUM($AV$6:BC$6)*$K47</f>
        <v>-160</v>
      </c>
      <c r="BD47" s="1">
        <f>SUM($AT47,$AA47:AH47)-SUM($AV$5:BD$5)*$J47-SUM($AV$6:BD$6)*$K47</f>
        <v>-200</v>
      </c>
      <c r="BE47" s="1">
        <f>SUM($AT47,$AA47:AI47)-SUM($AV$5:BE$5)*$J47-SUM($AV$6:BE$6)*$K47</f>
        <v>-240</v>
      </c>
      <c r="BF47" s="1">
        <f>SUM($AT47,$AA47:AJ47)-SUM($AV$5:BF$5)*$J47-SUM($AV$6:BF$6)*$K47</f>
        <v>-280</v>
      </c>
      <c r="BG47" s="1">
        <f>SUM($AT47,$AA47:AK47)-SUM($AV$5:BG$5)*$J47-SUM($AV$6:BG$6)*$K47</f>
        <v>-320</v>
      </c>
      <c r="BH47" s="1">
        <f>SUM($AT47,$AA47:AL47)-SUM($AV$5:BH$5)*$J47-SUM($AV$6:BH$6)*$K47</f>
        <v>-360</v>
      </c>
      <c r="BI47" s="1">
        <f>SUM($AT47,$AA47:AM47)-SUM($AV$5:BI$5)*$J47-SUM($AV$6:BI$6)*$K47</f>
        <v>-400</v>
      </c>
      <c r="BJ47" s="1">
        <f>SUM($AT47,$AA47:AN47)-SUM($AV$5:BJ$5)*$J47-SUM($AV$6:BJ$6)*$K47</f>
        <v>-440</v>
      </c>
      <c r="BK47" s="1">
        <f>SUM($AT47,$AA47:AO47)-SUM($AV$5:BK$5)*$J47-SUM($AV$6:BK$6)*$K47</f>
        <v>-480</v>
      </c>
      <c r="BL47" s="1">
        <f>SUM($AT47,$AA47:AP47)-SUM($AV$5:BL$5)*$J47-SUM($AV$6:BL$6)*$K47</f>
        <v>-520</v>
      </c>
      <c r="BM47" s="1">
        <f>SUM($AT47,$AA47:AQ47)-SUM($AV$5:BM$5)*$J47-SUM($AV$6:BM$6)*$K47</f>
        <v>-560</v>
      </c>
      <c r="BN47" s="1">
        <f>SUM($AT47,$AA47:AR47)-SUM($AV$5:BN$5)*$J47-SUM($AV$6:BN$6)*$K47</f>
        <v>-582</v>
      </c>
    </row>
    <row r="48" spans="1:66">
      <c r="A48" s="1">
        <v>102</v>
      </c>
      <c r="B48" s="28" t="s">
        <v>219</v>
      </c>
      <c r="C48" s="1" t="s">
        <v>176</v>
      </c>
      <c r="D48" s="2">
        <v>400292374</v>
      </c>
      <c r="E48" s="3" t="s">
        <v>220</v>
      </c>
      <c r="F48" s="1"/>
      <c r="G48" s="1" t="s">
        <v>42</v>
      </c>
      <c r="H48" s="1">
        <v>2</v>
      </c>
      <c r="I48" s="1">
        <v>2</v>
      </c>
      <c r="J48" s="1">
        <v>2</v>
      </c>
      <c r="K48" s="1">
        <v>0</v>
      </c>
      <c r="L48" s="1">
        <v>0</v>
      </c>
      <c r="M48" s="1">
        <f t="shared" si="2"/>
        <v>1164</v>
      </c>
      <c r="N48" s="1">
        <f t="shared" si="3"/>
        <v>1164</v>
      </c>
      <c r="O48" s="2" t="s">
        <v>215</v>
      </c>
      <c r="P48" s="1"/>
      <c r="Q48" s="1">
        <v>3.1</v>
      </c>
      <c r="R48" s="1" t="s">
        <v>44</v>
      </c>
      <c r="S48" s="30" t="s">
        <v>145</v>
      </c>
      <c r="T48" s="31" t="s">
        <v>215</v>
      </c>
      <c r="U48" s="1"/>
      <c r="V48" s="1">
        <v>1000</v>
      </c>
      <c r="W48" s="1" t="s">
        <v>216</v>
      </c>
      <c r="X48" s="32" t="s">
        <v>217</v>
      </c>
      <c r="Y48" s="1" t="s">
        <v>218</v>
      </c>
      <c r="Z48" s="2" t="s">
        <v>215</v>
      </c>
      <c r="AA48" s="1"/>
      <c r="AB48" s="1"/>
      <c r="AC48" s="1"/>
      <c r="AD48" s="1"/>
      <c r="AE48" s="1"/>
      <c r="AF48" s="1"/>
      <c r="AG48" s="1"/>
      <c r="AH48" s="1"/>
      <c r="AI48" s="1"/>
      <c r="AJ48" s="1"/>
      <c r="AK48" s="1"/>
      <c r="AL48" s="1"/>
      <c r="AM48" s="1"/>
      <c r="AN48" s="1"/>
      <c r="AO48" s="1"/>
      <c r="AP48" s="1"/>
      <c r="AQ48" s="1"/>
      <c r="AR48" s="1"/>
      <c r="AS48" s="1"/>
      <c r="AT48" s="1"/>
      <c r="AU48" s="1"/>
      <c r="AV48" s="1">
        <f>SUM($AT48,Z48:$AA48)-SUM($AV$5:AV$5)*$J48-SUM($AV$6:AV$6)*$K48</f>
        <v>0</v>
      </c>
      <c r="AW48" s="1">
        <f>SUM($AT48,$AA48:AA48)-SUM($AV$5:AW$5)*$J48-SUM($AV$6:AW$6)*$K48</f>
        <v>0</v>
      </c>
      <c r="AX48" s="1">
        <f>SUM($AT48,$AA48:AB48)-SUM($AV$5:AX$5)*$J48-SUM($AV$6:AX$6)*$K48</f>
        <v>0</v>
      </c>
      <c r="AY48" s="1">
        <f>SUM($AT48,$AA48:AC48)-SUM($AV$5:AY$5)*$J48-SUM($AV$6:AY$6)*$K48</f>
        <v>0</v>
      </c>
      <c r="AZ48" s="1">
        <f>SUM($AT48,$AA48:AD48)-SUM($AV$5:AZ$5)*$J48-SUM($AV$6:AZ$6)*$K48</f>
        <v>-80</v>
      </c>
      <c r="BA48" s="1">
        <f>SUM($AT48,$AA48:AE48)-SUM($AV$5:BA$5)*$J48-SUM($AV$6:BA$6)*$K48</f>
        <v>-160</v>
      </c>
      <c r="BB48" s="1">
        <f>SUM($AT48,$AA48:AF48)-SUM($AV$5:BB$5)*$J48-SUM($AV$6:BB$6)*$K48</f>
        <v>-240</v>
      </c>
      <c r="BC48" s="1">
        <f>SUM($AT48,$AA48:AG48)-SUM($AV$5:BC$5)*$J48-SUM($AV$6:BC$6)*$K48</f>
        <v>-320</v>
      </c>
      <c r="BD48" s="1">
        <f>SUM($AT48,$AA48:AH48)-SUM($AV$5:BD$5)*$J48-SUM($AV$6:BD$6)*$K48</f>
        <v>-400</v>
      </c>
      <c r="BE48" s="1">
        <f>SUM($AT48,$AA48:AI48)-SUM($AV$5:BE$5)*$J48-SUM($AV$6:BE$6)*$K48</f>
        <v>-480</v>
      </c>
      <c r="BF48" s="1">
        <f>SUM($AT48,$AA48:AJ48)-SUM($AV$5:BF$5)*$J48-SUM($AV$6:BF$6)*$K48</f>
        <v>-560</v>
      </c>
      <c r="BG48" s="1">
        <f>SUM($AT48,$AA48:AK48)-SUM($AV$5:BG$5)*$J48-SUM($AV$6:BG$6)*$K48</f>
        <v>-640</v>
      </c>
      <c r="BH48" s="1">
        <f>SUM($AT48,$AA48:AL48)-SUM($AV$5:BH$5)*$J48-SUM($AV$6:BH$6)*$K48</f>
        <v>-720</v>
      </c>
      <c r="BI48" s="1">
        <f>SUM($AT48,$AA48:AM48)-SUM($AV$5:BI$5)*$J48-SUM($AV$6:BI$6)*$K48</f>
        <v>-800</v>
      </c>
      <c r="BJ48" s="1">
        <f>SUM($AT48,$AA48:AN48)-SUM($AV$5:BJ$5)*$J48-SUM($AV$6:BJ$6)*$K48</f>
        <v>-880</v>
      </c>
      <c r="BK48" s="1">
        <f>SUM($AT48,$AA48:AO48)-SUM($AV$5:BK$5)*$J48-SUM($AV$6:BK$6)*$K48</f>
        <v>-960</v>
      </c>
      <c r="BL48" s="1">
        <f>SUM($AT48,$AA48:AP48)-SUM($AV$5:BL$5)*$J48-SUM($AV$6:BL$6)*$K48</f>
        <v>-1040</v>
      </c>
      <c r="BM48" s="1">
        <f>SUM($AT48,$AA48:AQ48)-SUM($AV$5:BM$5)*$J48-SUM($AV$6:BM$6)*$K48</f>
        <v>-1120</v>
      </c>
      <c r="BN48" s="1">
        <f>SUM($AT48,$AA48:AR48)-SUM($AV$5:BN$5)*$J48-SUM($AV$6:BN$6)*$K48</f>
        <v>-1164</v>
      </c>
    </row>
    <row r="49" spans="1:66">
      <c r="A49" s="1">
        <v>295</v>
      </c>
      <c r="B49" s="28" t="s">
        <v>221</v>
      </c>
      <c r="C49" s="1" t="s">
        <v>176</v>
      </c>
      <c r="D49" s="2">
        <v>400295683</v>
      </c>
      <c r="E49" s="3" t="s">
        <v>222</v>
      </c>
      <c r="F49" s="1">
        <v>407212731</v>
      </c>
      <c r="G49" s="1" t="s">
        <v>42</v>
      </c>
      <c r="H49" s="1">
        <v>2</v>
      </c>
      <c r="I49" s="1">
        <v>3</v>
      </c>
      <c r="J49" s="1">
        <v>3</v>
      </c>
      <c r="K49" s="1">
        <v>0</v>
      </c>
      <c r="L49" s="1">
        <v>0</v>
      </c>
      <c r="M49" s="1">
        <f t="shared" si="2"/>
        <v>1746</v>
      </c>
      <c r="N49" s="1">
        <f t="shared" si="3"/>
        <v>1746</v>
      </c>
      <c r="O49" s="2" t="s">
        <v>215</v>
      </c>
      <c r="P49" s="1"/>
      <c r="Q49" s="1">
        <v>0.91</v>
      </c>
      <c r="R49" s="1" t="s">
        <v>44</v>
      </c>
      <c r="S49" s="30" t="s">
        <v>145</v>
      </c>
      <c r="T49" s="31" t="s">
        <v>215</v>
      </c>
      <c r="U49" s="1"/>
      <c r="V49" s="1">
        <v>3000</v>
      </c>
      <c r="W49" s="1" t="s">
        <v>216</v>
      </c>
      <c r="X49" s="32" t="s">
        <v>217</v>
      </c>
      <c r="Y49" s="1" t="s">
        <v>218</v>
      </c>
      <c r="Z49" s="2" t="s">
        <v>215</v>
      </c>
      <c r="AA49" s="1"/>
      <c r="AB49" s="1"/>
      <c r="AC49" s="1"/>
      <c r="AD49" s="1"/>
      <c r="AE49" s="1"/>
      <c r="AF49" s="1"/>
      <c r="AG49" s="1"/>
      <c r="AH49" s="1"/>
      <c r="AI49" s="1"/>
      <c r="AJ49" s="1"/>
      <c r="AK49" s="1"/>
      <c r="AL49" s="1"/>
      <c r="AM49" s="1"/>
      <c r="AN49" s="1"/>
      <c r="AO49" s="1"/>
      <c r="AP49" s="1"/>
      <c r="AQ49" s="1"/>
      <c r="AR49" s="1"/>
      <c r="AS49" s="1"/>
      <c r="AT49" s="1"/>
      <c r="AU49" s="1"/>
      <c r="AV49" s="1">
        <f>SUM($AT49,Z49:$AA49)-SUM($AV$5:AV$5)*$J49-SUM($AV$6:AV$6)*$K49</f>
        <v>0</v>
      </c>
      <c r="AW49" s="1">
        <f>SUM($AT49,$AA49:AA49)-SUM($AV$5:AW$5)*$J49-SUM($AV$6:AW$6)*$K49</f>
        <v>0</v>
      </c>
      <c r="AX49" s="1">
        <f>SUM($AT49,$AA49:AB49)-SUM($AV$5:AX$5)*$J49-SUM($AV$6:AX$6)*$K49</f>
        <v>0</v>
      </c>
      <c r="AY49" s="1">
        <f>SUM($AT49,$AA49:AC49)-SUM($AV$5:AY$5)*$J49-SUM($AV$6:AY$6)*$K49</f>
        <v>0</v>
      </c>
      <c r="AZ49" s="1">
        <f>SUM($AT49,$AA49:AD49)-SUM($AV$5:AZ$5)*$J49-SUM($AV$6:AZ$6)*$K49</f>
        <v>-120</v>
      </c>
      <c r="BA49" s="1">
        <f>SUM($AT49,$AA49:AE49)-SUM($AV$5:BA$5)*$J49-SUM($AV$6:BA$6)*$K49</f>
        <v>-240</v>
      </c>
      <c r="BB49" s="1">
        <f>SUM($AT49,$AA49:AF49)-SUM($AV$5:BB$5)*$J49-SUM($AV$6:BB$6)*$K49</f>
        <v>-360</v>
      </c>
      <c r="BC49" s="1">
        <f>SUM($AT49,$AA49:AG49)-SUM($AV$5:BC$5)*$J49-SUM($AV$6:BC$6)*$K49</f>
        <v>-480</v>
      </c>
      <c r="BD49" s="1">
        <f>SUM($AT49,$AA49:AH49)-SUM($AV$5:BD$5)*$J49-SUM($AV$6:BD$6)*$K49</f>
        <v>-600</v>
      </c>
      <c r="BE49" s="1">
        <f>SUM($AT49,$AA49:AI49)-SUM($AV$5:BE$5)*$J49-SUM($AV$6:BE$6)*$K49</f>
        <v>-720</v>
      </c>
      <c r="BF49" s="1">
        <f>SUM($AT49,$AA49:AJ49)-SUM($AV$5:BF$5)*$J49-SUM($AV$6:BF$6)*$K49</f>
        <v>-840</v>
      </c>
      <c r="BG49" s="1">
        <f>SUM($AT49,$AA49:AK49)-SUM($AV$5:BG$5)*$J49-SUM($AV$6:BG$6)*$K49</f>
        <v>-960</v>
      </c>
      <c r="BH49" s="1">
        <f>SUM($AT49,$AA49:AL49)-SUM($AV$5:BH$5)*$J49-SUM($AV$6:BH$6)*$K49</f>
        <v>-1080</v>
      </c>
      <c r="BI49" s="1">
        <f>SUM($AT49,$AA49:AM49)-SUM($AV$5:BI$5)*$J49-SUM($AV$6:BI$6)*$K49</f>
        <v>-1200</v>
      </c>
      <c r="BJ49" s="1">
        <f>SUM($AT49,$AA49:AN49)-SUM($AV$5:BJ$5)*$J49-SUM($AV$6:BJ$6)*$K49</f>
        <v>-1320</v>
      </c>
      <c r="BK49" s="1">
        <f>SUM($AT49,$AA49:AO49)-SUM($AV$5:BK$5)*$J49-SUM($AV$6:BK$6)*$K49</f>
        <v>-1440</v>
      </c>
      <c r="BL49" s="1">
        <f>SUM($AT49,$AA49:AP49)-SUM($AV$5:BL$5)*$J49-SUM($AV$6:BL$6)*$K49</f>
        <v>-1560</v>
      </c>
      <c r="BM49" s="1">
        <f>SUM($AT49,$AA49:AQ49)-SUM($AV$5:BM$5)*$J49-SUM($AV$6:BM$6)*$K49</f>
        <v>-1680</v>
      </c>
      <c r="BN49" s="1">
        <f>SUM($AT49,$AA49:AR49)-SUM($AV$5:BN$5)*$J49-SUM($AV$6:BN$6)*$K49</f>
        <v>-1746</v>
      </c>
    </row>
    <row r="50" spans="1:66">
      <c r="A50" s="1">
        <v>296</v>
      </c>
      <c r="B50" s="28" t="s">
        <v>223</v>
      </c>
      <c r="C50" s="1" t="s">
        <v>176</v>
      </c>
      <c r="D50" s="2">
        <v>400295674</v>
      </c>
      <c r="E50" s="3" t="s">
        <v>224</v>
      </c>
      <c r="F50" s="1"/>
      <c r="G50" s="1" t="s">
        <v>42</v>
      </c>
      <c r="H50" s="1">
        <v>2</v>
      </c>
      <c r="I50" s="1">
        <v>3</v>
      </c>
      <c r="J50" s="1">
        <v>3</v>
      </c>
      <c r="K50" s="1">
        <v>0</v>
      </c>
      <c r="L50" s="1">
        <v>0</v>
      </c>
      <c r="M50" s="1">
        <f t="shared" si="2"/>
        <v>1746</v>
      </c>
      <c r="N50" s="1">
        <f t="shared" si="3"/>
        <v>1746</v>
      </c>
      <c r="O50" s="2" t="s">
        <v>215</v>
      </c>
      <c r="P50" s="1"/>
      <c r="Q50" s="1">
        <v>2.1</v>
      </c>
      <c r="R50" s="1" t="s">
        <v>44</v>
      </c>
      <c r="S50" s="30" t="s">
        <v>145</v>
      </c>
      <c r="T50" s="31" t="s">
        <v>215</v>
      </c>
      <c r="U50" s="1"/>
      <c r="V50" s="1">
        <v>3000</v>
      </c>
      <c r="W50" s="1" t="s">
        <v>216</v>
      </c>
      <c r="X50" s="32" t="s">
        <v>217</v>
      </c>
      <c r="Y50" s="1" t="s">
        <v>218</v>
      </c>
      <c r="Z50" s="2" t="s">
        <v>215</v>
      </c>
      <c r="AA50" s="1"/>
      <c r="AB50" s="1"/>
      <c r="AC50" s="1"/>
      <c r="AD50" s="1"/>
      <c r="AE50" s="1"/>
      <c r="AF50" s="1"/>
      <c r="AG50" s="1"/>
      <c r="AH50" s="1"/>
      <c r="AI50" s="1"/>
      <c r="AJ50" s="1"/>
      <c r="AK50" s="1"/>
      <c r="AL50" s="1"/>
      <c r="AM50" s="1"/>
      <c r="AN50" s="1"/>
      <c r="AO50" s="1"/>
      <c r="AP50" s="1"/>
      <c r="AQ50" s="1"/>
      <c r="AR50" s="1"/>
      <c r="AS50" s="1"/>
      <c r="AT50" s="1"/>
      <c r="AU50" s="1"/>
      <c r="AV50" s="1">
        <f>SUM($AT50,Z50:$AA50)-SUM($AV$5:AV$5)*$J50-SUM($AV$6:AV$6)*$K50</f>
        <v>0</v>
      </c>
      <c r="AW50" s="1">
        <f>SUM($AT50,$AA50:AA50)-SUM($AV$5:AW$5)*$J50-SUM($AV$6:AW$6)*$K50</f>
        <v>0</v>
      </c>
      <c r="AX50" s="1">
        <f>SUM($AT50,$AA50:AB50)-SUM($AV$5:AX$5)*$J50-SUM($AV$6:AX$6)*$K50</f>
        <v>0</v>
      </c>
      <c r="AY50" s="1">
        <f>SUM($AT50,$AA50:AC50)-SUM($AV$5:AY$5)*$J50-SUM($AV$6:AY$6)*$K50</f>
        <v>0</v>
      </c>
      <c r="AZ50" s="1">
        <f>SUM($AT50,$AA50:AD50)-SUM($AV$5:AZ$5)*$J50-SUM($AV$6:AZ$6)*$K50</f>
        <v>-120</v>
      </c>
      <c r="BA50" s="1">
        <f>SUM($AT50,$AA50:AE50)-SUM($AV$5:BA$5)*$J50-SUM($AV$6:BA$6)*$K50</f>
        <v>-240</v>
      </c>
      <c r="BB50" s="1">
        <f>SUM($AT50,$AA50:AF50)-SUM($AV$5:BB$5)*$J50-SUM($AV$6:BB$6)*$K50</f>
        <v>-360</v>
      </c>
      <c r="BC50" s="1">
        <f>SUM($AT50,$AA50:AG50)-SUM($AV$5:BC$5)*$J50-SUM($AV$6:BC$6)*$K50</f>
        <v>-480</v>
      </c>
      <c r="BD50" s="1">
        <f>SUM($AT50,$AA50:AH50)-SUM($AV$5:BD$5)*$J50-SUM($AV$6:BD$6)*$K50</f>
        <v>-600</v>
      </c>
      <c r="BE50" s="1">
        <f>SUM($AT50,$AA50:AI50)-SUM($AV$5:BE$5)*$J50-SUM($AV$6:BE$6)*$K50</f>
        <v>-720</v>
      </c>
      <c r="BF50" s="1">
        <f>SUM($AT50,$AA50:AJ50)-SUM($AV$5:BF$5)*$J50-SUM($AV$6:BF$6)*$K50</f>
        <v>-840</v>
      </c>
      <c r="BG50" s="1">
        <f>SUM($AT50,$AA50:AK50)-SUM($AV$5:BG$5)*$J50-SUM($AV$6:BG$6)*$K50</f>
        <v>-960</v>
      </c>
      <c r="BH50" s="1">
        <f>SUM($AT50,$AA50:AL50)-SUM($AV$5:BH$5)*$J50-SUM($AV$6:BH$6)*$K50</f>
        <v>-1080</v>
      </c>
      <c r="BI50" s="1">
        <f>SUM($AT50,$AA50:AM50)-SUM($AV$5:BI$5)*$J50-SUM($AV$6:BI$6)*$K50</f>
        <v>-1200</v>
      </c>
      <c r="BJ50" s="1">
        <f>SUM($AT50,$AA50:AN50)-SUM($AV$5:BJ$5)*$J50-SUM($AV$6:BJ$6)*$K50</f>
        <v>-1320</v>
      </c>
      <c r="BK50" s="1">
        <f>SUM($AT50,$AA50:AO50)-SUM($AV$5:BK$5)*$J50-SUM($AV$6:BK$6)*$K50</f>
        <v>-1440</v>
      </c>
      <c r="BL50" s="1">
        <f>SUM($AT50,$AA50:AP50)-SUM($AV$5:BL$5)*$J50-SUM($AV$6:BL$6)*$K50</f>
        <v>-1560</v>
      </c>
      <c r="BM50" s="1">
        <f>SUM($AT50,$AA50:AQ50)-SUM($AV$5:BM$5)*$J50-SUM($AV$6:BM$6)*$K50</f>
        <v>-1680</v>
      </c>
      <c r="BN50" s="1">
        <f>SUM($AT50,$AA50:AR50)-SUM($AV$5:BN$5)*$J50-SUM($AV$6:BN$6)*$K50</f>
        <v>-1746</v>
      </c>
    </row>
    <row r="51" spans="1:66">
      <c r="A51" s="1">
        <v>298</v>
      </c>
      <c r="B51" s="28" t="s">
        <v>225</v>
      </c>
      <c r="C51" s="1" t="s">
        <v>176</v>
      </c>
      <c r="D51" s="2">
        <v>400295017</v>
      </c>
      <c r="E51" s="3" t="s">
        <v>226</v>
      </c>
      <c r="F51" s="1"/>
      <c r="G51" s="1" t="s">
        <v>42</v>
      </c>
      <c r="H51" s="1">
        <v>2</v>
      </c>
      <c r="I51" s="1">
        <v>3</v>
      </c>
      <c r="J51" s="1">
        <v>3</v>
      </c>
      <c r="K51" s="1">
        <v>0</v>
      </c>
      <c r="L51" s="1">
        <v>0</v>
      </c>
      <c r="M51" s="1">
        <f t="shared" si="2"/>
        <v>1746</v>
      </c>
      <c r="N51" s="1">
        <f t="shared" si="3"/>
        <v>1746</v>
      </c>
      <c r="O51" s="2" t="s">
        <v>215</v>
      </c>
      <c r="P51" s="1"/>
      <c r="Q51" s="1">
        <v>2.34</v>
      </c>
      <c r="R51" s="1" t="s">
        <v>44</v>
      </c>
      <c r="S51" s="30" t="s">
        <v>145</v>
      </c>
      <c r="T51" s="31" t="s">
        <v>215</v>
      </c>
      <c r="U51" s="1"/>
      <c r="V51" s="1">
        <v>50</v>
      </c>
      <c r="W51" s="1" t="s">
        <v>216</v>
      </c>
      <c r="X51" s="32" t="s">
        <v>217</v>
      </c>
      <c r="Y51" s="1" t="s">
        <v>218</v>
      </c>
      <c r="Z51" s="2" t="s">
        <v>215</v>
      </c>
      <c r="AA51" s="1"/>
      <c r="AB51" s="1"/>
      <c r="AC51" s="1"/>
      <c r="AD51" s="1"/>
      <c r="AE51" s="1"/>
      <c r="AF51" s="1"/>
      <c r="AG51" s="1"/>
      <c r="AH51" s="1"/>
      <c r="AI51" s="1"/>
      <c r="AJ51" s="1"/>
      <c r="AK51" s="1"/>
      <c r="AL51" s="1"/>
      <c r="AM51" s="1"/>
      <c r="AN51" s="1"/>
      <c r="AO51" s="1"/>
      <c r="AP51" s="1"/>
      <c r="AQ51" s="1"/>
      <c r="AR51" s="1"/>
      <c r="AS51" s="1"/>
      <c r="AT51" s="1"/>
      <c r="AU51" s="1"/>
      <c r="AV51" s="1">
        <f>SUM($AT51,Z51:$AA51)-SUM($AV$5:AV$5)*$J51-SUM($AV$6:AV$6)*$K51</f>
        <v>0</v>
      </c>
      <c r="AW51" s="1">
        <f>SUM($AT51,$AA51:AA51)-SUM($AV$5:AW$5)*$J51-SUM($AV$6:AW$6)*$K51</f>
        <v>0</v>
      </c>
      <c r="AX51" s="1">
        <f>SUM($AT51,$AA51:AB51)-SUM($AV$5:AX$5)*$J51-SUM($AV$6:AX$6)*$K51</f>
        <v>0</v>
      </c>
      <c r="AY51" s="1">
        <f>SUM($AT51,$AA51:AC51)-SUM($AV$5:AY$5)*$J51-SUM($AV$6:AY$6)*$K51</f>
        <v>0</v>
      </c>
      <c r="AZ51" s="1">
        <f>SUM($AT51,$AA51:AD51)-SUM($AV$5:AZ$5)*$J51-SUM($AV$6:AZ$6)*$K51</f>
        <v>-120</v>
      </c>
      <c r="BA51" s="1">
        <f>SUM($AT51,$AA51:AE51)-SUM($AV$5:BA$5)*$J51-SUM($AV$6:BA$6)*$K51</f>
        <v>-240</v>
      </c>
      <c r="BB51" s="1">
        <f>SUM($AT51,$AA51:AF51)-SUM($AV$5:BB$5)*$J51-SUM($AV$6:BB$6)*$K51</f>
        <v>-360</v>
      </c>
      <c r="BC51" s="1">
        <f>SUM($AT51,$AA51:AG51)-SUM($AV$5:BC$5)*$J51-SUM($AV$6:BC$6)*$K51</f>
        <v>-480</v>
      </c>
      <c r="BD51" s="1">
        <f>SUM($AT51,$AA51:AH51)-SUM($AV$5:BD$5)*$J51-SUM($AV$6:BD$6)*$K51</f>
        <v>-600</v>
      </c>
      <c r="BE51" s="1">
        <f>SUM($AT51,$AA51:AI51)-SUM($AV$5:BE$5)*$J51-SUM($AV$6:BE$6)*$K51</f>
        <v>-720</v>
      </c>
      <c r="BF51" s="1">
        <f>SUM($AT51,$AA51:AJ51)-SUM($AV$5:BF$5)*$J51-SUM($AV$6:BF$6)*$K51</f>
        <v>-840</v>
      </c>
      <c r="BG51" s="1">
        <f>SUM($AT51,$AA51:AK51)-SUM($AV$5:BG$5)*$J51-SUM($AV$6:BG$6)*$K51</f>
        <v>-960</v>
      </c>
      <c r="BH51" s="1">
        <f>SUM($AT51,$AA51:AL51)-SUM($AV$5:BH$5)*$J51-SUM($AV$6:BH$6)*$K51</f>
        <v>-1080</v>
      </c>
      <c r="BI51" s="1">
        <f>SUM($AT51,$AA51:AM51)-SUM($AV$5:BI$5)*$J51-SUM($AV$6:BI$6)*$K51</f>
        <v>-1200</v>
      </c>
      <c r="BJ51" s="1">
        <f>SUM($AT51,$AA51:AN51)-SUM($AV$5:BJ$5)*$J51-SUM($AV$6:BJ$6)*$K51</f>
        <v>-1320</v>
      </c>
      <c r="BK51" s="1">
        <f>SUM($AT51,$AA51:AO51)-SUM($AV$5:BK$5)*$J51-SUM($AV$6:BK$6)*$K51</f>
        <v>-1440</v>
      </c>
      <c r="BL51" s="1">
        <f>SUM($AT51,$AA51:AP51)-SUM($AV$5:BL$5)*$J51-SUM($AV$6:BL$6)*$K51</f>
        <v>-1560</v>
      </c>
      <c r="BM51" s="1">
        <f>SUM($AT51,$AA51:AQ51)-SUM($AV$5:BM$5)*$J51-SUM($AV$6:BM$6)*$K51</f>
        <v>-1680</v>
      </c>
      <c r="BN51" s="1">
        <f>SUM($AT51,$AA51:AR51)-SUM($AV$5:BN$5)*$J51-SUM($AV$6:BN$6)*$K51</f>
        <v>-1746</v>
      </c>
    </row>
    <row r="52" spans="1:66">
      <c r="A52" s="1">
        <v>299</v>
      </c>
      <c r="B52" s="28" t="s">
        <v>227</v>
      </c>
      <c r="C52" s="1" t="s">
        <v>176</v>
      </c>
      <c r="D52" s="2">
        <v>400295790</v>
      </c>
      <c r="E52" s="3" t="s">
        <v>228</v>
      </c>
      <c r="F52" s="1"/>
      <c r="G52" s="1" t="s">
        <v>42</v>
      </c>
      <c r="H52" s="1">
        <v>2</v>
      </c>
      <c r="I52" s="1">
        <v>1</v>
      </c>
      <c r="J52" s="1">
        <v>1</v>
      </c>
      <c r="K52" s="1">
        <v>0</v>
      </c>
      <c r="L52" s="1">
        <v>0</v>
      </c>
      <c r="M52" s="1">
        <f t="shared" si="2"/>
        <v>582</v>
      </c>
      <c r="N52" s="1">
        <f t="shared" si="3"/>
        <v>582</v>
      </c>
      <c r="O52" s="2" t="s">
        <v>215</v>
      </c>
      <c r="P52" s="1"/>
      <c r="Q52" s="1">
        <v>1.29</v>
      </c>
      <c r="R52" s="1" t="s">
        <v>44</v>
      </c>
      <c r="S52" s="30" t="s">
        <v>145</v>
      </c>
      <c r="T52" s="31" t="s">
        <v>215</v>
      </c>
      <c r="U52" s="1"/>
      <c r="V52" s="1">
        <v>200</v>
      </c>
      <c r="W52" s="43" t="s">
        <v>216</v>
      </c>
      <c r="X52" s="44" t="s">
        <v>217</v>
      </c>
      <c r="Y52" s="43" t="s">
        <v>218</v>
      </c>
      <c r="Z52" s="2" t="s">
        <v>215</v>
      </c>
      <c r="AA52" s="1"/>
      <c r="AB52" s="1"/>
      <c r="AC52" s="1"/>
      <c r="AD52" s="1"/>
      <c r="AE52" s="1"/>
      <c r="AF52" s="1"/>
      <c r="AG52" s="1"/>
      <c r="AH52" s="1"/>
      <c r="AI52" s="1"/>
      <c r="AJ52" s="1"/>
      <c r="AK52" s="1"/>
      <c r="AL52" s="1"/>
      <c r="AM52" s="1"/>
      <c r="AN52" s="1"/>
      <c r="AO52" s="1"/>
      <c r="AP52" s="1"/>
      <c r="AQ52" s="1"/>
      <c r="AR52" s="1"/>
      <c r="AS52" s="1"/>
      <c r="AT52" s="1"/>
      <c r="AU52" s="1"/>
      <c r="AV52" s="1">
        <f>SUM($AT52,Z52:$AA52)-SUM($AV$5:AV$5)*$J52-SUM($AV$6:AV$6)*$K52</f>
        <v>0</v>
      </c>
      <c r="AW52" s="1">
        <f>SUM($AT52,$AA52:AA52)-SUM($AV$5:AW$5)*$J52-SUM($AV$6:AW$6)*$K52</f>
        <v>0</v>
      </c>
      <c r="AX52" s="1">
        <f>SUM($AT52,$AA52:AB52)-SUM($AV$5:AX$5)*$J52-SUM($AV$6:AX$6)*$K52</f>
        <v>0</v>
      </c>
      <c r="AY52" s="1">
        <f>SUM($AT52,$AA52:AC52)-SUM($AV$5:AY$5)*$J52-SUM($AV$6:AY$6)*$K52</f>
        <v>0</v>
      </c>
      <c r="AZ52" s="1">
        <f>SUM($AT52,$AA52:AD52)-SUM($AV$5:AZ$5)*$J52-SUM($AV$6:AZ$6)*$K52</f>
        <v>-40</v>
      </c>
      <c r="BA52" s="1">
        <f>SUM($AT52,$AA52:AE52)-SUM($AV$5:BA$5)*$J52-SUM($AV$6:BA$6)*$K52</f>
        <v>-80</v>
      </c>
      <c r="BB52" s="1">
        <f>SUM($AT52,$AA52:AF52)-SUM($AV$5:BB$5)*$J52-SUM($AV$6:BB$6)*$K52</f>
        <v>-120</v>
      </c>
      <c r="BC52" s="1">
        <f>SUM($AT52,$AA52:AG52)-SUM($AV$5:BC$5)*$J52-SUM($AV$6:BC$6)*$K52</f>
        <v>-160</v>
      </c>
      <c r="BD52" s="1">
        <f>SUM($AT52,$AA52:AH52)-SUM($AV$5:BD$5)*$J52-SUM($AV$6:BD$6)*$K52</f>
        <v>-200</v>
      </c>
      <c r="BE52" s="1">
        <f>SUM($AT52,$AA52:AI52)-SUM($AV$5:BE$5)*$J52-SUM($AV$6:BE$6)*$K52</f>
        <v>-240</v>
      </c>
      <c r="BF52" s="1">
        <f>SUM($AT52,$AA52:AJ52)-SUM($AV$5:BF$5)*$J52-SUM($AV$6:BF$6)*$K52</f>
        <v>-280</v>
      </c>
      <c r="BG52" s="1">
        <f>SUM($AT52,$AA52:AK52)-SUM($AV$5:BG$5)*$J52-SUM($AV$6:BG$6)*$K52</f>
        <v>-320</v>
      </c>
      <c r="BH52" s="1">
        <f>SUM($AT52,$AA52:AL52)-SUM($AV$5:BH$5)*$J52-SUM($AV$6:BH$6)*$K52</f>
        <v>-360</v>
      </c>
      <c r="BI52" s="1">
        <f>SUM($AT52,$AA52:AM52)-SUM($AV$5:BI$5)*$J52-SUM($AV$6:BI$6)*$K52</f>
        <v>-400</v>
      </c>
      <c r="BJ52" s="1">
        <f>SUM($AT52,$AA52:AN52)-SUM($AV$5:BJ$5)*$J52-SUM($AV$6:BJ$6)*$K52</f>
        <v>-440</v>
      </c>
      <c r="BK52" s="1">
        <f>SUM($AT52,$AA52:AO52)-SUM($AV$5:BK$5)*$J52-SUM($AV$6:BK$6)*$K52</f>
        <v>-480</v>
      </c>
      <c r="BL52" s="1">
        <f>SUM($AT52,$AA52:AP52)-SUM($AV$5:BL$5)*$J52-SUM($AV$6:BL$6)*$K52</f>
        <v>-520</v>
      </c>
      <c r="BM52" s="1">
        <f>SUM($AT52,$AA52:AQ52)-SUM($AV$5:BM$5)*$J52-SUM($AV$6:BM$6)*$K52</f>
        <v>-560</v>
      </c>
      <c r="BN52" s="1">
        <f>SUM($AT52,$AA52:AR52)-SUM($AV$5:BN$5)*$J52-SUM($AV$6:BN$6)*$K52</f>
        <v>-582</v>
      </c>
    </row>
    <row r="53" spans="1:66">
      <c r="A53" s="1">
        <v>382</v>
      </c>
      <c r="B53" s="28" t="s">
        <v>229</v>
      </c>
      <c r="C53" s="1" t="s">
        <v>176</v>
      </c>
      <c r="D53" s="2">
        <v>401004976</v>
      </c>
      <c r="E53" s="3" t="s">
        <v>230</v>
      </c>
      <c r="F53" s="1"/>
      <c r="G53" s="1" t="s">
        <v>42</v>
      </c>
      <c r="H53" s="1">
        <v>2</v>
      </c>
      <c r="I53" s="1">
        <v>1</v>
      </c>
      <c r="J53" s="1">
        <v>1</v>
      </c>
      <c r="K53" s="1">
        <v>0</v>
      </c>
      <c r="L53" s="1">
        <v>0</v>
      </c>
      <c r="M53" s="1">
        <f t="shared" si="2"/>
        <v>582</v>
      </c>
      <c r="N53" s="1">
        <f t="shared" si="3"/>
        <v>582</v>
      </c>
      <c r="O53" s="2" t="s">
        <v>215</v>
      </c>
      <c r="P53" s="1"/>
      <c r="Q53" s="1">
        <v>1.41</v>
      </c>
      <c r="R53" s="1" t="s">
        <v>44</v>
      </c>
      <c r="S53" s="30" t="s">
        <v>145</v>
      </c>
      <c r="T53" s="31" t="s">
        <v>215</v>
      </c>
      <c r="U53" s="1"/>
      <c r="V53" s="1">
        <v>350</v>
      </c>
      <c r="W53" s="1" t="s">
        <v>216</v>
      </c>
      <c r="X53" s="32" t="s">
        <v>217</v>
      </c>
      <c r="Y53" s="1" t="s">
        <v>218</v>
      </c>
      <c r="Z53" s="2" t="s">
        <v>215</v>
      </c>
      <c r="AA53" s="1"/>
      <c r="AB53" s="1"/>
      <c r="AC53" s="1"/>
      <c r="AD53" s="1"/>
      <c r="AE53" s="1"/>
      <c r="AF53" s="1"/>
      <c r="AG53" s="1"/>
      <c r="AH53" s="1"/>
      <c r="AI53" s="1"/>
      <c r="AJ53" s="1"/>
      <c r="AK53" s="1"/>
      <c r="AL53" s="1"/>
      <c r="AM53" s="1"/>
      <c r="AN53" s="1"/>
      <c r="AO53" s="1"/>
      <c r="AP53" s="1"/>
      <c r="AQ53" s="1"/>
      <c r="AR53" s="1"/>
      <c r="AS53" s="1"/>
      <c r="AT53" s="1"/>
      <c r="AU53" s="1"/>
      <c r="AV53" s="1">
        <f>SUM($AT53,Z53:$AA53)-SUM($AV$5:AV$5)*$J53-SUM($AV$6:AV$6)*$K53</f>
        <v>0</v>
      </c>
      <c r="AW53" s="1">
        <f>SUM($AT53,$AA53:AA53)-SUM($AV$5:AW$5)*$J53-SUM($AV$6:AW$6)*$K53</f>
        <v>0</v>
      </c>
      <c r="AX53" s="1">
        <f>SUM($AT53,$AA53:AB53)-SUM($AV$5:AX$5)*$J53-SUM($AV$6:AX$6)*$K53</f>
        <v>0</v>
      </c>
      <c r="AY53" s="1">
        <f>SUM($AT53,$AA53:AC53)-SUM($AV$5:AY$5)*$J53-SUM($AV$6:AY$6)*$K53</f>
        <v>0</v>
      </c>
      <c r="AZ53" s="1">
        <f>SUM($AT53,$AA53:AD53)-SUM($AV$5:AZ$5)*$J53-SUM($AV$6:AZ$6)*$K53</f>
        <v>-40</v>
      </c>
      <c r="BA53" s="1">
        <f>SUM($AT53,$AA53:AE53)-SUM($AV$5:BA$5)*$J53-SUM($AV$6:BA$6)*$K53</f>
        <v>-80</v>
      </c>
      <c r="BB53" s="1">
        <f>SUM($AT53,$AA53:AF53)-SUM($AV$5:BB$5)*$J53-SUM($AV$6:BB$6)*$K53</f>
        <v>-120</v>
      </c>
      <c r="BC53" s="1">
        <f>SUM($AT53,$AA53:AG53)-SUM($AV$5:BC$5)*$J53-SUM($AV$6:BC$6)*$K53</f>
        <v>-160</v>
      </c>
      <c r="BD53" s="1">
        <f>SUM($AT53,$AA53:AH53)-SUM($AV$5:BD$5)*$J53-SUM($AV$6:BD$6)*$K53</f>
        <v>-200</v>
      </c>
      <c r="BE53" s="1">
        <f>SUM($AT53,$AA53:AI53)-SUM($AV$5:BE$5)*$J53-SUM($AV$6:BE$6)*$K53</f>
        <v>-240</v>
      </c>
      <c r="BF53" s="1">
        <f>SUM($AT53,$AA53:AJ53)-SUM($AV$5:BF$5)*$J53-SUM($AV$6:BF$6)*$K53</f>
        <v>-280</v>
      </c>
      <c r="BG53" s="1">
        <f>SUM($AT53,$AA53:AK53)-SUM($AV$5:BG$5)*$J53-SUM($AV$6:BG$6)*$K53</f>
        <v>-320</v>
      </c>
      <c r="BH53" s="1">
        <f>SUM($AT53,$AA53:AL53)-SUM($AV$5:BH$5)*$J53-SUM($AV$6:BH$6)*$K53</f>
        <v>-360</v>
      </c>
      <c r="BI53" s="1">
        <f>SUM($AT53,$AA53:AM53)-SUM($AV$5:BI$5)*$J53-SUM($AV$6:BI$6)*$K53</f>
        <v>-400</v>
      </c>
      <c r="BJ53" s="1">
        <f>SUM($AT53,$AA53:AN53)-SUM($AV$5:BJ$5)*$J53-SUM($AV$6:BJ$6)*$K53</f>
        <v>-440</v>
      </c>
      <c r="BK53" s="1">
        <f>SUM($AT53,$AA53:AO53)-SUM($AV$5:BK$5)*$J53-SUM($AV$6:BK$6)*$K53</f>
        <v>-480</v>
      </c>
      <c r="BL53" s="1">
        <f>SUM($AT53,$AA53:AP53)-SUM($AV$5:BL$5)*$J53-SUM($AV$6:BL$6)*$K53</f>
        <v>-520</v>
      </c>
      <c r="BM53" s="1">
        <f>SUM($AT53,$AA53:AQ53)-SUM($AV$5:BM$5)*$J53-SUM($AV$6:BM$6)*$K53</f>
        <v>-560</v>
      </c>
      <c r="BN53" s="1">
        <f>SUM($AT53,$AA53:AR53)-SUM($AV$5:BN$5)*$J53-SUM($AV$6:BN$6)*$K53</f>
        <v>-582</v>
      </c>
    </row>
    <row r="54" spans="1:66">
      <c r="A54" s="1">
        <v>402</v>
      </c>
      <c r="B54" s="28" t="s">
        <v>231</v>
      </c>
      <c r="C54" s="1" t="s">
        <v>176</v>
      </c>
      <c r="D54" s="2">
        <v>400129236</v>
      </c>
      <c r="E54" s="3" t="s">
        <v>232</v>
      </c>
      <c r="F54" s="1"/>
      <c r="G54" s="1" t="s">
        <v>42</v>
      </c>
      <c r="H54" s="1">
        <v>2</v>
      </c>
      <c r="I54" s="1">
        <v>1</v>
      </c>
      <c r="J54" s="1">
        <v>1</v>
      </c>
      <c r="K54" s="1">
        <v>0</v>
      </c>
      <c r="L54" s="1">
        <v>0</v>
      </c>
      <c r="M54" s="1">
        <f t="shared" si="2"/>
        <v>582</v>
      </c>
      <c r="N54" s="1">
        <f t="shared" si="3"/>
        <v>582</v>
      </c>
      <c r="O54" s="2" t="s">
        <v>215</v>
      </c>
      <c r="P54" s="1"/>
      <c r="Q54" s="1">
        <v>0.83</v>
      </c>
      <c r="R54" s="1" t="s">
        <v>44</v>
      </c>
      <c r="S54" s="30" t="s">
        <v>145</v>
      </c>
      <c r="T54" s="31" t="s">
        <v>215</v>
      </c>
      <c r="U54" s="1"/>
      <c r="V54" s="1">
        <v>50</v>
      </c>
      <c r="W54" s="1" t="s">
        <v>216</v>
      </c>
      <c r="X54" s="32" t="s">
        <v>217</v>
      </c>
      <c r="Y54" s="1" t="s">
        <v>218</v>
      </c>
      <c r="Z54" s="2" t="s">
        <v>215</v>
      </c>
      <c r="AA54" s="1"/>
      <c r="AB54" s="1"/>
      <c r="AC54" s="1"/>
      <c r="AD54" s="1"/>
      <c r="AE54" s="1"/>
      <c r="AF54" s="1"/>
      <c r="AG54" s="1"/>
      <c r="AH54" s="1"/>
      <c r="AI54" s="1"/>
      <c r="AJ54" s="1"/>
      <c r="AK54" s="1"/>
      <c r="AL54" s="1"/>
      <c r="AM54" s="1"/>
      <c r="AN54" s="1"/>
      <c r="AO54" s="1"/>
      <c r="AP54" s="1"/>
      <c r="AQ54" s="1"/>
      <c r="AR54" s="1"/>
      <c r="AS54" s="1"/>
      <c r="AT54" s="1"/>
      <c r="AU54" s="1"/>
      <c r="AV54" s="1">
        <f>SUM($AT54,Z54:$AA54)-SUM($AV$5:AV$5)*$J54-SUM($AV$6:AV$6)*$K54</f>
        <v>0</v>
      </c>
      <c r="AW54" s="1">
        <f>SUM($AT54,$AA54:AA54)-SUM($AV$5:AW$5)*$J54-SUM($AV$6:AW$6)*$K54</f>
        <v>0</v>
      </c>
      <c r="AX54" s="1">
        <f>SUM($AT54,$AA54:AB54)-SUM($AV$5:AX$5)*$J54-SUM($AV$6:AX$6)*$K54</f>
        <v>0</v>
      </c>
      <c r="AY54" s="1">
        <f>SUM($AT54,$AA54:AC54)-SUM($AV$5:AY$5)*$J54-SUM($AV$6:AY$6)*$K54</f>
        <v>0</v>
      </c>
      <c r="AZ54" s="1">
        <f>SUM($AT54,$AA54:AD54)-SUM($AV$5:AZ$5)*$J54-SUM($AV$6:AZ$6)*$K54</f>
        <v>-40</v>
      </c>
      <c r="BA54" s="1">
        <f>SUM($AT54,$AA54:AE54)-SUM($AV$5:BA$5)*$J54-SUM($AV$6:BA$6)*$K54</f>
        <v>-80</v>
      </c>
      <c r="BB54" s="1">
        <f>SUM($AT54,$AA54:AF54)-SUM($AV$5:BB$5)*$J54-SUM($AV$6:BB$6)*$K54</f>
        <v>-120</v>
      </c>
      <c r="BC54" s="1">
        <f>SUM($AT54,$AA54:AG54)-SUM($AV$5:BC$5)*$J54-SUM($AV$6:BC$6)*$K54</f>
        <v>-160</v>
      </c>
      <c r="BD54" s="1">
        <f>SUM($AT54,$AA54:AH54)-SUM($AV$5:BD$5)*$J54-SUM($AV$6:BD$6)*$K54</f>
        <v>-200</v>
      </c>
      <c r="BE54" s="1">
        <f>SUM($AT54,$AA54:AI54)-SUM($AV$5:BE$5)*$J54-SUM($AV$6:BE$6)*$K54</f>
        <v>-240</v>
      </c>
      <c r="BF54" s="1">
        <f>SUM($AT54,$AA54:AJ54)-SUM($AV$5:BF$5)*$J54-SUM($AV$6:BF$6)*$K54</f>
        <v>-280</v>
      </c>
      <c r="BG54" s="1">
        <f>SUM($AT54,$AA54:AK54)-SUM($AV$5:BG$5)*$J54-SUM($AV$6:BG$6)*$K54</f>
        <v>-320</v>
      </c>
      <c r="BH54" s="1">
        <f>SUM($AT54,$AA54:AL54)-SUM($AV$5:BH$5)*$J54-SUM($AV$6:BH$6)*$K54</f>
        <v>-360</v>
      </c>
      <c r="BI54" s="1">
        <f>SUM($AT54,$AA54:AM54)-SUM($AV$5:BI$5)*$J54-SUM($AV$6:BI$6)*$K54</f>
        <v>-400</v>
      </c>
      <c r="BJ54" s="1">
        <f>SUM($AT54,$AA54:AN54)-SUM($AV$5:BJ$5)*$J54-SUM($AV$6:BJ$6)*$K54</f>
        <v>-440</v>
      </c>
      <c r="BK54" s="1">
        <f>SUM($AT54,$AA54:AO54)-SUM($AV$5:BK$5)*$J54-SUM($AV$6:BK$6)*$K54</f>
        <v>-480</v>
      </c>
      <c r="BL54" s="1">
        <f>SUM($AT54,$AA54:AP54)-SUM($AV$5:BL$5)*$J54-SUM($AV$6:BL$6)*$K54</f>
        <v>-520</v>
      </c>
      <c r="BM54" s="1">
        <f>SUM($AT54,$AA54:AQ54)-SUM($AV$5:BM$5)*$J54-SUM($AV$6:BM$6)*$K54</f>
        <v>-560</v>
      </c>
      <c r="BN54" s="1">
        <f>SUM($AT54,$AA54:AR54)-SUM($AV$5:BN$5)*$J54-SUM($AV$6:BN$6)*$K54</f>
        <v>-582</v>
      </c>
    </row>
    <row r="55" spans="1:66">
      <c r="A55" s="1">
        <v>403</v>
      </c>
      <c r="B55" s="28" t="s">
        <v>233</v>
      </c>
      <c r="C55" s="1" t="s">
        <v>176</v>
      </c>
      <c r="D55" s="2">
        <v>400607645</v>
      </c>
      <c r="E55" s="3" t="s">
        <v>234</v>
      </c>
      <c r="F55" s="1"/>
      <c r="G55" s="1" t="s">
        <v>42</v>
      </c>
      <c r="H55" s="1">
        <v>2</v>
      </c>
      <c r="I55" s="1">
        <v>4</v>
      </c>
      <c r="J55" s="1">
        <v>1</v>
      </c>
      <c r="K55" s="1">
        <v>0</v>
      </c>
      <c r="L55" s="1">
        <v>3</v>
      </c>
      <c r="M55" s="1">
        <f t="shared" si="2"/>
        <v>1410</v>
      </c>
      <c r="N55" s="1">
        <f t="shared" si="3"/>
        <v>1410</v>
      </c>
      <c r="O55" s="2" t="s">
        <v>215</v>
      </c>
      <c r="P55" s="1"/>
      <c r="Q55" s="1">
        <v>0.86</v>
      </c>
      <c r="R55" s="1" t="s">
        <v>44</v>
      </c>
      <c r="S55" s="30" t="s">
        <v>145</v>
      </c>
      <c r="T55" s="31" t="s">
        <v>215</v>
      </c>
      <c r="U55" s="1"/>
      <c r="V55" s="1">
        <v>50</v>
      </c>
      <c r="W55" s="1" t="s">
        <v>216</v>
      </c>
      <c r="X55" s="44" t="s">
        <v>217</v>
      </c>
      <c r="Y55" s="43" t="s">
        <v>218</v>
      </c>
      <c r="Z55" s="2" t="s">
        <v>215</v>
      </c>
      <c r="AA55" s="1"/>
      <c r="AB55" s="1"/>
      <c r="AC55" s="1"/>
      <c r="AD55" s="1"/>
      <c r="AE55" s="1"/>
      <c r="AF55" s="1"/>
      <c r="AG55" s="1"/>
      <c r="AH55" s="1"/>
      <c r="AI55" s="1"/>
      <c r="AJ55" s="1"/>
      <c r="AK55" s="1"/>
      <c r="AL55" s="1"/>
      <c r="AM55" s="1"/>
      <c r="AN55" s="1"/>
      <c r="AO55" s="1"/>
      <c r="AP55" s="1"/>
      <c r="AQ55" s="1"/>
      <c r="AR55" s="1"/>
      <c r="AS55" s="1"/>
      <c r="AT55" s="1"/>
      <c r="AU55" s="1"/>
      <c r="AV55" s="1">
        <f>SUM($AT55,Z55:$AA55)-SUM($AV$5:AV$5)*$J55-SUM($AV$6:AV$6)*$K55</f>
        <v>0</v>
      </c>
      <c r="AW55" s="1">
        <f>SUM($AT55,$AA55:AA55)-SUM($AV$5:AW$5)*$J55-SUM($AV$6:AW$6)*$K55</f>
        <v>0</v>
      </c>
      <c r="AX55" s="1">
        <f>SUM($AT55,$AA55:AB55)-SUM($AV$5:AX$5)*$J55-SUM($AV$6:AX$6)*$K55</f>
        <v>0</v>
      </c>
      <c r="AY55" s="1">
        <f>SUM($AT55,$AA55:AC55)-SUM($AV$5:AY$5)*$J55-SUM($AV$6:AY$6)*$K55</f>
        <v>0</v>
      </c>
      <c r="AZ55" s="1">
        <f>SUM($AT55,$AA55:AD55)-SUM($AV$5:AZ$5)*$J55-SUM($AV$6:AZ$6)*$K55</f>
        <v>-40</v>
      </c>
      <c r="BA55" s="1">
        <f>SUM($AT55,$AA55:AE55)-SUM($AV$5:BA$5)*$J55-SUM($AV$6:BA$6)*$K55</f>
        <v>-80</v>
      </c>
      <c r="BB55" s="1">
        <f>SUM($AT55,$AA55:AF55)-SUM($AV$5:BB$5)*$J55-SUM($AV$6:BB$6)*$K55</f>
        <v>-120</v>
      </c>
      <c r="BC55" s="1">
        <f>SUM($AT55,$AA55:AG55)-SUM($AV$5:BC$5)*$J55-SUM($AV$6:BC$6)*$K55</f>
        <v>-160</v>
      </c>
      <c r="BD55" s="1">
        <f>SUM($AT55,$AA55:AH55)-SUM($AV$5:BD$5)*$J55-SUM($AV$6:BD$6)*$K55</f>
        <v>-200</v>
      </c>
      <c r="BE55" s="1">
        <f>SUM($AT55,$AA55:AI55)-SUM($AV$5:BE$5)*$J55-SUM($AV$6:BE$6)*$K55</f>
        <v>-240</v>
      </c>
      <c r="BF55" s="1">
        <f>SUM($AT55,$AA55:AJ55)-SUM($AV$5:BF$5)*$J55-SUM($AV$6:BF$6)*$K55</f>
        <v>-280</v>
      </c>
      <c r="BG55" s="1">
        <f>SUM($AT55,$AA55:AK55)-SUM($AV$5:BG$5)*$J55-SUM($AV$6:BG$6)*$K55</f>
        <v>-320</v>
      </c>
      <c r="BH55" s="1">
        <f>SUM($AT55,$AA55:AL55)-SUM($AV$5:BH$5)*$J55-SUM($AV$6:BH$6)*$K55</f>
        <v>-360</v>
      </c>
      <c r="BI55" s="1">
        <f>SUM($AT55,$AA55:AM55)-SUM($AV$5:BI$5)*$J55-SUM($AV$6:BI$6)*$K55</f>
        <v>-400</v>
      </c>
      <c r="BJ55" s="1">
        <f>SUM($AT55,$AA55:AN55)-SUM($AV$5:BJ$5)*$J55-SUM($AV$6:BJ$6)*$K55</f>
        <v>-440</v>
      </c>
      <c r="BK55" s="1">
        <f>SUM($AT55,$AA55:AO55)-SUM($AV$5:BK$5)*$J55-SUM($AV$6:BK$6)*$K55</f>
        <v>-480</v>
      </c>
      <c r="BL55" s="1">
        <f>SUM($AT55,$AA55:AP55)-SUM($AV$5:BL$5)*$J55-SUM($AV$6:BL$6)*$K55</f>
        <v>-520</v>
      </c>
      <c r="BM55" s="1">
        <f>SUM($AT55,$AA55:AQ55)-SUM($AV$5:BM$5)*$J55-SUM($AV$6:BM$6)*$K55</f>
        <v>-560</v>
      </c>
      <c r="BN55" s="1">
        <f>SUM($AT55,$AA55:AR55)-SUM($AV$5:BN$5)*$J55-SUM($AV$6:BN$6)*$K55</f>
        <v>-582</v>
      </c>
    </row>
    <row r="56" spans="1:66">
      <c r="A56" s="1">
        <v>58</v>
      </c>
      <c r="B56" s="28" t="s">
        <v>235</v>
      </c>
      <c r="C56" s="1" t="s">
        <v>40</v>
      </c>
      <c r="D56" s="2">
        <v>417983176</v>
      </c>
      <c r="E56" s="3" t="s">
        <v>236</v>
      </c>
      <c r="F56" s="1">
        <v>400341542</v>
      </c>
      <c r="G56" s="1" t="s">
        <v>42</v>
      </c>
      <c r="H56" s="1">
        <v>2</v>
      </c>
      <c r="I56" s="1">
        <v>23</v>
      </c>
      <c r="J56" s="1">
        <v>23</v>
      </c>
      <c r="K56" s="1">
        <v>0</v>
      </c>
      <c r="L56" s="1">
        <v>0</v>
      </c>
      <c r="M56" s="1">
        <f t="shared" si="2"/>
        <v>13386</v>
      </c>
      <c r="N56" s="1">
        <f t="shared" si="3"/>
        <v>13386</v>
      </c>
      <c r="O56" s="2" t="s">
        <v>237</v>
      </c>
      <c r="P56" s="1"/>
      <c r="Q56" s="1">
        <v>0.05</v>
      </c>
      <c r="R56" s="1" t="s">
        <v>44</v>
      </c>
      <c r="S56" s="30" t="s">
        <v>8</v>
      </c>
      <c r="T56" s="31" t="s">
        <v>238</v>
      </c>
      <c r="U56" s="1"/>
      <c r="V56" s="1">
        <v>2000</v>
      </c>
      <c r="W56" s="1" t="s">
        <v>239</v>
      </c>
      <c r="X56" s="32" t="s">
        <v>240</v>
      </c>
      <c r="Y56" s="1" t="s">
        <v>241</v>
      </c>
      <c r="Z56" s="2" t="s">
        <v>242</v>
      </c>
      <c r="AA56" s="1"/>
      <c r="AB56" s="1"/>
      <c r="AC56" s="1"/>
      <c r="AD56" s="1"/>
      <c r="AE56" s="1"/>
      <c r="AF56" s="1"/>
      <c r="AG56" s="1"/>
      <c r="AH56" s="1"/>
      <c r="AI56" s="1"/>
      <c r="AJ56" s="1"/>
      <c r="AK56" s="1"/>
      <c r="AL56" s="1"/>
      <c r="AM56" s="1"/>
      <c r="AN56" s="1"/>
      <c r="AO56" s="1"/>
      <c r="AP56" s="1"/>
      <c r="AQ56" s="1"/>
      <c r="AR56" s="1"/>
      <c r="AS56" s="1"/>
      <c r="AT56" s="1"/>
      <c r="AU56" s="1"/>
      <c r="AV56" s="1">
        <f>SUM($AT56,Z56:$AA56)-SUM($AV$5:AV$5)*$J56-SUM($AV$6:AV$6)*$K56</f>
        <v>0</v>
      </c>
      <c r="AW56" s="1">
        <f>SUM($AT56,$AA56:AA56)-SUM($AV$5:AW$5)*$J56-SUM($AV$6:AW$6)*$K56</f>
        <v>0</v>
      </c>
      <c r="AX56" s="1">
        <f>SUM($AT56,$AA56:AB56)-SUM($AV$5:AX$5)*$J56-SUM($AV$6:AX$6)*$K56</f>
        <v>0</v>
      </c>
      <c r="AY56" s="1">
        <f>SUM($AT56,$AA56:AC56)-SUM($AV$5:AY$5)*$J56-SUM($AV$6:AY$6)*$K56</f>
        <v>0</v>
      </c>
      <c r="AZ56" s="1">
        <f>SUM($AT56,$AA56:AD56)-SUM($AV$5:AZ$5)*$J56-SUM($AV$6:AZ$6)*$K56</f>
        <v>-920</v>
      </c>
      <c r="BA56" s="1">
        <f>SUM($AT56,$AA56:AE56)-SUM($AV$5:BA$5)*$J56-SUM($AV$6:BA$6)*$K56</f>
        <v>-1840</v>
      </c>
      <c r="BB56" s="1">
        <f>SUM($AT56,$AA56:AF56)-SUM($AV$5:BB$5)*$J56-SUM($AV$6:BB$6)*$K56</f>
        <v>-2760</v>
      </c>
      <c r="BC56" s="1">
        <f>SUM($AT56,$AA56:AG56)-SUM($AV$5:BC$5)*$J56-SUM($AV$6:BC$6)*$K56</f>
        <v>-3680</v>
      </c>
      <c r="BD56" s="1">
        <f>SUM($AT56,$AA56:AH56)-SUM($AV$5:BD$5)*$J56-SUM($AV$6:BD$6)*$K56</f>
        <v>-4600</v>
      </c>
      <c r="BE56" s="1">
        <f>SUM($AT56,$AA56:AI56)-SUM($AV$5:BE$5)*$J56-SUM($AV$6:BE$6)*$K56</f>
        <v>-5520</v>
      </c>
      <c r="BF56" s="1">
        <f>SUM($AT56,$AA56:AJ56)-SUM($AV$5:BF$5)*$J56-SUM($AV$6:BF$6)*$K56</f>
        <v>-6440</v>
      </c>
      <c r="BG56" s="1">
        <f>SUM($AT56,$AA56:AK56)-SUM($AV$5:BG$5)*$J56-SUM($AV$6:BG$6)*$K56</f>
        <v>-7360</v>
      </c>
      <c r="BH56" s="1">
        <f>SUM($AT56,$AA56:AL56)-SUM($AV$5:BH$5)*$J56-SUM($AV$6:BH$6)*$K56</f>
        <v>-8280</v>
      </c>
      <c r="BI56" s="1">
        <f>SUM($AT56,$AA56:AM56)-SUM($AV$5:BI$5)*$J56-SUM($AV$6:BI$6)*$K56</f>
        <v>-9200</v>
      </c>
      <c r="BJ56" s="1">
        <f>SUM($AT56,$AA56:AN56)-SUM($AV$5:BJ$5)*$J56-SUM($AV$6:BJ$6)*$K56</f>
        <v>-10120</v>
      </c>
      <c r="BK56" s="1">
        <f>SUM($AT56,$AA56:AO56)-SUM($AV$5:BK$5)*$J56-SUM($AV$6:BK$6)*$K56</f>
        <v>-11040</v>
      </c>
      <c r="BL56" s="1">
        <f>SUM($AT56,$AA56:AP56)-SUM($AV$5:BL$5)*$J56-SUM($AV$6:BL$6)*$K56</f>
        <v>-11960</v>
      </c>
      <c r="BM56" s="1">
        <f>SUM($AT56,$AA56:AQ56)-SUM($AV$5:BM$5)*$J56-SUM($AV$6:BM$6)*$K56</f>
        <v>-12880</v>
      </c>
      <c r="BN56" s="1">
        <f>SUM($AT56,$AA56:AR56)-SUM($AV$5:BN$5)*$J56-SUM($AV$6:BN$6)*$K56</f>
        <v>-13386</v>
      </c>
    </row>
    <row r="57" spans="1:66">
      <c r="A57" s="1">
        <v>59</v>
      </c>
      <c r="B57" s="28" t="s">
        <v>243</v>
      </c>
      <c r="C57" s="1" t="s">
        <v>40</v>
      </c>
      <c r="D57" s="2">
        <v>417983172</v>
      </c>
      <c r="E57" s="3" t="s">
        <v>244</v>
      </c>
      <c r="F57" s="1">
        <v>400341489</v>
      </c>
      <c r="G57" s="1" t="s">
        <v>42</v>
      </c>
      <c r="H57" s="1">
        <v>2</v>
      </c>
      <c r="I57" s="1">
        <v>9</v>
      </c>
      <c r="J57" s="1">
        <v>9</v>
      </c>
      <c r="K57" s="1">
        <v>0</v>
      </c>
      <c r="L57" s="1">
        <v>0</v>
      </c>
      <c r="M57" s="1">
        <f t="shared" si="2"/>
        <v>5238</v>
      </c>
      <c r="N57" s="1">
        <f t="shared" si="3"/>
        <v>5238</v>
      </c>
      <c r="O57" s="2" t="s">
        <v>237</v>
      </c>
      <c r="P57" s="1"/>
      <c r="Q57" s="1">
        <v>0.2</v>
      </c>
      <c r="R57" s="1" t="s">
        <v>44</v>
      </c>
      <c r="S57" s="30" t="s">
        <v>8</v>
      </c>
      <c r="T57" s="31" t="s">
        <v>238</v>
      </c>
      <c r="U57" s="1"/>
      <c r="V57" s="1">
        <v>1000</v>
      </c>
      <c r="W57" s="1" t="s">
        <v>239</v>
      </c>
      <c r="X57" s="32" t="s">
        <v>240</v>
      </c>
      <c r="Y57" s="1" t="s">
        <v>241</v>
      </c>
      <c r="Z57" s="2" t="s">
        <v>242</v>
      </c>
      <c r="AA57" s="1"/>
      <c r="AB57" s="1"/>
      <c r="AC57" s="1"/>
      <c r="AD57" s="1"/>
      <c r="AE57" s="1"/>
      <c r="AF57" s="1"/>
      <c r="AG57" s="1"/>
      <c r="AH57" s="1"/>
      <c r="AI57" s="1"/>
      <c r="AJ57" s="1"/>
      <c r="AK57" s="1"/>
      <c r="AL57" s="1"/>
      <c r="AM57" s="1"/>
      <c r="AN57" s="1"/>
      <c r="AO57" s="1"/>
      <c r="AP57" s="1"/>
      <c r="AQ57" s="1"/>
      <c r="AR57" s="1"/>
      <c r="AS57" s="1"/>
      <c r="AT57" s="1"/>
      <c r="AU57" s="1"/>
      <c r="AV57" s="1">
        <f>SUM($AT57,Z57:$AA57)-SUM($AV$5:AV$5)*$J57-SUM($AV$6:AV$6)*$K57</f>
        <v>0</v>
      </c>
      <c r="AW57" s="1">
        <f>SUM($AT57,$AA57:AA57)-SUM($AV$5:AW$5)*$J57-SUM($AV$6:AW$6)*$K57</f>
        <v>0</v>
      </c>
      <c r="AX57" s="1">
        <f>SUM($AT57,$AA57:AB57)-SUM($AV$5:AX$5)*$J57-SUM($AV$6:AX$6)*$K57</f>
        <v>0</v>
      </c>
      <c r="AY57" s="1">
        <f>SUM($AT57,$AA57:AC57)-SUM($AV$5:AY$5)*$J57-SUM($AV$6:AY$6)*$K57</f>
        <v>0</v>
      </c>
      <c r="AZ57" s="1">
        <f>SUM($AT57,$AA57:AD57)-SUM($AV$5:AZ$5)*$J57-SUM($AV$6:AZ$6)*$K57</f>
        <v>-360</v>
      </c>
      <c r="BA57" s="1">
        <f>SUM($AT57,$AA57:AE57)-SUM($AV$5:BA$5)*$J57-SUM($AV$6:BA$6)*$K57</f>
        <v>-720</v>
      </c>
      <c r="BB57" s="1">
        <f>SUM($AT57,$AA57:AF57)-SUM($AV$5:BB$5)*$J57-SUM($AV$6:BB$6)*$K57</f>
        <v>-1080</v>
      </c>
      <c r="BC57" s="1">
        <f>SUM($AT57,$AA57:AG57)-SUM($AV$5:BC$5)*$J57-SUM($AV$6:BC$6)*$K57</f>
        <v>-1440</v>
      </c>
      <c r="BD57" s="1">
        <f>SUM($AT57,$AA57:AH57)-SUM($AV$5:BD$5)*$J57-SUM($AV$6:BD$6)*$K57</f>
        <v>-1800</v>
      </c>
      <c r="BE57" s="1">
        <f>SUM($AT57,$AA57:AI57)-SUM($AV$5:BE$5)*$J57-SUM($AV$6:BE$6)*$K57</f>
        <v>-2160</v>
      </c>
      <c r="BF57" s="1">
        <f>SUM($AT57,$AA57:AJ57)-SUM($AV$5:BF$5)*$J57-SUM($AV$6:BF$6)*$K57</f>
        <v>-2520</v>
      </c>
      <c r="BG57" s="1">
        <f>SUM($AT57,$AA57:AK57)-SUM($AV$5:BG$5)*$J57-SUM($AV$6:BG$6)*$K57</f>
        <v>-2880</v>
      </c>
      <c r="BH57" s="1">
        <f>SUM($AT57,$AA57:AL57)-SUM($AV$5:BH$5)*$J57-SUM($AV$6:BH$6)*$K57</f>
        <v>-3240</v>
      </c>
      <c r="BI57" s="1">
        <f>SUM($AT57,$AA57:AM57)-SUM($AV$5:BI$5)*$J57-SUM($AV$6:BI$6)*$K57</f>
        <v>-3600</v>
      </c>
      <c r="BJ57" s="1">
        <f>SUM($AT57,$AA57:AN57)-SUM($AV$5:BJ$5)*$J57-SUM($AV$6:BJ$6)*$K57</f>
        <v>-3960</v>
      </c>
      <c r="BK57" s="1">
        <f>SUM($AT57,$AA57:AO57)-SUM($AV$5:BK$5)*$J57-SUM($AV$6:BK$6)*$K57</f>
        <v>-4320</v>
      </c>
      <c r="BL57" s="1">
        <f>SUM($AT57,$AA57:AP57)-SUM($AV$5:BL$5)*$J57-SUM($AV$6:BL$6)*$K57</f>
        <v>-4680</v>
      </c>
      <c r="BM57" s="1">
        <f>SUM($AT57,$AA57:AQ57)-SUM($AV$5:BM$5)*$J57-SUM($AV$6:BM$6)*$K57</f>
        <v>-5040</v>
      </c>
      <c r="BN57" s="1">
        <f>SUM($AT57,$AA57:AR57)-SUM($AV$5:BN$5)*$J57-SUM($AV$6:BN$6)*$K57</f>
        <v>-5238</v>
      </c>
    </row>
    <row r="58" spans="1:66">
      <c r="A58" s="1">
        <v>419</v>
      </c>
      <c r="B58" s="28" t="s">
        <v>245</v>
      </c>
      <c r="C58" s="1" t="s">
        <v>176</v>
      </c>
      <c r="D58" s="2">
        <v>400467749</v>
      </c>
      <c r="E58" s="3" t="s">
        <v>246</v>
      </c>
      <c r="F58" s="1"/>
      <c r="G58" s="1" t="s">
        <v>42</v>
      </c>
      <c r="H58" s="1">
        <v>2</v>
      </c>
      <c r="I58" s="1">
        <v>1</v>
      </c>
      <c r="J58" s="1">
        <v>1</v>
      </c>
      <c r="K58" s="1">
        <v>0</v>
      </c>
      <c r="L58" s="1">
        <v>0</v>
      </c>
      <c r="M58" s="1">
        <f t="shared" si="2"/>
        <v>582</v>
      </c>
      <c r="N58" s="1">
        <f t="shared" si="3"/>
        <v>582</v>
      </c>
      <c r="O58" s="2" t="s">
        <v>215</v>
      </c>
      <c r="P58" s="1"/>
      <c r="Q58" s="1">
        <v>6.58</v>
      </c>
      <c r="R58" s="1" t="s">
        <v>44</v>
      </c>
      <c r="S58" s="30" t="s">
        <v>145</v>
      </c>
      <c r="T58" s="31" t="s">
        <v>215</v>
      </c>
      <c r="U58" s="1"/>
      <c r="V58" s="1">
        <v>250</v>
      </c>
      <c r="W58" s="1" t="s">
        <v>216</v>
      </c>
      <c r="X58" s="44" t="s">
        <v>217</v>
      </c>
      <c r="Y58" s="43" t="s">
        <v>218</v>
      </c>
      <c r="Z58" s="2" t="s">
        <v>215</v>
      </c>
      <c r="AA58" s="1"/>
      <c r="AB58" s="1"/>
      <c r="AC58" s="1"/>
      <c r="AD58" s="1"/>
      <c r="AE58" s="1"/>
      <c r="AF58" s="1"/>
      <c r="AG58" s="1"/>
      <c r="AH58" s="1"/>
      <c r="AI58" s="1"/>
      <c r="AJ58" s="1"/>
      <c r="AK58" s="1"/>
      <c r="AL58" s="1"/>
      <c r="AM58" s="1"/>
      <c r="AN58" s="1"/>
      <c r="AO58" s="1"/>
      <c r="AP58" s="1"/>
      <c r="AQ58" s="1"/>
      <c r="AR58" s="1"/>
      <c r="AS58" s="1"/>
      <c r="AT58" s="1"/>
      <c r="AU58" s="1"/>
      <c r="AV58" s="1">
        <f>SUM($AT58,Z58:$AA58)-SUM($AV$5:AV$5)*$J58-SUM($AV$6:AV$6)*$K58</f>
        <v>0</v>
      </c>
      <c r="AW58" s="1">
        <f>SUM($AT58,$AA58:AA58)-SUM($AV$5:AW$5)*$J58-SUM($AV$6:AW$6)*$K58</f>
        <v>0</v>
      </c>
      <c r="AX58" s="1">
        <f>SUM($AT58,$AA58:AB58)-SUM($AV$5:AX$5)*$J58-SUM($AV$6:AX$6)*$K58</f>
        <v>0</v>
      </c>
      <c r="AY58" s="1">
        <f>SUM($AT58,$AA58:AC58)-SUM($AV$5:AY$5)*$J58-SUM($AV$6:AY$6)*$K58</f>
        <v>0</v>
      </c>
      <c r="AZ58" s="1">
        <f>SUM($AT58,$AA58:AD58)-SUM($AV$5:AZ$5)*$J58-SUM($AV$6:AZ$6)*$K58</f>
        <v>-40</v>
      </c>
      <c r="BA58" s="1">
        <f>SUM($AT58,$AA58:AE58)-SUM($AV$5:BA$5)*$J58-SUM($AV$6:BA$6)*$K58</f>
        <v>-80</v>
      </c>
      <c r="BB58" s="1">
        <f>SUM($AT58,$AA58:AF58)-SUM($AV$5:BB$5)*$J58-SUM($AV$6:BB$6)*$K58</f>
        <v>-120</v>
      </c>
      <c r="BC58" s="1">
        <f>SUM($AT58,$AA58:AG58)-SUM($AV$5:BC$5)*$J58-SUM($AV$6:BC$6)*$K58</f>
        <v>-160</v>
      </c>
      <c r="BD58" s="1">
        <f>SUM($AT58,$AA58:AH58)-SUM($AV$5:BD$5)*$J58-SUM($AV$6:BD$6)*$K58</f>
        <v>-200</v>
      </c>
      <c r="BE58" s="1">
        <f>SUM($AT58,$AA58:AI58)-SUM($AV$5:BE$5)*$J58-SUM($AV$6:BE$6)*$K58</f>
        <v>-240</v>
      </c>
      <c r="BF58" s="1">
        <f>SUM($AT58,$AA58:AJ58)-SUM($AV$5:BF$5)*$J58-SUM($AV$6:BF$6)*$K58</f>
        <v>-280</v>
      </c>
      <c r="BG58" s="1">
        <f>SUM($AT58,$AA58:AK58)-SUM($AV$5:BG$5)*$J58-SUM($AV$6:BG$6)*$K58</f>
        <v>-320</v>
      </c>
      <c r="BH58" s="1">
        <f>SUM($AT58,$AA58:AL58)-SUM($AV$5:BH$5)*$J58-SUM($AV$6:BH$6)*$K58</f>
        <v>-360</v>
      </c>
      <c r="BI58" s="1">
        <f>SUM($AT58,$AA58:AM58)-SUM($AV$5:BI$5)*$J58-SUM($AV$6:BI$6)*$K58</f>
        <v>-400</v>
      </c>
      <c r="BJ58" s="1">
        <f>SUM($AT58,$AA58:AN58)-SUM($AV$5:BJ$5)*$J58-SUM($AV$6:BJ$6)*$K58</f>
        <v>-440</v>
      </c>
      <c r="BK58" s="1">
        <f>SUM($AT58,$AA58:AO58)-SUM($AV$5:BK$5)*$J58-SUM($AV$6:BK$6)*$K58</f>
        <v>-480</v>
      </c>
      <c r="BL58" s="1">
        <f>SUM($AT58,$AA58:AP58)-SUM($AV$5:BL$5)*$J58-SUM($AV$6:BL$6)*$K58</f>
        <v>-520</v>
      </c>
      <c r="BM58" s="1">
        <f>SUM($AT58,$AA58:AQ58)-SUM($AV$5:BM$5)*$J58-SUM($AV$6:BM$6)*$K58</f>
        <v>-560</v>
      </c>
      <c r="BN58" s="1">
        <f>SUM($AT58,$AA58:AR58)-SUM($AV$5:BN$5)*$J58-SUM($AV$6:BN$6)*$K58</f>
        <v>-582</v>
      </c>
    </row>
    <row r="59" spans="1:66">
      <c r="A59" s="1">
        <v>429</v>
      </c>
      <c r="B59" s="28" t="s">
        <v>247</v>
      </c>
      <c r="C59" s="1" t="s">
        <v>176</v>
      </c>
      <c r="D59" s="2">
        <v>400551730</v>
      </c>
      <c r="E59" s="3" t="s">
        <v>248</v>
      </c>
      <c r="F59" s="1">
        <v>409960253</v>
      </c>
      <c r="G59" s="1" t="s">
        <v>42</v>
      </c>
      <c r="H59" s="1">
        <v>2</v>
      </c>
      <c r="I59" s="1">
        <v>1</v>
      </c>
      <c r="J59" s="1">
        <v>1</v>
      </c>
      <c r="K59" s="1">
        <v>0</v>
      </c>
      <c r="L59" s="1">
        <v>0</v>
      </c>
      <c r="M59" s="1">
        <f t="shared" si="2"/>
        <v>582</v>
      </c>
      <c r="N59" s="1">
        <f t="shared" si="3"/>
        <v>582</v>
      </c>
      <c r="O59" s="2" t="s">
        <v>215</v>
      </c>
      <c r="P59" s="1"/>
      <c r="Q59" s="1">
        <v>0.75</v>
      </c>
      <c r="R59" s="1" t="s">
        <v>44</v>
      </c>
      <c r="S59" s="30" t="s">
        <v>145</v>
      </c>
      <c r="T59" s="31" t="s">
        <v>215</v>
      </c>
      <c r="U59" s="1"/>
      <c r="V59" s="1">
        <v>2000</v>
      </c>
      <c r="W59" s="1" t="s">
        <v>216</v>
      </c>
      <c r="X59" s="44" t="s">
        <v>217</v>
      </c>
      <c r="Y59" s="43" t="s">
        <v>218</v>
      </c>
      <c r="Z59" s="2" t="s">
        <v>215</v>
      </c>
      <c r="AA59" s="1"/>
      <c r="AB59" s="1"/>
      <c r="AC59" s="1"/>
      <c r="AD59" s="1"/>
      <c r="AE59" s="1"/>
      <c r="AF59" s="1"/>
      <c r="AG59" s="1"/>
      <c r="AH59" s="1"/>
      <c r="AI59" s="1"/>
      <c r="AJ59" s="1"/>
      <c r="AK59" s="1"/>
      <c r="AL59" s="1"/>
      <c r="AM59" s="1"/>
      <c r="AN59" s="1"/>
      <c r="AO59" s="1"/>
      <c r="AP59" s="1"/>
      <c r="AQ59" s="1"/>
      <c r="AR59" s="1"/>
      <c r="AS59" s="1"/>
      <c r="AT59" s="1"/>
      <c r="AU59" s="1"/>
      <c r="AV59" s="1">
        <f>SUM($AT59,Z59:$AA59)-SUM($AV$5:AV$5)*$J59-SUM($AV$6:AV$6)*$K59</f>
        <v>0</v>
      </c>
      <c r="AW59" s="1">
        <f>SUM($AT59,$AA59:AA59)-SUM($AV$5:AW$5)*$J59-SUM($AV$6:AW$6)*$K59</f>
        <v>0</v>
      </c>
      <c r="AX59" s="1">
        <f>SUM($AT59,$AA59:AB59)-SUM($AV$5:AX$5)*$J59-SUM($AV$6:AX$6)*$K59</f>
        <v>0</v>
      </c>
      <c r="AY59" s="1">
        <f>SUM($AT59,$AA59:AC59)-SUM($AV$5:AY$5)*$J59-SUM($AV$6:AY$6)*$K59</f>
        <v>0</v>
      </c>
      <c r="AZ59" s="1">
        <f>SUM($AT59,$AA59:AD59)-SUM($AV$5:AZ$5)*$J59-SUM($AV$6:AZ$6)*$K59</f>
        <v>-40</v>
      </c>
      <c r="BA59" s="1">
        <f>SUM($AT59,$AA59:AE59)-SUM($AV$5:BA$5)*$J59-SUM($AV$6:BA$6)*$K59</f>
        <v>-80</v>
      </c>
      <c r="BB59" s="1">
        <f>SUM($AT59,$AA59:AF59)-SUM($AV$5:BB$5)*$J59-SUM($AV$6:BB$6)*$K59</f>
        <v>-120</v>
      </c>
      <c r="BC59" s="1">
        <f>SUM($AT59,$AA59:AG59)-SUM($AV$5:BC$5)*$J59-SUM($AV$6:BC$6)*$K59</f>
        <v>-160</v>
      </c>
      <c r="BD59" s="1">
        <f>SUM($AT59,$AA59:AH59)-SUM($AV$5:BD$5)*$J59-SUM($AV$6:BD$6)*$K59</f>
        <v>-200</v>
      </c>
      <c r="BE59" s="1">
        <f>SUM($AT59,$AA59:AI59)-SUM($AV$5:BE$5)*$J59-SUM($AV$6:BE$6)*$K59</f>
        <v>-240</v>
      </c>
      <c r="BF59" s="1">
        <f>SUM($AT59,$AA59:AJ59)-SUM($AV$5:BF$5)*$J59-SUM($AV$6:BF$6)*$K59</f>
        <v>-280</v>
      </c>
      <c r="BG59" s="1">
        <f>SUM($AT59,$AA59:AK59)-SUM($AV$5:BG$5)*$J59-SUM($AV$6:BG$6)*$K59</f>
        <v>-320</v>
      </c>
      <c r="BH59" s="1">
        <f>SUM($AT59,$AA59:AL59)-SUM($AV$5:BH$5)*$J59-SUM($AV$6:BH$6)*$K59</f>
        <v>-360</v>
      </c>
      <c r="BI59" s="1">
        <f>SUM($AT59,$AA59:AM59)-SUM($AV$5:BI$5)*$J59-SUM($AV$6:BI$6)*$K59</f>
        <v>-400</v>
      </c>
      <c r="BJ59" s="1">
        <f>SUM($AT59,$AA59:AN59)-SUM($AV$5:BJ$5)*$J59-SUM($AV$6:BJ$6)*$K59</f>
        <v>-440</v>
      </c>
      <c r="BK59" s="1">
        <f>SUM($AT59,$AA59:AO59)-SUM($AV$5:BK$5)*$J59-SUM($AV$6:BK$6)*$K59</f>
        <v>-480</v>
      </c>
      <c r="BL59" s="1">
        <f>SUM($AT59,$AA59:AP59)-SUM($AV$5:BL$5)*$J59-SUM($AV$6:BL$6)*$K59</f>
        <v>-520</v>
      </c>
      <c r="BM59" s="1">
        <f>SUM($AT59,$AA59:AQ59)-SUM($AV$5:BM$5)*$J59-SUM($AV$6:BM$6)*$K59</f>
        <v>-560</v>
      </c>
      <c r="BN59" s="1">
        <f>SUM($AT59,$AA59:AR59)-SUM($AV$5:BN$5)*$J59-SUM($AV$6:BN$6)*$K59</f>
        <v>-582</v>
      </c>
    </row>
    <row r="60" spans="1:66">
      <c r="A60" s="34">
        <v>56</v>
      </c>
      <c r="B60" s="35" t="s">
        <v>249</v>
      </c>
      <c r="C60" s="34" t="s">
        <v>40</v>
      </c>
      <c r="D60" s="29">
        <v>411078889</v>
      </c>
      <c r="E60" s="36" t="s">
        <v>250</v>
      </c>
      <c r="F60" s="34">
        <v>411078904</v>
      </c>
      <c r="G60" s="34" t="s">
        <v>42</v>
      </c>
      <c r="H60" s="34">
        <v>1</v>
      </c>
      <c r="I60" s="34">
        <v>1</v>
      </c>
      <c r="J60" s="34">
        <v>1</v>
      </c>
      <c r="K60" s="34">
        <v>0</v>
      </c>
      <c r="L60" s="34">
        <v>0</v>
      </c>
      <c r="M60" s="34">
        <f t="shared" si="2"/>
        <v>582</v>
      </c>
      <c r="N60" s="1">
        <f t="shared" si="3"/>
        <v>582</v>
      </c>
      <c r="O60" s="37" t="s">
        <v>160</v>
      </c>
      <c r="P60" s="1"/>
      <c r="Q60" s="34"/>
      <c r="R60" s="1"/>
      <c r="S60" s="38"/>
      <c r="T60" s="39"/>
      <c r="U60" s="34"/>
      <c r="V60" s="34"/>
      <c r="W60" s="34"/>
      <c r="X60" s="40"/>
      <c r="Y60" s="34"/>
      <c r="Z60" s="29" t="s">
        <v>160</v>
      </c>
      <c r="AA60" s="34"/>
      <c r="AB60" s="34"/>
      <c r="AC60" s="34"/>
      <c r="AD60" s="34"/>
      <c r="AE60" s="34"/>
      <c r="AF60" s="34"/>
      <c r="AG60" s="34"/>
      <c r="AH60" s="34"/>
      <c r="AI60" s="34"/>
      <c r="AJ60" s="34"/>
      <c r="AK60" s="34"/>
      <c r="AL60" s="34"/>
      <c r="AM60" s="34"/>
      <c r="AN60" s="34"/>
      <c r="AO60" s="34"/>
      <c r="AP60" s="34"/>
      <c r="AQ60" s="34"/>
      <c r="AR60" s="34"/>
      <c r="AS60" s="34"/>
      <c r="AT60" s="34"/>
      <c r="AU60" s="34"/>
      <c r="AV60" s="1">
        <f>SUM($AT60,Z60:$AA60)-SUM($AV$5:AV$5)*$J60-SUM($AV$6:AV$6)*$K60</f>
        <v>0</v>
      </c>
      <c r="AW60" s="1">
        <f>SUM($AT60,$AA60:AA60)-SUM($AV$5:AW$5)*$J60-SUM($AV$6:AW$6)*$K60</f>
        <v>0</v>
      </c>
      <c r="AX60" s="1">
        <f>SUM($AT60,$AA60:AB60)-SUM($AV$5:AX$5)*$J60-SUM($AV$6:AX$6)*$K60</f>
        <v>0</v>
      </c>
      <c r="AY60" s="1">
        <f>SUM($AT60,$AA60:AC60)-SUM($AV$5:AY$5)*$J60-SUM($AV$6:AY$6)*$K60</f>
        <v>0</v>
      </c>
      <c r="AZ60" s="1">
        <f>SUM($AT60,$AA60:AD60)-SUM($AV$5:AZ$5)*$J60-SUM($AV$6:AZ$6)*$K60</f>
        <v>-40</v>
      </c>
      <c r="BA60" s="1">
        <f>SUM($AT60,$AA60:AE60)-SUM($AV$5:BA$5)*$J60-SUM($AV$6:BA$6)*$K60</f>
        <v>-80</v>
      </c>
      <c r="BB60" s="1">
        <f>SUM($AT60,$AA60:AF60)-SUM($AV$5:BB$5)*$J60-SUM($AV$6:BB$6)*$K60</f>
        <v>-120</v>
      </c>
      <c r="BC60" s="1">
        <f>SUM($AT60,$AA60:AG60)-SUM($AV$5:BC$5)*$J60-SUM($AV$6:BC$6)*$K60</f>
        <v>-160</v>
      </c>
      <c r="BD60" s="1">
        <f>SUM($AT60,$AA60:AH60)-SUM($AV$5:BD$5)*$J60-SUM($AV$6:BD$6)*$K60</f>
        <v>-200</v>
      </c>
      <c r="BE60" s="1">
        <f>SUM($AT60,$AA60:AI60)-SUM($AV$5:BE$5)*$J60-SUM($AV$6:BE$6)*$K60</f>
        <v>-240</v>
      </c>
      <c r="BF60" s="1">
        <f>SUM($AT60,$AA60:AJ60)-SUM($AV$5:BF$5)*$J60-SUM($AV$6:BF$6)*$K60</f>
        <v>-280</v>
      </c>
      <c r="BG60" s="1">
        <f>SUM($AT60,$AA60:AK60)-SUM($AV$5:BG$5)*$J60-SUM($AV$6:BG$6)*$K60</f>
        <v>-320</v>
      </c>
      <c r="BH60" s="1">
        <f>SUM($AT60,$AA60:AL60)-SUM($AV$5:BH$5)*$J60-SUM($AV$6:BH$6)*$K60</f>
        <v>-360</v>
      </c>
      <c r="BI60" s="1">
        <f>SUM($AT60,$AA60:AM60)-SUM($AV$5:BI$5)*$J60-SUM($AV$6:BI$6)*$K60</f>
        <v>-400</v>
      </c>
      <c r="BJ60" s="1">
        <f>SUM($AT60,$AA60:AN60)-SUM($AV$5:BJ$5)*$J60-SUM($AV$6:BJ$6)*$K60</f>
        <v>-440</v>
      </c>
      <c r="BK60" s="1">
        <f>SUM($AT60,$AA60:AO60)-SUM($AV$5:BK$5)*$J60-SUM($AV$6:BK$6)*$K60</f>
        <v>-480</v>
      </c>
      <c r="BL60" s="1">
        <f>SUM($AT60,$AA60:AP60)-SUM($AV$5:BL$5)*$J60-SUM($AV$6:BL$6)*$K60</f>
        <v>-520</v>
      </c>
      <c r="BM60" s="1">
        <f>SUM($AT60,$AA60:AQ60)-SUM($AV$5:BM$5)*$J60-SUM($AV$6:BM$6)*$K60</f>
        <v>-560</v>
      </c>
      <c r="BN60" s="1">
        <f>SUM($AT60,$AA60:AR60)-SUM($AV$5:BN$5)*$J60-SUM($AV$6:BN$6)*$K60</f>
        <v>-582</v>
      </c>
    </row>
    <row r="61" spans="1:66">
      <c r="A61" s="1">
        <v>60</v>
      </c>
      <c r="B61" s="28" t="s">
        <v>251</v>
      </c>
      <c r="C61" s="1" t="s">
        <v>40</v>
      </c>
      <c r="D61" s="2">
        <v>417531783</v>
      </c>
      <c r="E61" s="3" t="s">
        <v>252</v>
      </c>
      <c r="F61" s="1">
        <v>400481171</v>
      </c>
      <c r="G61" s="1" t="s">
        <v>42</v>
      </c>
      <c r="H61" s="1">
        <v>2</v>
      </c>
      <c r="I61" s="1">
        <v>2</v>
      </c>
      <c r="J61" s="1">
        <v>2</v>
      </c>
      <c r="K61" s="1">
        <v>0</v>
      </c>
      <c r="L61" s="1">
        <v>0</v>
      </c>
      <c r="M61" s="1">
        <f t="shared" si="2"/>
        <v>1164</v>
      </c>
      <c r="N61" s="1">
        <f t="shared" si="3"/>
        <v>1164</v>
      </c>
      <c r="O61" s="2" t="s">
        <v>253</v>
      </c>
      <c r="P61" s="1"/>
      <c r="Q61" s="1">
        <v>0.09</v>
      </c>
      <c r="R61" s="1" t="s">
        <v>44</v>
      </c>
      <c r="S61" s="30" t="s">
        <v>8</v>
      </c>
      <c r="T61" s="31" t="s">
        <v>238</v>
      </c>
      <c r="U61" s="1"/>
      <c r="V61" s="1">
        <v>2000</v>
      </c>
      <c r="W61" s="1" t="s">
        <v>239</v>
      </c>
      <c r="X61" s="32" t="s">
        <v>240</v>
      </c>
      <c r="Y61" s="1" t="s">
        <v>241</v>
      </c>
      <c r="Z61" s="2" t="s">
        <v>242</v>
      </c>
      <c r="AA61" s="1"/>
      <c r="AB61" s="1"/>
      <c r="AC61" s="1"/>
      <c r="AD61" s="1"/>
      <c r="AE61" s="1"/>
      <c r="AF61" s="1"/>
      <c r="AG61" s="1"/>
      <c r="AH61" s="1"/>
      <c r="AI61" s="1"/>
      <c r="AJ61" s="1"/>
      <c r="AK61" s="1"/>
      <c r="AL61" s="1"/>
      <c r="AM61" s="1"/>
      <c r="AN61" s="1"/>
      <c r="AO61" s="1"/>
      <c r="AP61" s="1"/>
      <c r="AQ61" s="1"/>
      <c r="AR61" s="1"/>
      <c r="AS61" s="1"/>
      <c r="AT61" s="1"/>
      <c r="AU61" s="1"/>
      <c r="AV61" s="1">
        <f>SUM($AT61,Z61:$AA61)-SUM($AV$5:AV$5)*$J61-SUM($AV$6:AV$6)*$K61</f>
        <v>0</v>
      </c>
      <c r="AW61" s="1">
        <f>SUM($AT61,$AA61:AA61)-SUM($AV$5:AW$5)*$J61-SUM($AV$6:AW$6)*$K61</f>
        <v>0</v>
      </c>
      <c r="AX61" s="1">
        <f>SUM($AT61,$AA61:AB61)-SUM($AV$5:AX$5)*$J61-SUM($AV$6:AX$6)*$K61</f>
        <v>0</v>
      </c>
      <c r="AY61" s="1">
        <f>SUM($AT61,$AA61:AC61)-SUM($AV$5:AY$5)*$J61-SUM($AV$6:AY$6)*$K61</f>
        <v>0</v>
      </c>
      <c r="AZ61" s="1">
        <f>SUM($AT61,$AA61:AD61)-SUM($AV$5:AZ$5)*$J61-SUM($AV$6:AZ$6)*$K61</f>
        <v>-80</v>
      </c>
      <c r="BA61" s="1">
        <f>SUM($AT61,$AA61:AE61)-SUM($AV$5:BA$5)*$J61-SUM($AV$6:BA$6)*$K61</f>
        <v>-160</v>
      </c>
      <c r="BB61" s="1">
        <f>SUM($AT61,$AA61:AF61)-SUM($AV$5:BB$5)*$J61-SUM($AV$6:BB$6)*$K61</f>
        <v>-240</v>
      </c>
      <c r="BC61" s="1">
        <f>SUM($AT61,$AA61:AG61)-SUM($AV$5:BC$5)*$J61-SUM($AV$6:BC$6)*$K61</f>
        <v>-320</v>
      </c>
      <c r="BD61" s="1">
        <f>SUM($AT61,$AA61:AH61)-SUM($AV$5:BD$5)*$J61-SUM($AV$6:BD$6)*$K61</f>
        <v>-400</v>
      </c>
      <c r="BE61" s="1">
        <f>SUM($AT61,$AA61:AI61)-SUM($AV$5:BE$5)*$J61-SUM($AV$6:BE$6)*$K61</f>
        <v>-480</v>
      </c>
      <c r="BF61" s="1">
        <f>SUM($AT61,$AA61:AJ61)-SUM($AV$5:BF$5)*$J61-SUM($AV$6:BF$6)*$K61</f>
        <v>-560</v>
      </c>
      <c r="BG61" s="1">
        <f>SUM($AT61,$AA61:AK61)-SUM($AV$5:BG$5)*$J61-SUM($AV$6:BG$6)*$K61</f>
        <v>-640</v>
      </c>
      <c r="BH61" s="1">
        <f>SUM($AT61,$AA61:AL61)-SUM($AV$5:BH$5)*$J61-SUM($AV$6:BH$6)*$K61</f>
        <v>-720</v>
      </c>
      <c r="BI61" s="1">
        <f>SUM($AT61,$AA61:AM61)-SUM($AV$5:BI$5)*$J61-SUM($AV$6:BI$6)*$K61</f>
        <v>-800</v>
      </c>
      <c r="BJ61" s="1">
        <f>SUM($AT61,$AA61:AN61)-SUM($AV$5:BJ$5)*$J61-SUM($AV$6:BJ$6)*$K61</f>
        <v>-880</v>
      </c>
      <c r="BK61" s="1">
        <f>SUM($AT61,$AA61:AO61)-SUM($AV$5:BK$5)*$J61-SUM($AV$6:BK$6)*$K61</f>
        <v>-960</v>
      </c>
      <c r="BL61" s="1">
        <f>SUM($AT61,$AA61:AP61)-SUM($AV$5:BL$5)*$J61-SUM($AV$6:BL$6)*$K61</f>
        <v>-1040</v>
      </c>
      <c r="BM61" s="1">
        <f>SUM($AT61,$AA61:AQ61)-SUM($AV$5:BM$5)*$J61-SUM($AV$6:BM$6)*$K61</f>
        <v>-1120</v>
      </c>
      <c r="BN61" s="1">
        <f>SUM($AT61,$AA61:AR61)-SUM($AV$5:BN$5)*$J61-SUM($AV$6:BN$6)*$K61</f>
        <v>-1164</v>
      </c>
    </row>
    <row r="62" spans="1:66">
      <c r="A62" s="1">
        <v>61</v>
      </c>
      <c r="B62" s="28" t="s">
        <v>254</v>
      </c>
      <c r="C62" s="1" t="s">
        <v>40</v>
      </c>
      <c r="D62" s="2">
        <v>417531779</v>
      </c>
      <c r="E62" s="3" t="s">
        <v>255</v>
      </c>
      <c r="F62" s="1">
        <v>400341461</v>
      </c>
      <c r="G62" s="1" t="s">
        <v>42</v>
      </c>
      <c r="H62" s="1">
        <v>2</v>
      </c>
      <c r="I62" s="1">
        <v>3</v>
      </c>
      <c r="J62" s="1">
        <v>3</v>
      </c>
      <c r="K62" s="1">
        <v>0</v>
      </c>
      <c r="L62" s="1">
        <v>0</v>
      </c>
      <c r="M62" s="1">
        <f t="shared" si="2"/>
        <v>1746</v>
      </c>
      <c r="N62" s="1">
        <f t="shared" si="3"/>
        <v>1746</v>
      </c>
      <c r="O62" s="2" t="s">
        <v>253</v>
      </c>
      <c r="P62" s="1"/>
      <c r="Q62" s="1">
        <v>0.35</v>
      </c>
      <c r="R62" s="1" t="s">
        <v>44</v>
      </c>
      <c r="S62" s="30" t="s">
        <v>62</v>
      </c>
      <c r="T62" s="31" t="s">
        <v>238</v>
      </c>
      <c r="U62" s="1"/>
      <c r="V62" s="1">
        <v>500</v>
      </c>
      <c r="W62" s="1" t="s">
        <v>239</v>
      </c>
      <c r="X62" s="32" t="s">
        <v>240</v>
      </c>
      <c r="Y62" s="1" t="s">
        <v>241</v>
      </c>
      <c r="Z62" s="2" t="s">
        <v>242</v>
      </c>
      <c r="AA62" s="1"/>
      <c r="AB62" s="1">
        <v>2000</v>
      </c>
      <c r="AC62" s="1"/>
      <c r="AD62" s="1"/>
      <c r="AE62" s="1"/>
      <c r="AF62" s="1"/>
      <c r="AG62" s="1"/>
      <c r="AH62" s="1"/>
      <c r="AI62" s="1"/>
      <c r="AJ62" s="1"/>
      <c r="AK62" s="1"/>
      <c r="AL62" s="1"/>
      <c r="AM62" s="1"/>
      <c r="AN62" s="1"/>
      <c r="AO62" s="1"/>
      <c r="AP62" s="1"/>
      <c r="AQ62" s="1"/>
      <c r="AR62" s="1"/>
      <c r="AS62" s="1"/>
      <c r="AT62" s="1"/>
      <c r="AU62" s="1"/>
      <c r="AV62" s="1">
        <f>SUM($AT62,Z62:$AA62)-SUM($AV$5:AV$5)*$J62-SUM($AV$6:AV$6)*$K62</f>
        <v>0</v>
      </c>
      <c r="AW62" s="1">
        <f>SUM($AT62,$AA62:AA62)-SUM($AV$5:AW$5)*$J62-SUM($AV$6:AW$6)*$K62</f>
        <v>0</v>
      </c>
      <c r="AX62" s="1">
        <f>SUM($AT62,$AA62:AB62)-SUM($AV$5:AX$5)*$J62-SUM($AV$6:AX$6)*$K62</f>
        <v>2000</v>
      </c>
      <c r="AY62" s="1">
        <f>SUM($AT62,$AA62:AC62)-SUM($AV$5:AY$5)*$J62-SUM($AV$6:AY$6)*$K62</f>
        <v>2000</v>
      </c>
      <c r="AZ62" s="1">
        <f>SUM($AT62,$AA62:AD62)-SUM($AV$5:AZ$5)*$J62-SUM($AV$6:AZ$6)*$K62</f>
        <v>1880</v>
      </c>
      <c r="BA62" s="1">
        <f>SUM($AT62,$AA62:AE62)-SUM($AV$5:BA$5)*$J62-SUM($AV$6:BA$6)*$K62</f>
        <v>1760</v>
      </c>
      <c r="BB62" s="1">
        <f>SUM($AT62,$AA62:AF62)-SUM($AV$5:BB$5)*$J62-SUM($AV$6:BB$6)*$K62</f>
        <v>1640</v>
      </c>
      <c r="BC62" s="1">
        <f>SUM($AT62,$AA62:AG62)-SUM($AV$5:BC$5)*$J62-SUM($AV$6:BC$6)*$K62</f>
        <v>1520</v>
      </c>
      <c r="BD62" s="1">
        <f>SUM($AT62,$AA62:AH62)-SUM($AV$5:BD$5)*$J62-SUM($AV$6:BD$6)*$K62</f>
        <v>1400</v>
      </c>
      <c r="BE62" s="1">
        <f>SUM($AT62,$AA62:AI62)-SUM($AV$5:BE$5)*$J62-SUM($AV$6:BE$6)*$K62</f>
        <v>1280</v>
      </c>
      <c r="BF62" s="1">
        <f>SUM($AT62,$AA62:AJ62)-SUM($AV$5:BF$5)*$J62-SUM($AV$6:BF$6)*$K62</f>
        <v>1160</v>
      </c>
      <c r="BG62" s="1">
        <f>SUM($AT62,$AA62:AK62)-SUM($AV$5:BG$5)*$J62-SUM($AV$6:BG$6)*$K62</f>
        <v>1040</v>
      </c>
      <c r="BH62" s="1">
        <f>SUM($AT62,$AA62:AL62)-SUM($AV$5:BH$5)*$J62-SUM($AV$6:BH$6)*$K62</f>
        <v>920</v>
      </c>
      <c r="BI62" s="1">
        <f>SUM($AT62,$AA62:AM62)-SUM($AV$5:BI$5)*$J62-SUM($AV$6:BI$6)*$K62</f>
        <v>800</v>
      </c>
      <c r="BJ62" s="1">
        <f>SUM($AT62,$AA62:AN62)-SUM($AV$5:BJ$5)*$J62-SUM($AV$6:BJ$6)*$K62</f>
        <v>680</v>
      </c>
      <c r="BK62" s="1">
        <f>SUM($AT62,$AA62:AO62)-SUM($AV$5:BK$5)*$J62-SUM($AV$6:BK$6)*$K62</f>
        <v>560</v>
      </c>
      <c r="BL62" s="1">
        <f>SUM($AT62,$AA62:AP62)-SUM($AV$5:BL$5)*$J62-SUM($AV$6:BL$6)*$K62</f>
        <v>440</v>
      </c>
      <c r="BM62" s="1">
        <f>SUM($AT62,$AA62:AQ62)-SUM($AV$5:BM$5)*$J62-SUM($AV$6:BM$6)*$K62</f>
        <v>320</v>
      </c>
      <c r="BN62" s="1">
        <f>SUM($AT62,$AA62:AR62)-SUM($AV$5:BN$5)*$J62-SUM($AV$6:BN$6)*$K62</f>
        <v>254</v>
      </c>
    </row>
    <row r="63" spans="1:66">
      <c r="A63" s="1">
        <v>63</v>
      </c>
      <c r="B63" s="28" t="s">
        <v>256</v>
      </c>
      <c r="C63" s="1" t="s">
        <v>40</v>
      </c>
      <c r="D63" s="2" t="s">
        <v>257</v>
      </c>
      <c r="E63" s="3" t="s">
        <v>258</v>
      </c>
      <c r="F63" s="1">
        <v>400393295</v>
      </c>
      <c r="G63" s="1" t="s">
        <v>42</v>
      </c>
      <c r="H63" s="1">
        <v>2</v>
      </c>
      <c r="I63" s="1">
        <v>100</v>
      </c>
      <c r="J63" s="1">
        <v>100</v>
      </c>
      <c r="K63" s="1">
        <v>0</v>
      </c>
      <c r="L63" s="1">
        <v>0</v>
      </c>
      <c r="M63" s="1">
        <f t="shared" si="2"/>
        <v>58200</v>
      </c>
      <c r="N63" s="1">
        <f t="shared" si="3"/>
        <v>58200</v>
      </c>
      <c r="O63" s="2" t="s">
        <v>259</v>
      </c>
      <c r="P63" s="1"/>
      <c r="Q63" s="1">
        <v>0.72</v>
      </c>
      <c r="R63" s="1" t="s">
        <v>44</v>
      </c>
      <c r="S63" s="30" t="s">
        <v>260</v>
      </c>
      <c r="T63" s="31" t="s">
        <v>55</v>
      </c>
      <c r="U63" s="1">
        <v>1</v>
      </c>
      <c r="V63" s="1">
        <v>1</v>
      </c>
      <c r="W63" s="1" t="s">
        <v>56</v>
      </c>
      <c r="X63" s="32" t="s">
        <v>57</v>
      </c>
      <c r="Y63" s="1" t="s">
        <v>58</v>
      </c>
      <c r="Z63" s="2" t="s">
        <v>259</v>
      </c>
      <c r="AA63" s="1"/>
      <c r="AB63" s="1"/>
      <c r="AC63" s="1"/>
      <c r="AD63" s="1"/>
      <c r="AE63" s="1"/>
      <c r="AF63" s="1"/>
      <c r="AG63" s="1"/>
      <c r="AH63" s="1"/>
      <c r="AI63" s="1"/>
      <c r="AJ63" s="1"/>
      <c r="AK63" s="1"/>
      <c r="AL63" s="1"/>
      <c r="AM63" s="1"/>
      <c r="AN63" s="1"/>
      <c r="AO63" s="1"/>
      <c r="AP63" s="1"/>
      <c r="AQ63" s="1"/>
      <c r="AR63" s="1"/>
      <c r="AS63" s="1"/>
      <c r="AT63" s="1"/>
      <c r="AU63" s="1"/>
      <c r="AV63" s="1">
        <f>SUM($AT63,Z63:$AA63)-SUM($AV$5:AV$5)*$J63-SUM($AV$6:AV$6)*$K63</f>
        <v>0</v>
      </c>
      <c r="AW63" s="1">
        <f>SUM($AT63,$AA63:AA63)-SUM($AV$5:AW$5)*$J63-SUM($AV$6:AW$6)*$K63</f>
        <v>0</v>
      </c>
      <c r="AX63" s="1">
        <f>SUM($AT63,$AA63:AB63)-SUM($AV$5:AX$5)*$J63-SUM($AV$6:AX$6)*$K63</f>
        <v>0</v>
      </c>
      <c r="AY63" s="1">
        <f>SUM($AT63,$AA63:AC63)-SUM($AV$5:AY$5)*$J63-SUM($AV$6:AY$6)*$K63</f>
        <v>0</v>
      </c>
      <c r="AZ63" s="1">
        <f>SUM($AT63,$AA63:AD63)-SUM($AV$5:AZ$5)*$J63-SUM($AV$6:AZ$6)*$K63</f>
        <v>-4000</v>
      </c>
      <c r="BA63" s="1">
        <f>SUM($AT63,$AA63:AE63)-SUM($AV$5:BA$5)*$J63-SUM($AV$6:BA$6)*$K63</f>
        <v>-8000</v>
      </c>
      <c r="BB63" s="1">
        <f>SUM($AT63,$AA63:AF63)-SUM($AV$5:BB$5)*$J63-SUM($AV$6:BB$6)*$K63</f>
        <v>-12000</v>
      </c>
      <c r="BC63" s="1">
        <f>SUM($AT63,$AA63:AG63)-SUM($AV$5:BC$5)*$J63-SUM($AV$6:BC$6)*$K63</f>
        <v>-16000</v>
      </c>
      <c r="BD63" s="1">
        <f>SUM($AT63,$AA63:AH63)-SUM($AV$5:BD$5)*$J63-SUM($AV$6:BD$6)*$K63</f>
        <v>-20000</v>
      </c>
      <c r="BE63" s="1">
        <f>SUM($AT63,$AA63:AI63)-SUM($AV$5:BE$5)*$J63-SUM($AV$6:BE$6)*$K63</f>
        <v>-24000</v>
      </c>
      <c r="BF63" s="1">
        <f>SUM($AT63,$AA63:AJ63)-SUM($AV$5:BF$5)*$J63-SUM($AV$6:BF$6)*$K63</f>
        <v>-28000</v>
      </c>
      <c r="BG63" s="1">
        <f>SUM($AT63,$AA63:AK63)-SUM($AV$5:BG$5)*$J63-SUM($AV$6:BG$6)*$K63</f>
        <v>-32000</v>
      </c>
      <c r="BH63" s="1">
        <f>SUM($AT63,$AA63:AL63)-SUM($AV$5:BH$5)*$J63-SUM($AV$6:BH$6)*$K63</f>
        <v>-36000</v>
      </c>
      <c r="BI63" s="1">
        <f>SUM($AT63,$AA63:AM63)-SUM($AV$5:BI$5)*$J63-SUM($AV$6:BI$6)*$K63</f>
        <v>-40000</v>
      </c>
      <c r="BJ63" s="1">
        <f>SUM($AT63,$AA63:AN63)-SUM($AV$5:BJ$5)*$J63-SUM($AV$6:BJ$6)*$K63</f>
        <v>-44000</v>
      </c>
      <c r="BK63" s="1">
        <f>SUM($AT63,$AA63:AO63)-SUM($AV$5:BK$5)*$J63-SUM($AV$6:BK$6)*$K63</f>
        <v>-48000</v>
      </c>
      <c r="BL63" s="1">
        <f>SUM($AT63,$AA63:AP63)-SUM($AV$5:BL$5)*$J63-SUM($AV$6:BL$6)*$K63</f>
        <v>-52000</v>
      </c>
      <c r="BM63" s="1">
        <f>SUM($AT63,$AA63:AQ63)-SUM($AV$5:BM$5)*$J63-SUM($AV$6:BM$6)*$K63</f>
        <v>-56000</v>
      </c>
      <c r="BN63" s="1">
        <f>SUM($AT63,$AA63:AR63)-SUM($AV$5:BN$5)*$J63-SUM($AV$6:BN$6)*$K63</f>
        <v>-58200</v>
      </c>
    </row>
    <row r="64" spans="1:66">
      <c r="A64" s="1">
        <v>64</v>
      </c>
      <c r="B64" s="28" t="s">
        <v>261</v>
      </c>
      <c r="C64" s="1" t="s">
        <v>40</v>
      </c>
      <c r="D64" s="2">
        <v>405935860</v>
      </c>
      <c r="E64" s="3" t="s">
        <v>262</v>
      </c>
      <c r="F64" s="1"/>
      <c r="G64" s="1" t="s">
        <v>42</v>
      </c>
      <c r="H64" s="1">
        <v>2</v>
      </c>
      <c r="I64" s="1">
        <v>1</v>
      </c>
      <c r="J64" s="1">
        <v>1</v>
      </c>
      <c r="K64" s="1">
        <v>0</v>
      </c>
      <c r="L64" s="1">
        <v>0</v>
      </c>
      <c r="M64" s="1">
        <f t="shared" ref="M64:M94" si="4">SUMPRODUCT(J64:L64,$J$2:$L$2)</f>
        <v>582</v>
      </c>
      <c r="N64" s="1">
        <f t="shared" si="3"/>
        <v>582</v>
      </c>
      <c r="O64" s="2" t="s">
        <v>263</v>
      </c>
      <c r="P64" s="1"/>
      <c r="Q64" s="1">
        <v>14.64</v>
      </c>
      <c r="R64" s="1" t="s">
        <v>44</v>
      </c>
      <c r="S64" s="30" t="s">
        <v>264</v>
      </c>
      <c r="T64" s="31" t="s">
        <v>209</v>
      </c>
      <c r="U64" s="1">
        <v>720</v>
      </c>
      <c r="V64" s="1">
        <v>240</v>
      </c>
      <c r="W64" s="1" t="s">
        <v>210</v>
      </c>
      <c r="X64" s="32" t="s">
        <v>211</v>
      </c>
      <c r="Y64" s="1" t="s">
        <v>212</v>
      </c>
      <c r="Z64" s="2" t="s">
        <v>263</v>
      </c>
      <c r="AA64" s="1"/>
      <c r="AB64" s="1"/>
      <c r="AC64" s="1"/>
      <c r="AD64" s="1"/>
      <c r="AE64" s="1"/>
      <c r="AF64" s="1"/>
      <c r="AG64" s="1"/>
      <c r="AH64" s="1"/>
      <c r="AI64" s="1"/>
      <c r="AJ64" s="1"/>
      <c r="AK64" s="1"/>
      <c r="AL64" s="1"/>
      <c r="AM64" s="1"/>
      <c r="AN64" s="1"/>
      <c r="AO64" s="1"/>
      <c r="AP64" s="1"/>
      <c r="AQ64" s="1"/>
      <c r="AR64" s="1"/>
      <c r="AS64" s="1"/>
      <c r="AT64" s="1"/>
      <c r="AU64" s="1"/>
      <c r="AV64" s="1">
        <f>SUM($AT64,Z64:$AA64)-SUM($AV$5:AV$5)*$J64-SUM($AV$6:AV$6)*$K64</f>
        <v>0</v>
      </c>
      <c r="AW64" s="1">
        <f>SUM($AT64,$AA64:AA64)-SUM($AV$5:AW$5)*$J64-SUM($AV$6:AW$6)*$K64</f>
        <v>0</v>
      </c>
      <c r="AX64" s="1">
        <f>SUM($AT64,$AA64:AB64)-SUM($AV$5:AX$5)*$J64-SUM($AV$6:AX$6)*$K64</f>
        <v>0</v>
      </c>
      <c r="AY64" s="1">
        <f>SUM($AT64,$AA64:AC64)-SUM($AV$5:AY$5)*$J64-SUM($AV$6:AY$6)*$K64</f>
        <v>0</v>
      </c>
      <c r="AZ64" s="1">
        <f>SUM($AT64,$AA64:AD64)-SUM($AV$5:AZ$5)*$J64-SUM($AV$6:AZ$6)*$K64</f>
        <v>-40</v>
      </c>
      <c r="BA64" s="1">
        <f>SUM($AT64,$AA64:AE64)-SUM($AV$5:BA$5)*$J64-SUM($AV$6:BA$6)*$K64</f>
        <v>-80</v>
      </c>
      <c r="BB64" s="1">
        <f>SUM($AT64,$AA64:AF64)-SUM($AV$5:BB$5)*$J64-SUM($AV$6:BB$6)*$K64</f>
        <v>-120</v>
      </c>
      <c r="BC64" s="1">
        <f>SUM($AT64,$AA64:AG64)-SUM($AV$5:BC$5)*$J64-SUM($AV$6:BC$6)*$K64</f>
        <v>-160</v>
      </c>
      <c r="BD64" s="1">
        <f>SUM($AT64,$AA64:AH64)-SUM($AV$5:BD$5)*$J64-SUM($AV$6:BD$6)*$K64</f>
        <v>-200</v>
      </c>
      <c r="BE64" s="1">
        <f>SUM($AT64,$AA64:AI64)-SUM($AV$5:BE$5)*$J64-SUM($AV$6:BE$6)*$K64</f>
        <v>-240</v>
      </c>
      <c r="BF64" s="1">
        <f>SUM($AT64,$AA64:AJ64)-SUM($AV$5:BF$5)*$J64-SUM($AV$6:BF$6)*$K64</f>
        <v>-280</v>
      </c>
      <c r="BG64" s="1">
        <f>SUM($AT64,$AA64:AK64)-SUM($AV$5:BG$5)*$J64-SUM($AV$6:BG$6)*$K64</f>
        <v>-320</v>
      </c>
      <c r="BH64" s="1">
        <f>SUM($AT64,$AA64:AL64)-SUM($AV$5:BH$5)*$J64-SUM($AV$6:BH$6)*$K64</f>
        <v>-360</v>
      </c>
      <c r="BI64" s="1">
        <f>SUM($AT64,$AA64:AM64)-SUM($AV$5:BI$5)*$J64-SUM($AV$6:BI$6)*$K64</f>
        <v>-400</v>
      </c>
      <c r="BJ64" s="1">
        <f>SUM($AT64,$AA64:AN64)-SUM($AV$5:BJ$5)*$J64-SUM($AV$6:BJ$6)*$K64</f>
        <v>-440</v>
      </c>
      <c r="BK64" s="1">
        <f>SUM($AT64,$AA64:AO64)-SUM($AV$5:BK$5)*$J64-SUM($AV$6:BK$6)*$K64</f>
        <v>-480</v>
      </c>
      <c r="BL64" s="1">
        <f>SUM($AT64,$AA64:AP64)-SUM($AV$5:BL$5)*$J64-SUM($AV$6:BL$6)*$K64</f>
        <v>-520</v>
      </c>
      <c r="BM64" s="1">
        <f>SUM($AT64,$AA64:AQ64)-SUM($AV$5:BM$5)*$J64-SUM($AV$6:BM$6)*$K64</f>
        <v>-560</v>
      </c>
      <c r="BN64" s="1">
        <f>SUM($AT64,$AA64:AR64)-SUM($AV$5:BN$5)*$J64-SUM($AV$6:BN$6)*$K64</f>
        <v>-582</v>
      </c>
    </row>
    <row r="65" spans="1:66">
      <c r="A65" s="1">
        <v>77</v>
      </c>
      <c r="B65" s="28" t="s">
        <v>265</v>
      </c>
      <c r="C65" s="1" t="s">
        <v>40</v>
      </c>
      <c r="D65" s="2">
        <v>405386622</v>
      </c>
      <c r="E65" s="3" t="s">
        <v>266</v>
      </c>
      <c r="F65" s="1">
        <v>410773158</v>
      </c>
      <c r="G65" s="1" t="s">
        <v>42</v>
      </c>
      <c r="H65" s="1">
        <v>2</v>
      </c>
      <c r="I65" s="1">
        <v>6</v>
      </c>
      <c r="J65" s="1">
        <v>6</v>
      </c>
      <c r="K65" s="1">
        <v>0</v>
      </c>
      <c r="L65" s="1">
        <v>0</v>
      </c>
      <c r="M65" s="1">
        <f t="shared" si="4"/>
        <v>3492</v>
      </c>
      <c r="N65" s="1">
        <f t="shared" si="3"/>
        <v>3492</v>
      </c>
      <c r="O65" s="2" t="s">
        <v>123</v>
      </c>
      <c r="P65" s="1"/>
      <c r="Q65" s="1">
        <v>0.69</v>
      </c>
      <c r="R65" s="1" t="s">
        <v>44</v>
      </c>
      <c r="S65" s="30" t="s">
        <v>111</v>
      </c>
      <c r="T65" s="31" t="s">
        <v>46</v>
      </c>
      <c r="U65" s="1">
        <v>500</v>
      </c>
      <c r="V65" s="1">
        <v>500</v>
      </c>
      <c r="W65" s="1" t="s">
        <v>47</v>
      </c>
      <c r="X65" s="32" t="s">
        <v>48</v>
      </c>
      <c r="Y65" s="1" t="s">
        <v>49</v>
      </c>
      <c r="Z65" s="2" t="s">
        <v>53</v>
      </c>
      <c r="AA65" s="1"/>
      <c r="AB65" s="1"/>
      <c r="AC65" s="1"/>
      <c r="AD65" s="1"/>
      <c r="AE65" s="1"/>
      <c r="AF65" s="1"/>
      <c r="AG65" s="1"/>
      <c r="AH65" s="1"/>
      <c r="AI65" s="1"/>
      <c r="AJ65" s="1"/>
      <c r="AK65" s="1"/>
      <c r="AL65" s="1"/>
      <c r="AM65" s="1"/>
      <c r="AN65" s="1"/>
      <c r="AO65" s="1"/>
      <c r="AP65" s="1"/>
      <c r="AQ65" s="1"/>
      <c r="AR65" s="1"/>
      <c r="AS65" s="1"/>
      <c r="AT65" s="1"/>
      <c r="AU65" s="1"/>
      <c r="AV65" s="1">
        <f>SUM($AT65,Z65:$AA65)-SUM($AV$5:AV$5)*$J65-SUM($AV$6:AV$6)*$K65</f>
        <v>0</v>
      </c>
      <c r="AW65" s="1">
        <f>SUM($AT65,$AA65:AA65)-SUM($AV$5:AW$5)*$J65-SUM($AV$6:AW$6)*$K65</f>
        <v>0</v>
      </c>
      <c r="AX65" s="1">
        <f>SUM($AT65,$AA65:AB65)-SUM($AV$5:AX$5)*$J65-SUM($AV$6:AX$6)*$K65</f>
        <v>0</v>
      </c>
      <c r="AY65" s="1">
        <f>SUM($AT65,$AA65:AC65)-SUM($AV$5:AY$5)*$J65-SUM($AV$6:AY$6)*$K65</f>
        <v>0</v>
      </c>
      <c r="AZ65" s="1">
        <f>SUM($AT65,$AA65:AD65)-SUM($AV$5:AZ$5)*$J65-SUM($AV$6:AZ$6)*$K65</f>
        <v>-240</v>
      </c>
      <c r="BA65" s="1">
        <f>SUM($AT65,$AA65:AE65)-SUM($AV$5:BA$5)*$J65-SUM($AV$6:BA$6)*$K65</f>
        <v>-480</v>
      </c>
      <c r="BB65" s="1">
        <f>SUM($AT65,$AA65:AF65)-SUM($AV$5:BB$5)*$J65-SUM($AV$6:BB$6)*$K65</f>
        <v>-720</v>
      </c>
      <c r="BC65" s="1">
        <f>SUM($AT65,$AA65:AG65)-SUM($AV$5:BC$5)*$J65-SUM($AV$6:BC$6)*$K65</f>
        <v>-960</v>
      </c>
      <c r="BD65" s="1">
        <f>SUM($AT65,$AA65:AH65)-SUM($AV$5:BD$5)*$J65-SUM($AV$6:BD$6)*$K65</f>
        <v>-1200</v>
      </c>
      <c r="BE65" s="1">
        <f>SUM($AT65,$AA65:AI65)-SUM($AV$5:BE$5)*$J65-SUM($AV$6:BE$6)*$K65</f>
        <v>-1440</v>
      </c>
      <c r="BF65" s="1">
        <f>SUM($AT65,$AA65:AJ65)-SUM($AV$5:BF$5)*$J65-SUM($AV$6:BF$6)*$K65</f>
        <v>-1680</v>
      </c>
      <c r="BG65" s="1">
        <f>SUM($AT65,$AA65:AK65)-SUM($AV$5:BG$5)*$J65-SUM($AV$6:BG$6)*$K65</f>
        <v>-1920</v>
      </c>
      <c r="BH65" s="1">
        <f>SUM($AT65,$AA65:AL65)-SUM($AV$5:BH$5)*$J65-SUM($AV$6:BH$6)*$K65</f>
        <v>-2160</v>
      </c>
      <c r="BI65" s="1">
        <f>SUM($AT65,$AA65:AM65)-SUM($AV$5:BI$5)*$J65-SUM($AV$6:BI$6)*$K65</f>
        <v>-2400</v>
      </c>
      <c r="BJ65" s="1">
        <f>SUM($AT65,$AA65:AN65)-SUM($AV$5:BJ$5)*$J65-SUM($AV$6:BJ$6)*$K65</f>
        <v>-2640</v>
      </c>
      <c r="BK65" s="1">
        <f>SUM($AT65,$AA65:AO65)-SUM($AV$5:BK$5)*$J65-SUM($AV$6:BK$6)*$K65</f>
        <v>-2880</v>
      </c>
      <c r="BL65" s="1">
        <f>SUM($AT65,$AA65:AP65)-SUM($AV$5:BL$5)*$J65-SUM($AV$6:BL$6)*$K65</f>
        <v>-3120</v>
      </c>
      <c r="BM65" s="1">
        <f>SUM($AT65,$AA65:AQ65)-SUM($AV$5:BM$5)*$J65-SUM($AV$6:BM$6)*$K65</f>
        <v>-3360</v>
      </c>
      <c r="BN65" s="1">
        <f>SUM($AT65,$AA65:AR65)-SUM($AV$5:BN$5)*$J65-SUM($AV$6:BN$6)*$K65</f>
        <v>-3492</v>
      </c>
    </row>
    <row r="66" spans="1:66">
      <c r="A66" s="1">
        <v>62</v>
      </c>
      <c r="B66" s="28">
        <v>298</v>
      </c>
      <c r="C66" s="1" t="s">
        <v>40</v>
      </c>
      <c r="D66" s="2" t="s">
        <v>267</v>
      </c>
      <c r="E66" s="3" t="s">
        <v>268</v>
      </c>
      <c r="F66" s="1" t="s">
        <v>269</v>
      </c>
      <c r="G66" s="1" t="s">
        <v>270</v>
      </c>
      <c r="H66" s="1">
        <v>2</v>
      </c>
      <c r="I66" s="1">
        <v>0.1</v>
      </c>
      <c r="J66" s="1">
        <v>0.1</v>
      </c>
      <c r="K66" s="1">
        <v>0</v>
      </c>
      <c r="L66" s="1">
        <v>0</v>
      </c>
      <c r="M66" s="1">
        <f t="shared" si="4"/>
        <v>58.2</v>
      </c>
      <c r="N66" s="1">
        <f t="shared" si="3"/>
        <v>58.2</v>
      </c>
      <c r="O66" s="2" t="s">
        <v>271</v>
      </c>
      <c r="P66" s="1"/>
      <c r="Q66" s="1">
        <v>2</v>
      </c>
      <c r="R66" s="1" t="s">
        <v>44</v>
      </c>
      <c r="S66" s="30" t="s">
        <v>272</v>
      </c>
      <c r="T66" s="31" t="s">
        <v>273</v>
      </c>
      <c r="U66" s="1">
        <v>1</v>
      </c>
      <c r="V66" s="1">
        <v>1</v>
      </c>
      <c r="W66" s="1" t="s">
        <v>274</v>
      </c>
      <c r="X66" s="33" t="s">
        <v>275</v>
      </c>
      <c r="Y66" s="1" t="s">
        <v>276</v>
      </c>
      <c r="Z66" s="2" t="s">
        <v>271</v>
      </c>
      <c r="AA66" s="1"/>
      <c r="AB66" s="1"/>
      <c r="AC66" s="1"/>
      <c r="AD66" s="1"/>
      <c r="AE66" s="1"/>
      <c r="AF66" s="1"/>
      <c r="AG66" s="1"/>
      <c r="AH66" s="1"/>
      <c r="AI66" s="1"/>
      <c r="AJ66" s="1"/>
      <c r="AK66" s="1"/>
      <c r="AL66" s="1"/>
      <c r="AM66" s="1"/>
      <c r="AN66" s="1"/>
      <c r="AO66" s="1"/>
      <c r="AP66" s="1"/>
      <c r="AQ66" s="1"/>
      <c r="AR66" s="1"/>
      <c r="AS66" s="1"/>
      <c r="AT66" s="1"/>
      <c r="AU66" s="1"/>
      <c r="AV66" s="1">
        <f>SUM($AT66,Z66:$AA66)-SUM($AV$5:AV$5)*$J66-SUM($AV$6:AV$6)*$K66</f>
        <v>0</v>
      </c>
      <c r="AW66" s="1">
        <f>SUM($AT66,$AA66:AA66)-SUM($AV$5:AW$5)*$J66-SUM($AV$6:AW$6)*$K66</f>
        <v>0</v>
      </c>
      <c r="AX66" s="1">
        <f>SUM($AT66,$AA66:AB66)-SUM($AV$5:AX$5)*$J66-SUM($AV$6:AX$6)*$K66</f>
        <v>0</v>
      </c>
      <c r="AY66" s="1">
        <f>SUM($AT66,$AA66:AC66)-SUM($AV$5:AY$5)*$J66-SUM($AV$6:AY$6)*$K66</f>
        <v>0</v>
      </c>
      <c r="AZ66" s="1">
        <f>SUM($AT66,$AA66:AD66)-SUM($AV$5:AZ$5)*$J66-SUM($AV$6:AZ$6)*$K66</f>
        <v>-4</v>
      </c>
      <c r="BA66" s="1">
        <f>SUM($AT66,$AA66:AE66)-SUM($AV$5:BA$5)*$J66-SUM($AV$6:BA$6)*$K66</f>
        <v>-8</v>
      </c>
      <c r="BB66" s="1">
        <f>SUM($AT66,$AA66:AF66)-SUM($AV$5:BB$5)*$J66-SUM($AV$6:BB$6)*$K66</f>
        <v>-12</v>
      </c>
      <c r="BC66" s="1">
        <f>SUM($AT66,$AA66:AG66)-SUM($AV$5:BC$5)*$J66-SUM($AV$6:BC$6)*$K66</f>
        <v>-16</v>
      </c>
      <c r="BD66" s="1">
        <f>SUM($AT66,$AA66:AH66)-SUM($AV$5:BD$5)*$J66-SUM($AV$6:BD$6)*$K66</f>
        <v>-20</v>
      </c>
      <c r="BE66" s="1">
        <f>SUM($AT66,$AA66:AI66)-SUM($AV$5:BE$5)*$J66-SUM($AV$6:BE$6)*$K66</f>
        <v>-24</v>
      </c>
      <c r="BF66" s="1">
        <f>SUM($AT66,$AA66:AJ66)-SUM($AV$5:BF$5)*$J66-SUM($AV$6:BF$6)*$K66</f>
        <v>-28</v>
      </c>
      <c r="BG66" s="1">
        <f>SUM($AT66,$AA66:AK66)-SUM($AV$5:BG$5)*$J66-SUM($AV$6:BG$6)*$K66</f>
        <v>-32</v>
      </c>
      <c r="BH66" s="1">
        <f>SUM($AT66,$AA66:AL66)-SUM($AV$5:BH$5)*$J66-SUM($AV$6:BH$6)*$K66</f>
        <v>-36</v>
      </c>
      <c r="BI66" s="1">
        <f>SUM($AT66,$AA66:AM66)-SUM($AV$5:BI$5)*$J66-SUM($AV$6:BI$6)*$K66</f>
        <v>-40</v>
      </c>
      <c r="BJ66" s="1">
        <f>SUM($AT66,$AA66:AN66)-SUM($AV$5:BJ$5)*$J66-SUM($AV$6:BJ$6)*$K66</f>
        <v>-44</v>
      </c>
      <c r="BK66" s="1">
        <f>SUM($AT66,$AA66:AO66)-SUM($AV$5:BK$5)*$J66-SUM($AV$6:BK$6)*$K66</f>
        <v>-48</v>
      </c>
      <c r="BL66" s="1">
        <f>SUM($AT66,$AA66:AP66)-SUM($AV$5:BL$5)*$J66-SUM($AV$6:BL$6)*$K66</f>
        <v>-52</v>
      </c>
      <c r="BM66" s="1">
        <f>SUM($AT66,$AA66:AQ66)-SUM($AV$5:BM$5)*$J66-SUM($AV$6:BM$6)*$K66</f>
        <v>-56</v>
      </c>
      <c r="BN66" s="1">
        <f>SUM($AT66,$AA66:AR66)-SUM($AV$5:BN$5)*$J66-SUM($AV$6:BN$6)*$K66</f>
        <v>-58.2</v>
      </c>
    </row>
    <row r="67" spans="1:66">
      <c r="A67" s="1">
        <v>78</v>
      </c>
      <c r="B67" s="28" t="s">
        <v>277</v>
      </c>
      <c r="C67" s="1" t="s">
        <v>40</v>
      </c>
      <c r="D67" s="2">
        <v>405706434</v>
      </c>
      <c r="E67" s="3" t="s">
        <v>278</v>
      </c>
      <c r="F67" s="1">
        <v>410726726</v>
      </c>
      <c r="G67" s="1" t="s">
        <v>42</v>
      </c>
      <c r="H67" s="1">
        <v>2</v>
      </c>
      <c r="I67" s="1">
        <v>1</v>
      </c>
      <c r="J67" s="1">
        <v>1</v>
      </c>
      <c r="K67" s="1">
        <v>0</v>
      </c>
      <c r="L67" s="1">
        <v>0</v>
      </c>
      <c r="M67" s="1">
        <f t="shared" si="4"/>
        <v>582</v>
      </c>
      <c r="N67" s="1">
        <f t="shared" si="3"/>
        <v>582</v>
      </c>
      <c r="O67" s="2" t="s">
        <v>123</v>
      </c>
      <c r="P67" s="1"/>
      <c r="Q67" s="1">
        <v>0.81</v>
      </c>
      <c r="R67" s="1" t="s">
        <v>44</v>
      </c>
      <c r="S67" s="30" t="s">
        <v>111</v>
      </c>
      <c r="T67" s="31" t="s">
        <v>46</v>
      </c>
      <c r="U67" s="1">
        <v>500</v>
      </c>
      <c r="V67" s="1">
        <v>500</v>
      </c>
      <c r="W67" s="1" t="s">
        <v>47</v>
      </c>
      <c r="X67" s="32" t="s">
        <v>48</v>
      </c>
      <c r="Y67" s="1" t="s">
        <v>49</v>
      </c>
      <c r="Z67" s="2" t="s">
        <v>53</v>
      </c>
      <c r="AA67" s="1"/>
      <c r="AB67" s="1"/>
      <c r="AC67" s="1"/>
      <c r="AD67" s="1"/>
      <c r="AE67" s="1"/>
      <c r="AF67" s="1"/>
      <c r="AG67" s="1"/>
      <c r="AH67" s="1"/>
      <c r="AI67" s="1"/>
      <c r="AJ67" s="1"/>
      <c r="AK67" s="1"/>
      <c r="AL67" s="1"/>
      <c r="AM67" s="1"/>
      <c r="AN67" s="1"/>
      <c r="AO67" s="1"/>
      <c r="AP67" s="1"/>
      <c r="AQ67" s="1"/>
      <c r="AR67" s="1"/>
      <c r="AS67" s="1"/>
      <c r="AT67" s="1"/>
      <c r="AU67" s="1"/>
      <c r="AV67" s="1">
        <f>SUM($AT67,Z67:$AA67)-SUM($AV$5:AV$5)*$J67-SUM($AV$6:AV$6)*$K67</f>
        <v>0</v>
      </c>
      <c r="AW67" s="1">
        <f>SUM($AT67,$AA67:AA67)-SUM($AV$5:AW$5)*$J67-SUM($AV$6:AW$6)*$K67</f>
        <v>0</v>
      </c>
      <c r="AX67" s="1">
        <f>SUM($AT67,$AA67:AB67)-SUM($AV$5:AX$5)*$J67-SUM($AV$6:AX$6)*$K67</f>
        <v>0</v>
      </c>
      <c r="AY67" s="1">
        <f>SUM($AT67,$AA67:AC67)-SUM($AV$5:AY$5)*$J67-SUM($AV$6:AY$6)*$K67</f>
        <v>0</v>
      </c>
      <c r="AZ67" s="1">
        <f>SUM($AT67,$AA67:AD67)-SUM($AV$5:AZ$5)*$J67-SUM($AV$6:AZ$6)*$K67</f>
        <v>-40</v>
      </c>
      <c r="BA67" s="1">
        <f>SUM($AT67,$AA67:AE67)-SUM($AV$5:BA$5)*$J67-SUM($AV$6:BA$6)*$K67</f>
        <v>-80</v>
      </c>
      <c r="BB67" s="1">
        <f>SUM($AT67,$AA67:AF67)-SUM($AV$5:BB$5)*$J67-SUM($AV$6:BB$6)*$K67</f>
        <v>-120</v>
      </c>
      <c r="BC67" s="1">
        <f>SUM($AT67,$AA67:AG67)-SUM($AV$5:BC$5)*$J67-SUM($AV$6:BC$6)*$K67</f>
        <v>-160</v>
      </c>
      <c r="BD67" s="1">
        <f>SUM($AT67,$AA67:AH67)-SUM($AV$5:BD$5)*$J67-SUM($AV$6:BD$6)*$K67</f>
        <v>-200</v>
      </c>
      <c r="BE67" s="1">
        <f>SUM($AT67,$AA67:AI67)-SUM($AV$5:BE$5)*$J67-SUM($AV$6:BE$6)*$K67</f>
        <v>-240</v>
      </c>
      <c r="BF67" s="1">
        <f>SUM($AT67,$AA67:AJ67)-SUM($AV$5:BF$5)*$J67-SUM($AV$6:BF$6)*$K67</f>
        <v>-280</v>
      </c>
      <c r="BG67" s="1">
        <f>SUM($AT67,$AA67:AK67)-SUM($AV$5:BG$5)*$J67-SUM($AV$6:BG$6)*$K67</f>
        <v>-320</v>
      </c>
      <c r="BH67" s="1">
        <f>SUM($AT67,$AA67:AL67)-SUM($AV$5:BH$5)*$J67-SUM($AV$6:BH$6)*$K67</f>
        <v>-360</v>
      </c>
      <c r="BI67" s="1">
        <f>SUM($AT67,$AA67:AM67)-SUM($AV$5:BI$5)*$J67-SUM($AV$6:BI$6)*$K67</f>
        <v>-400</v>
      </c>
      <c r="BJ67" s="1">
        <f>SUM($AT67,$AA67:AN67)-SUM($AV$5:BJ$5)*$J67-SUM($AV$6:BJ$6)*$K67</f>
        <v>-440</v>
      </c>
      <c r="BK67" s="1">
        <f>SUM($AT67,$AA67:AO67)-SUM($AV$5:BK$5)*$J67-SUM($AV$6:BK$6)*$K67</f>
        <v>-480</v>
      </c>
      <c r="BL67" s="1">
        <f>SUM($AT67,$AA67:AP67)-SUM($AV$5:BL$5)*$J67-SUM($AV$6:BL$6)*$K67</f>
        <v>-520</v>
      </c>
      <c r="BM67" s="1">
        <f>SUM($AT67,$AA67:AQ67)-SUM($AV$5:BM$5)*$J67-SUM($AV$6:BM$6)*$K67</f>
        <v>-560</v>
      </c>
      <c r="BN67" s="1">
        <f>SUM($AT67,$AA67:AR67)-SUM($AV$5:BN$5)*$J67-SUM($AV$6:BN$6)*$K67</f>
        <v>-582</v>
      </c>
    </row>
    <row r="68" spans="1:66">
      <c r="A68" s="1">
        <v>79</v>
      </c>
      <c r="B68" s="28" t="s">
        <v>279</v>
      </c>
      <c r="C68" s="1" t="s">
        <v>40</v>
      </c>
      <c r="D68" s="2">
        <v>404285313</v>
      </c>
      <c r="E68" s="3" t="s">
        <v>280</v>
      </c>
      <c r="F68" s="1">
        <v>410670821</v>
      </c>
      <c r="G68" s="1" t="s">
        <v>42</v>
      </c>
      <c r="H68" s="1">
        <v>2</v>
      </c>
      <c r="I68" s="1">
        <v>32</v>
      </c>
      <c r="J68" s="1">
        <v>32</v>
      </c>
      <c r="K68" s="1">
        <v>0</v>
      </c>
      <c r="L68" s="1">
        <v>0</v>
      </c>
      <c r="M68" s="1">
        <f t="shared" si="4"/>
        <v>18624</v>
      </c>
      <c r="N68" s="1">
        <f t="shared" si="3"/>
        <v>18624</v>
      </c>
      <c r="O68" s="2" t="s">
        <v>53</v>
      </c>
      <c r="P68" s="1"/>
      <c r="Q68" s="1">
        <v>0.79</v>
      </c>
      <c r="R68" s="1" t="s">
        <v>44</v>
      </c>
      <c r="S68" s="30" t="s">
        <v>111</v>
      </c>
      <c r="T68" s="31" t="s">
        <v>46</v>
      </c>
      <c r="U68" s="1">
        <v>500</v>
      </c>
      <c r="V68" s="1">
        <v>500</v>
      </c>
      <c r="W68" s="1" t="s">
        <v>47</v>
      </c>
      <c r="X68" s="32" t="s">
        <v>48</v>
      </c>
      <c r="Y68" s="1" t="s">
        <v>49</v>
      </c>
      <c r="Z68" s="2" t="s">
        <v>53</v>
      </c>
      <c r="AA68" s="1"/>
      <c r="AB68" s="1"/>
      <c r="AC68" s="1"/>
      <c r="AD68" s="1"/>
      <c r="AE68" s="1"/>
      <c r="AF68" s="1"/>
      <c r="AG68" s="1"/>
      <c r="AH68" s="1"/>
      <c r="AI68" s="1"/>
      <c r="AJ68" s="1"/>
      <c r="AK68" s="1"/>
      <c r="AL68" s="1"/>
      <c r="AM68" s="1"/>
      <c r="AN68" s="1"/>
      <c r="AO68" s="1"/>
      <c r="AP68" s="1"/>
      <c r="AQ68" s="1"/>
      <c r="AR68" s="1"/>
      <c r="AS68" s="1"/>
      <c r="AT68" s="1"/>
      <c r="AU68" s="1"/>
      <c r="AV68" s="1">
        <f>SUM($AT68,Z68:$AA68)-SUM($AV$5:AV$5)*$J68-SUM($AV$6:AV$6)*$K68</f>
        <v>0</v>
      </c>
      <c r="AW68" s="1">
        <f>SUM($AT68,$AA68:AA68)-SUM($AV$5:AW$5)*$J68-SUM($AV$6:AW$6)*$K68</f>
        <v>0</v>
      </c>
      <c r="AX68" s="1">
        <f>SUM($AT68,$AA68:AB68)-SUM($AV$5:AX$5)*$J68-SUM($AV$6:AX$6)*$K68</f>
        <v>0</v>
      </c>
      <c r="AY68" s="1">
        <f>SUM($AT68,$AA68:AC68)-SUM($AV$5:AY$5)*$J68-SUM($AV$6:AY$6)*$K68</f>
        <v>0</v>
      </c>
      <c r="AZ68" s="1">
        <f>SUM($AT68,$AA68:AD68)-SUM($AV$5:AZ$5)*$J68-SUM($AV$6:AZ$6)*$K68</f>
        <v>-1280</v>
      </c>
      <c r="BA68" s="1">
        <f>SUM($AT68,$AA68:AE68)-SUM($AV$5:BA$5)*$J68-SUM($AV$6:BA$6)*$K68</f>
        <v>-2560</v>
      </c>
      <c r="BB68" s="1">
        <f>SUM($AT68,$AA68:AF68)-SUM($AV$5:BB$5)*$J68-SUM($AV$6:BB$6)*$K68</f>
        <v>-3840</v>
      </c>
      <c r="BC68" s="1">
        <f>SUM($AT68,$AA68:AG68)-SUM($AV$5:BC$5)*$J68-SUM($AV$6:BC$6)*$K68</f>
        <v>-5120</v>
      </c>
      <c r="BD68" s="1">
        <f>SUM($AT68,$AA68:AH68)-SUM($AV$5:BD$5)*$J68-SUM($AV$6:BD$6)*$K68</f>
        <v>-6400</v>
      </c>
      <c r="BE68" s="1">
        <f>SUM($AT68,$AA68:AI68)-SUM($AV$5:BE$5)*$J68-SUM($AV$6:BE$6)*$K68</f>
        <v>-7680</v>
      </c>
      <c r="BF68" s="1">
        <f>SUM($AT68,$AA68:AJ68)-SUM($AV$5:BF$5)*$J68-SUM($AV$6:BF$6)*$K68</f>
        <v>-8960</v>
      </c>
      <c r="BG68" s="1">
        <f>SUM($AT68,$AA68:AK68)-SUM($AV$5:BG$5)*$J68-SUM($AV$6:BG$6)*$K68</f>
        <v>-10240</v>
      </c>
      <c r="BH68" s="1">
        <f>SUM($AT68,$AA68:AL68)-SUM($AV$5:BH$5)*$J68-SUM($AV$6:BH$6)*$K68</f>
        <v>-11520</v>
      </c>
      <c r="BI68" s="1">
        <f>SUM($AT68,$AA68:AM68)-SUM($AV$5:BI$5)*$J68-SUM($AV$6:BI$6)*$K68</f>
        <v>-12800</v>
      </c>
      <c r="BJ68" s="1">
        <f>SUM($AT68,$AA68:AN68)-SUM($AV$5:BJ$5)*$J68-SUM($AV$6:BJ$6)*$K68</f>
        <v>-14080</v>
      </c>
      <c r="BK68" s="1">
        <f>SUM($AT68,$AA68:AO68)-SUM($AV$5:BK$5)*$J68-SUM($AV$6:BK$6)*$K68</f>
        <v>-15360</v>
      </c>
      <c r="BL68" s="1">
        <f>SUM($AT68,$AA68:AP68)-SUM($AV$5:BL$5)*$J68-SUM($AV$6:BL$6)*$K68</f>
        <v>-16640</v>
      </c>
      <c r="BM68" s="1">
        <f>SUM($AT68,$AA68:AQ68)-SUM($AV$5:BM$5)*$J68-SUM($AV$6:BM$6)*$K68</f>
        <v>-17920</v>
      </c>
      <c r="BN68" s="1">
        <f>SUM($AT68,$AA68:AR68)-SUM($AV$5:BN$5)*$J68-SUM($AV$6:BN$6)*$K68</f>
        <v>-18624</v>
      </c>
    </row>
    <row r="69" spans="1:66">
      <c r="A69" s="1">
        <v>80</v>
      </c>
      <c r="B69" s="28" t="s">
        <v>281</v>
      </c>
      <c r="C69" s="1" t="s">
        <v>40</v>
      </c>
      <c r="D69" s="2">
        <v>417983156</v>
      </c>
      <c r="E69" s="3" t="s">
        <v>282</v>
      </c>
      <c r="F69" s="1">
        <v>403844509</v>
      </c>
      <c r="G69" s="1" t="s">
        <v>42</v>
      </c>
      <c r="H69" s="1">
        <v>2</v>
      </c>
      <c r="I69" s="1">
        <v>112</v>
      </c>
      <c r="J69" s="1">
        <v>112</v>
      </c>
      <c r="K69" s="1">
        <v>0</v>
      </c>
      <c r="L69" s="1">
        <v>0</v>
      </c>
      <c r="M69" s="1">
        <f t="shared" si="4"/>
        <v>65184</v>
      </c>
      <c r="N69" s="1">
        <f t="shared" si="3"/>
        <v>65184</v>
      </c>
      <c r="O69" s="2" t="s">
        <v>123</v>
      </c>
      <c r="P69" s="1"/>
      <c r="Q69" s="1">
        <v>0.69</v>
      </c>
      <c r="R69" s="1" t="s">
        <v>44</v>
      </c>
      <c r="S69" s="30" t="s">
        <v>111</v>
      </c>
      <c r="T69" s="31" t="s">
        <v>46</v>
      </c>
      <c r="U69" s="1">
        <v>500</v>
      </c>
      <c r="V69" s="1">
        <v>500</v>
      </c>
      <c r="W69" s="1" t="s">
        <v>47</v>
      </c>
      <c r="X69" s="32" t="s">
        <v>48</v>
      </c>
      <c r="Y69" s="1" t="s">
        <v>49</v>
      </c>
      <c r="Z69" s="2" t="s">
        <v>53</v>
      </c>
      <c r="AA69" s="1"/>
      <c r="AB69" s="1"/>
      <c r="AC69" s="1"/>
      <c r="AD69" s="1"/>
      <c r="AE69" s="1"/>
      <c r="AF69" s="1"/>
      <c r="AG69" s="1"/>
      <c r="AH69" s="1"/>
      <c r="AI69" s="1"/>
      <c r="AJ69" s="1"/>
      <c r="AK69" s="1"/>
      <c r="AL69" s="1"/>
      <c r="AM69" s="1"/>
      <c r="AN69" s="1"/>
      <c r="AO69" s="1"/>
      <c r="AP69" s="1"/>
      <c r="AQ69" s="1"/>
      <c r="AR69" s="1"/>
      <c r="AS69" s="1"/>
      <c r="AT69" s="1"/>
      <c r="AU69" s="1"/>
      <c r="AV69" s="1">
        <f>SUM($AT69,Z69:$AA69)-SUM($AV$5:AV$5)*$J69-SUM($AV$6:AV$6)*$K69</f>
        <v>0</v>
      </c>
      <c r="AW69" s="1">
        <f>SUM($AT69,$AA69:AA69)-SUM($AV$5:AW$5)*$J69-SUM($AV$6:AW$6)*$K69</f>
        <v>0</v>
      </c>
      <c r="AX69" s="1">
        <f>SUM($AT69,$AA69:AB69)-SUM($AV$5:AX$5)*$J69-SUM($AV$6:AX$6)*$K69</f>
        <v>0</v>
      </c>
      <c r="AY69" s="1">
        <f>SUM($AT69,$AA69:AC69)-SUM($AV$5:AY$5)*$J69-SUM($AV$6:AY$6)*$K69</f>
        <v>0</v>
      </c>
      <c r="AZ69" s="1">
        <f>SUM($AT69,$AA69:AD69)-SUM($AV$5:AZ$5)*$J69-SUM($AV$6:AZ$6)*$K69</f>
        <v>-4480</v>
      </c>
      <c r="BA69" s="1">
        <f>SUM($AT69,$AA69:AE69)-SUM($AV$5:BA$5)*$J69-SUM($AV$6:BA$6)*$K69</f>
        <v>-8960</v>
      </c>
      <c r="BB69" s="1">
        <f>SUM($AT69,$AA69:AF69)-SUM($AV$5:BB$5)*$J69-SUM($AV$6:BB$6)*$K69</f>
        <v>-13440</v>
      </c>
      <c r="BC69" s="1">
        <f>SUM($AT69,$AA69:AG69)-SUM($AV$5:BC$5)*$J69-SUM($AV$6:BC$6)*$K69</f>
        <v>-17920</v>
      </c>
      <c r="BD69" s="1">
        <f>SUM($AT69,$AA69:AH69)-SUM($AV$5:BD$5)*$J69-SUM($AV$6:BD$6)*$K69</f>
        <v>-22400</v>
      </c>
      <c r="BE69" s="1">
        <f>SUM($AT69,$AA69:AI69)-SUM($AV$5:BE$5)*$J69-SUM($AV$6:BE$6)*$K69</f>
        <v>-26880</v>
      </c>
      <c r="BF69" s="1">
        <f>SUM($AT69,$AA69:AJ69)-SUM($AV$5:BF$5)*$J69-SUM($AV$6:BF$6)*$K69</f>
        <v>-31360</v>
      </c>
      <c r="BG69" s="1">
        <f>SUM($AT69,$AA69:AK69)-SUM($AV$5:BG$5)*$J69-SUM($AV$6:BG$6)*$K69</f>
        <v>-35840</v>
      </c>
      <c r="BH69" s="1">
        <f>SUM($AT69,$AA69:AL69)-SUM($AV$5:BH$5)*$J69-SUM($AV$6:BH$6)*$K69</f>
        <v>-40320</v>
      </c>
      <c r="BI69" s="1">
        <f>SUM($AT69,$AA69:AM69)-SUM($AV$5:BI$5)*$J69-SUM($AV$6:BI$6)*$K69</f>
        <v>-44800</v>
      </c>
      <c r="BJ69" s="1">
        <f>SUM($AT69,$AA69:AN69)-SUM($AV$5:BJ$5)*$J69-SUM($AV$6:BJ$6)*$K69</f>
        <v>-49280</v>
      </c>
      <c r="BK69" s="1">
        <f>SUM($AT69,$AA69:AO69)-SUM($AV$5:BK$5)*$J69-SUM($AV$6:BK$6)*$K69</f>
        <v>-53760</v>
      </c>
      <c r="BL69" s="1">
        <f>SUM($AT69,$AA69:AP69)-SUM($AV$5:BL$5)*$J69-SUM($AV$6:BL$6)*$K69</f>
        <v>-58240</v>
      </c>
      <c r="BM69" s="1">
        <f>SUM($AT69,$AA69:AQ69)-SUM($AV$5:BM$5)*$J69-SUM($AV$6:BM$6)*$K69</f>
        <v>-62720</v>
      </c>
      <c r="BN69" s="1">
        <f>SUM($AT69,$AA69:AR69)-SUM($AV$5:BN$5)*$J69-SUM($AV$6:BN$6)*$K69</f>
        <v>-65184</v>
      </c>
    </row>
    <row r="70" spans="1:66">
      <c r="A70" s="1">
        <v>71</v>
      </c>
      <c r="B70" s="28" t="s">
        <v>283</v>
      </c>
      <c r="C70" s="1" t="s">
        <v>40</v>
      </c>
      <c r="D70" s="2">
        <v>400611371</v>
      </c>
      <c r="E70" s="3" t="s">
        <v>284</v>
      </c>
      <c r="F70" s="1"/>
      <c r="G70" s="1" t="s">
        <v>42</v>
      </c>
      <c r="H70" s="1">
        <v>2</v>
      </c>
      <c r="I70" s="1">
        <v>6</v>
      </c>
      <c r="J70" s="1">
        <v>0</v>
      </c>
      <c r="K70" s="1">
        <v>0</v>
      </c>
      <c r="L70" s="1">
        <v>6</v>
      </c>
      <c r="M70" s="1">
        <f t="shared" si="4"/>
        <v>1656</v>
      </c>
      <c r="N70" s="1">
        <f t="shared" si="3"/>
        <v>1656</v>
      </c>
      <c r="O70" s="2" t="s">
        <v>237</v>
      </c>
      <c r="P70" s="1"/>
      <c r="Q70" s="1">
        <v>3.95</v>
      </c>
      <c r="R70" s="1" t="s">
        <v>44</v>
      </c>
      <c r="S70" s="30" t="s">
        <v>285</v>
      </c>
      <c r="T70" s="31" t="s">
        <v>238</v>
      </c>
      <c r="U70" s="1">
        <v>600</v>
      </c>
      <c r="V70" s="1">
        <v>600</v>
      </c>
      <c r="W70" s="1" t="s">
        <v>239</v>
      </c>
      <c r="X70" s="33" t="s">
        <v>286</v>
      </c>
      <c r="Y70" s="1" t="s">
        <v>241</v>
      </c>
      <c r="Z70" s="2" t="s">
        <v>242</v>
      </c>
      <c r="AA70" s="1"/>
      <c r="AB70" s="1"/>
      <c r="AC70" s="1"/>
      <c r="AD70" s="1"/>
      <c r="AE70" s="1">
        <v>1800</v>
      </c>
      <c r="AF70" s="1"/>
      <c r="AG70" s="1"/>
      <c r="AH70" s="1"/>
      <c r="AI70" s="1"/>
      <c r="AJ70" s="1"/>
      <c r="AK70" s="1"/>
      <c r="AL70" s="1"/>
      <c r="AM70" s="1"/>
      <c r="AN70" s="1"/>
      <c r="AO70" s="1"/>
      <c r="AP70" s="1"/>
      <c r="AQ70" s="1"/>
      <c r="AR70" s="1"/>
      <c r="AS70" s="1"/>
      <c r="AT70" s="1"/>
      <c r="AU70" s="1"/>
      <c r="AV70" s="1">
        <f>SUM($AT70,Z70:$AA70)-SUM($AV$5:AV$5)*$J70-SUM($AV$6:AV$6)*$K70</f>
        <v>0</v>
      </c>
      <c r="AW70" s="1">
        <f>SUM($AT70,$AA70:AA70)-SUM($AV$5:AW$5)*$J70-SUM($AV$6:AW$6)*$K70</f>
        <v>0</v>
      </c>
      <c r="AX70" s="1">
        <f>SUM($AT70,$AA70:AB70)-SUM($AV$5:AX$5)*$J70-SUM($AV$6:AX$6)*$K70</f>
        <v>0</v>
      </c>
      <c r="AY70" s="1">
        <f>SUM($AT70,$AA70:AC70)-SUM($AV$5:AY$5)*$J70-SUM($AV$6:AY$6)*$K70</f>
        <v>0</v>
      </c>
      <c r="AZ70" s="1">
        <f>SUM($AT70,$AA70:AD70)-SUM($AV$5:AZ$5)*$J70-SUM($AV$6:AZ$6)*$K70</f>
        <v>0</v>
      </c>
      <c r="BA70" s="1">
        <f>SUM($AT70,$AA70:AE70)-SUM($AV$5:BA$5)*$J70-SUM($AV$6:BA$6)*$K70</f>
        <v>1800</v>
      </c>
      <c r="BB70" s="1">
        <f>SUM($AT70,$AA70:AF70)-SUM($AV$5:BB$5)*$J70-SUM($AV$6:BB$6)*$K70</f>
        <v>1800</v>
      </c>
      <c r="BC70" s="1">
        <f>SUM($AT70,$AA70:AG70)-SUM($AV$5:BC$5)*$J70-SUM($AV$6:BC$6)*$K70</f>
        <v>1800</v>
      </c>
      <c r="BD70" s="1">
        <f>SUM($AT70,$AA70:AH70)-SUM($AV$5:BD$5)*$J70-SUM($AV$6:BD$6)*$K70</f>
        <v>1800</v>
      </c>
      <c r="BE70" s="1">
        <f>SUM($AT70,$AA70:AI70)-SUM($AV$5:BE$5)*$J70-SUM($AV$6:BE$6)*$K70</f>
        <v>1800</v>
      </c>
      <c r="BF70" s="1">
        <f>SUM($AT70,$AA70:AJ70)-SUM($AV$5:BF$5)*$J70-SUM($AV$6:BF$6)*$K70</f>
        <v>1800</v>
      </c>
      <c r="BG70" s="1">
        <f>SUM($AT70,$AA70:AK70)-SUM($AV$5:BG$5)*$J70-SUM($AV$6:BG$6)*$K70</f>
        <v>1800</v>
      </c>
      <c r="BH70" s="1">
        <f>SUM($AT70,$AA70:AL70)-SUM($AV$5:BH$5)*$J70-SUM($AV$6:BH$6)*$K70</f>
        <v>1800</v>
      </c>
      <c r="BI70" s="1">
        <f>SUM($AT70,$AA70:AM70)-SUM($AV$5:BI$5)*$J70-SUM($AV$6:BI$6)*$K70</f>
        <v>1800</v>
      </c>
      <c r="BJ70" s="1">
        <f>SUM($AT70,$AA70:AN70)-SUM($AV$5:BJ$5)*$J70-SUM($AV$6:BJ$6)*$K70</f>
        <v>1800</v>
      </c>
      <c r="BK70" s="1">
        <f>SUM($AT70,$AA70:AO70)-SUM($AV$5:BK$5)*$J70-SUM($AV$6:BK$6)*$K70</f>
        <v>1800</v>
      </c>
      <c r="BL70" s="1">
        <f>SUM($AT70,$AA70:AP70)-SUM($AV$5:BL$5)*$J70-SUM($AV$6:BL$6)*$K70</f>
        <v>1800</v>
      </c>
      <c r="BM70" s="1">
        <f>SUM($AT70,$AA70:AQ70)-SUM($AV$5:BM$5)*$J70-SUM($AV$6:BM$6)*$K70</f>
        <v>1800</v>
      </c>
      <c r="BN70" s="1">
        <f>SUM($AT70,$AA70:AR70)-SUM($AV$5:BN$5)*$J70-SUM($AV$6:BN$6)*$K70</f>
        <v>1800</v>
      </c>
    </row>
    <row r="71" spans="1:66">
      <c r="A71" s="1">
        <v>72</v>
      </c>
      <c r="B71" s="28" t="s">
        <v>287</v>
      </c>
      <c r="C71" s="1" t="s">
        <v>40</v>
      </c>
      <c r="D71" s="2">
        <v>400244846</v>
      </c>
      <c r="E71" s="3" t="s">
        <v>288</v>
      </c>
      <c r="F71" s="1"/>
      <c r="G71" s="1" t="s">
        <v>42</v>
      </c>
      <c r="H71" s="1">
        <v>2</v>
      </c>
      <c r="I71" s="1">
        <v>1</v>
      </c>
      <c r="J71" s="1">
        <v>0</v>
      </c>
      <c r="K71" s="1">
        <v>0</v>
      </c>
      <c r="L71" s="1">
        <v>1</v>
      </c>
      <c r="M71" s="1">
        <f t="shared" si="4"/>
        <v>276</v>
      </c>
      <c r="N71" s="1">
        <f t="shared" si="3"/>
        <v>276</v>
      </c>
      <c r="O71" s="2" t="s">
        <v>237</v>
      </c>
      <c r="P71" s="1"/>
      <c r="Q71" s="1">
        <v>3.95</v>
      </c>
      <c r="R71" s="1" t="s">
        <v>44</v>
      </c>
      <c r="S71" s="30" t="s">
        <v>285</v>
      </c>
      <c r="T71" s="31" t="s">
        <v>238</v>
      </c>
      <c r="U71" s="1"/>
      <c r="V71" s="1">
        <v>600</v>
      </c>
      <c r="W71" s="1" t="s">
        <v>239</v>
      </c>
      <c r="X71" s="33" t="s">
        <v>286</v>
      </c>
      <c r="Y71" s="1" t="s">
        <v>241</v>
      </c>
      <c r="Z71" s="2" t="s">
        <v>242</v>
      </c>
      <c r="AA71" s="1"/>
      <c r="AB71" s="1"/>
      <c r="AC71" s="1"/>
      <c r="AD71" s="1"/>
      <c r="AE71" s="1">
        <v>600</v>
      </c>
      <c r="AF71" s="1"/>
      <c r="AG71" s="1"/>
      <c r="AH71" s="1"/>
      <c r="AI71" s="1"/>
      <c r="AJ71" s="1"/>
      <c r="AK71" s="1"/>
      <c r="AL71" s="1"/>
      <c r="AM71" s="1"/>
      <c r="AN71" s="1"/>
      <c r="AO71" s="1"/>
      <c r="AP71" s="1"/>
      <c r="AQ71" s="1"/>
      <c r="AR71" s="1"/>
      <c r="AS71" s="1"/>
      <c r="AT71" s="1"/>
      <c r="AU71" s="1"/>
      <c r="AV71" s="1">
        <f>SUM($AT71,Z71:$AA71)-SUM($AV$5:AV$5)*$J71-SUM($AV$6:AV$6)*$K71</f>
        <v>0</v>
      </c>
      <c r="AW71" s="1">
        <f>SUM($AT71,$AA71:AA71)-SUM($AV$5:AW$5)*$J71-SUM($AV$6:AW$6)*$K71</f>
        <v>0</v>
      </c>
      <c r="AX71" s="1">
        <f>SUM($AT71,$AA71:AB71)-SUM($AV$5:AX$5)*$J71-SUM($AV$6:AX$6)*$K71</f>
        <v>0</v>
      </c>
      <c r="AY71" s="1">
        <f>SUM($AT71,$AA71:AC71)-SUM($AV$5:AY$5)*$J71-SUM($AV$6:AY$6)*$K71</f>
        <v>0</v>
      </c>
      <c r="AZ71" s="1">
        <f>SUM($AT71,$AA71:AD71)-SUM($AV$5:AZ$5)*$J71-SUM($AV$6:AZ$6)*$K71</f>
        <v>0</v>
      </c>
      <c r="BA71" s="1">
        <f>SUM($AT71,$AA71:AE71)-SUM($AV$5:BA$5)*$J71-SUM($AV$6:BA$6)*$K71</f>
        <v>600</v>
      </c>
      <c r="BB71" s="1">
        <f>SUM($AT71,$AA71:AF71)-SUM($AV$5:BB$5)*$J71-SUM($AV$6:BB$6)*$K71</f>
        <v>600</v>
      </c>
      <c r="BC71" s="1">
        <f>SUM($AT71,$AA71:AG71)-SUM($AV$5:BC$5)*$J71-SUM($AV$6:BC$6)*$K71</f>
        <v>600</v>
      </c>
      <c r="BD71" s="1">
        <f>SUM($AT71,$AA71:AH71)-SUM($AV$5:BD$5)*$J71-SUM($AV$6:BD$6)*$K71</f>
        <v>600</v>
      </c>
      <c r="BE71" s="1">
        <f>SUM($AT71,$AA71:AI71)-SUM($AV$5:BE$5)*$J71-SUM($AV$6:BE$6)*$K71</f>
        <v>600</v>
      </c>
      <c r="BF71" s="1">
        <f>SUM($AT71,$AA71:AJ71)-SUM($AV$5:BF$5)*$J71-SUM($AV$6:BF$6)*$K71</f>
        <v>600</v>
      </c>
      <c r="BG71" s="1">
        <f>SUM($AT71,$AA71:AK71)-SUM($AV$5:BG$5)*$J71-SUM($AV$6:BG$6)*$K71</f>
        <v>600</v>
      </c>
      <c r="BH71" s="1">
        <f>SUM($AT71,$AA71:AL71)-SUM($AV$5:BH$5)*$J71-SUM($AV$6:BH$6)*$K71</f>
        <v>600</v>
      </c>
      <c r="BI71" s="1">
        <f>SUM($AT71,$AA71:AM71)-SUM($AV$5:BI$5)*$J71-SUM($AV$6:BI$6)*$K71</f>
        <v>600</v>
      </c>
      <c r="BJ71" s="1">
        <f>SUM($AT71,$AA71:AN71)-SUM($AV$5:BJ$5)*$J71-SUM($AV$6:BJ$6)*$K71</f>
        <v>600</v>
      </c>
      <c r="BK71" s="1">
        <f>SUM($AT71,$AA71:AO71)-SUM($AV$5:BK$5)*$J71-SUM($AV$6:BK$6)*$K71</f>
        <v>600</v>
      </c>
      <c r="BL71" s="1">
        <f>SUM($AT71,$AA71:AP71)-SUM($AV$5:BL$5)*$J71-SUM($AV$6:BL$6)*$K71</f>
        <v>600</v>
      </c>
      <c r="BM71" s="1">
        <f>SUM($AT71,$AA71:AQ71)-SUM($AV$5:BM$5)*$J71-SUM($AV$6:BM$6)*$K71</f>
        <v>600</v>
      </c>
      <c r="BN71" s="1">
        <f>SUM($AT71,$AA71:AR71)-SUM($AV$5:BN$5)*$J71-SUM($AV$6:BN$6)*$K71</f>
        <v>600</v>
      </c>
    </row>
    <row r="72" spans="1:66">
      <c r="A72" s="1">
        <v>82</v>
      </c>
      <c r="B72" s="28" t="s">
        <v>289</v>
      </c>
      <c r="C72" s="1" t="s">
        <v>40</v>
      </c>
      <c r="D72" s="2">
        <v>407632533</v>
      </c>
      <c r="E72" s="3" t="s">
        <v>290</v>
      </c>
      <c r="F72" s="1">
        <v>401274489</v>
      </c>
      <c r="G72" s="1" t="s">
        <v>42</v>
      </c>
      <c r="H72" s="1">
        <v>2</v>
      </c>
      <c r="I72" s="1">
        <v>1</v>
      </c>
      <c r="J72" s="1">
        <v>1</v>
      </c>
      <c r="K72" s="1">
        <v>0</v>
      </c>
      <c r="L72" s="1">
        <v>0</v>
      </c>
      <c r="M72" s="1">
        <f t="shared" si="4"/>
        <v>582</v>
      </c>
      <c r="N72" s="1">
        <f t="shared" ref="N72:N94" si="5">SUMPRODUCT(J72:L72,$J$2:$L$2)</f>
        <v>582</v>
      </c>
      <c r="O72" s="2" t="s">
        <v>291</v>
      </c>
      <c r="P72" s="1"/>
      <c r="Q72" s="1">
        <v>0.16</v>
      </c>
      <c r="R72" s="1" t="s">
        <v>292</v>
      </c>
      <c r="S72" s="30" t="s">
        <v>293</v>
      </c>
      <c r="T72" s="31" t="s">
        <v>294</v>
      </c>
      <c r="U72" s="1">
        <v>2500</v>
      </c>
      <c r="V72" s="1">
        <v>2500</v>
      </c>
      <c r="W72" s="1" t="s">
        <v>295</v>
      </c>
      <c r="X72" s="32" t="s">
        <v>296</v>
      </c>
      <c r="Y72" s="1" t="s">
        <v>297</v>
      </c>
      <c r="Z72" s="2" t="s">
        <v>291</v>
      </c>
      <c r="AA72" s="1"/>
      <c r="AB72" s="1">
        <v>2500</v>
      </c>
      <c r="AC72" s="1"/>
      <c r="AD72" s="1"/>
      <c r="AE72" s="1"/>
      <c r="AF72" s="1"/>
      <c r="AG72" s="1"/>
      <c r="AH72" s="1"/>
      <c r="AI72" s="1"/>
      <c r="AJ72" s="1"/>
      <c r="AK72" s="1"/>
      <c r="AL72" s="1"/>
      <c r="AM72" s="1"/>
      <c r="AN72" s="1"/>
      <c r="AO72" s="1"/>
      <c r="AP72" s="1"/>
      <c r="AQ72" s="1"/>
      <c r="AR72" s="1"/>
      <c r="AS72" s="1"/>
      <c r="AT72" s="1"/>
      <c r="AU72" s="1"/>
      <c r="AV72" s="1">
        <f>SUM($AT72,Z72:$AA72)-SUM($AV$5:AV$5)*$J72-SUM($AV$6:AV$6)*$K72</f>
        <v>0</v>
      </c>
      <c r="AW72" s="1">
        <f>SUM($AT72,$AA72:AA72)-SUM($AV$5:AW$5)*$J72-SUM($AV$6:AW$6)*$K72</f>
        <v>0</v>
      </c>
      <c r="AX72" s="1">
        <f>SUM($AT72,$AA72:AB72)-SUM($AV$5:AX$5)*$J72-SUM($AV$6:AX$6)*$K72</f>
        <v>2500</v>
      </c>
      <c r="AY72" s="1">
        <f>SUM($AT72,$AA72:AC72)-SUM($AV$5:AY$5)*$J72-SUM($AV$6:AY$6)*$K72</f>
        <v>2500</v>
      </c>
      <c r="AZ72" s="1">
        <f>SUM($AT72,$AA72:AD72)-SUM($AV$5:AZ$5)*$J72-SUM($AV$6:AZ$6)*$K72</f>
        <v>2460</v>
      </c>
      <c r="BA72" s="1">
        <f>SUM($AT72,$AA72:AE72)-SUM($AV$5:BA$5)*$J72-SUM($AV$6:BA$6)*$K72</f>
        <v>2420</v>
      </c>
      <c r="BB72" s="1">
        <f>SUM($AT72,$AA72:AF72)-SUM($AV$5:BB$5)*$J72-SUM($AV$6:BB$6)*$K72</f>
        <v>2380</v>
      </c>
      <c r="BC72" s="1">
        <f>SUM($AT72,$AA72:AG72)-SUM($AV$5:BC$5)*$J72-SUM($AV$6:BC$6)*$K72</f>
        <v>2340</v>
      </c>
      <c r="BD72" s="1">
        <f>SUM($AT72,$AA72:AH72)-SUM($AV$5:BD$5)*$J72-SUM($AV$6:BD$6)*$K72</f>
        <v>2300</v>
      </c>
      <c r="BE72" s="1">
        <f>SUM($AT72,$AA72:AI72)-SUM($AV$5:BE$5)*$J72-SUM($AV$6:BE$6)*$K72</f>
        <v>2260</v>
      </c>
      <c r="BF72" s="1">
        <f>SUM($AT72,$AA72:AJ72)-SUM($AV$5:BF$5)*$J72-SUM($AV$6:BF$6)*$K72</f>
        <v>2220</v>
      </c>
      <c r="BG72" s="1">
        <f>SUM($AT72,$AA72:AK72)-SUM($AV$5:BG$5)*$J72-SUM($AV$6:BG$6)*$K72</f>
        <v>2180</v>
      </c>
      <c r="BH72" s="1">
        <f>SUM($AT72,$AA72:AL72)-SUM($AV$5:BH$5)*$J72-SUM($AV$6:BH$6)*$K72</f>
        <v>2140</v>
      </c>
      <c r="BI72" s="1">
        <f>SUM($AT72,$AA72:AM72)-SUM($AV$5:BI$5)*$J72-SUM($AV$6:BI$6)*$K72</f>
        <v>2100</v>
      </c>
      <c r="BJ72" s="1">
        <f>SUM($AT72,$AA72:AN72)-SUM($AV$5:BJ$5)*$J72-SUM($AV$6:BJ$6)*$K72</f>
        <v>2060</v>
      </c>
      <c r="BK72" s="1">
        <f>SUM($AT72,$AA72:AO72)-SUM($AV$5:BK$5)*$J72-SUM($AV$6:BK$6)*$K72</f>
        <v>2020</v>
      </c>
      <c r="BL72" s="1">
        <f>SUM($AT72,$AA72:AP72)-SUM($AV$5:BL$5)*$J72-SUM($AV$6:BL$6)*$K72</f>
        <v>1980</v>
      </c>
      <c r="BM72" s="1">
        <f>SUM($AT72,$AA72:AQ72)-SUM($AV$5:BM$5)*$J72-SUM($AV$6:BM$6)*$K72</f>
        <v>1940</v>
      </c>
      <c r="BN72" s="1">
        <f>SUM($AT72,$AA72:AR72)-SUM($AV$5:BN$5)*$J72-SUM($AV$6:BN$6)*$K72</f>
        <v>1918</v>
      </c>
    </row>
    <row r="73" spans="1:66">
      <c r="A73" s="1">
        <v>74</v>
      </c>
      <c r="B73" s="28" t="s">
        <v>298</v>
      </c>
      <c r="C73" s="1" t="s">
        <v>299</v>
      </c>
      <c r="D73" s="2">
        <v>400162112</v>
      </c>
      <c r="E73" s="3" t="s">
        <v>300</v>
      </c>
      <c r="F73" s="1"/>
      <c r="G73" s="1" t="s">
        <v>42</v>
      </c>
      <c r="H73" s="1">
        <v>2</v>
      </c>
      <c r="I73" s="1">
        <v>2</v>
      </c>
      <c r="J73" s="1">
        <v>0</v>
      </c>
      <c r="K73" s="1">
        <v>2</v>
      </c>
      <c r="L73" s="1">
        <v>0</v>
      </c>
      <c r="M73" s="1">
        <f t="shared" si="4"/>
        <v>552</v>
      </c>
      <c r="N73" s="1">
        <f>SUMPRODUCT(J73:L73,$J$2:$L$2)</f>
        <v>552</v>
      </c>
      <c r="O73" s="2" t="s">
        <v>301</v>
      </c>
      <c r="P73" s="1"/>
      <c r="Q73" s="31">
        <v>13.15</v>
      </c>
      <c r="R73" s="1" t="s">
        <v>302</v>
      </c>
      <c r="S73" s="30" t="s">
        <v>303</v>
      </c>
      <c r="T73" s="31" t="s">
        <v>304</v>
      </c>
      <c r="U73" s="1">
        <v>1</v>
      </c>
      <c r="V73" s="1">
        <v>1</v>
      </c>
      <c r="W73" s="1" t="s">
        <v>305</v>
      </c>
      <c r="X73" s="33" t="s">
        <v>306</v>
      </c>
      <c r="Y73" s="1" t="s">
        <v>307</v>
      </c>
      <c r="Z73" s="2" t="s">
        <v>301</v>
      </c>
      <c r="AA73" s="1"/>
      <c r="AB73" s="1"/>
      <c r="AC73" s="1"/>
      <c r="AD73" s="1"/>
      <c r="AE73" s="1">
        <v>552</v>
      </c>
      <c r="AF73" s="1"/>
      <c r="AG73" s="1"/>
      <c r="AH73" s="1"/>
      <c r="AI73" s="1"/>
      <c r="AJ73" s="1"/>
      <c r="AK73" s="1"/>
      <c r="AL73" s="1"/>
      <c r="AM73" s="1"/>
      <c r="AN73" s="1"/>
      <c r="AO73" s="1"/>
      <c r="AP73" s="1"/>
      <c r="AQ73" s="1"/>
      <c r="AR73" s="1"/>
      <c r="AS73" s="1"/>
      <c r="AT73" s="1"/>
      <c r="AU73" s="1"/>
      <c r="AV73" s="1">
        <f>SUM($AT73,Z73:$AA73)-SUM($AV$5:AV$5)*$J73-SUM($AV$6:AV$6)*$K73</f>
        <v>0</v>
      </c>
      <c r="AW73" s="1">
        <f>SUM($AT73,$AA73:AA73)-SUM($AV$5:AW$5)*$J73-SUM($AV$6:AW$6)*$K73</f>
        <v>0</v>
      </c>
      <c r="AX73" s="1">
        <f>SUM($AT73,$AA73:AB73)-SUM($AV$5:AX$5)*$J73-SUM($AV$6:AX$6)*$K73</f>
        <v>0</v>
      </c>
      <c r="AY73" s="1">
        <f>SUM($AT73,$AA73:AC73)-SUM($AV$5:AY$5)*$J73-SUM($AV$6:AY$6)*$K73</f>
        <v>0</v>
      </c>
      <c r="AZ73" s="1">
        <f>SUM($AT73,$AA73:AD73)-SUM($AV$5:AZ$5)*$J73-SUM($AV$6:AZ$6)*$K73</f>
        <v>-20</v>
      </c>
      <c r="BA73" s="1">
        <f>SUM($AT73,$AA73:AE73)-SUM($AV$5:BA$5)*$J73-SUM($AV$6:BA$6)*$K73</f>
        <v>492</v>
      </c>
      <c r="BB73" s="1">
        <f>SUM($AT73,$AA73:AF73)-SUM($AV$5:BB$5)*$J73-SUM($AV$6:BB$6)*$K73</f>
        <v>312</v>
      </c>
      <c r="BC73" s="1">
        <f>SUM($AT73,$AA73:AG73)-SUM($AV$5:BC$5)*$J73-SUM($AV$6:BC$6)*$K73</f>
        <v>132</v>
      </c>
      <c r="BD73" s="1">
        <f>SUM($AT73,$AA73:AH73)-SUM($AV$5:BD$5)*$J73-SUM($AV$6:BD$6)*$K73</f>
        <v>0</v>
      </c>
      <c r="BE73" s="1">
        <f>SUM($AT73,$AA73:AI73)-SUM($AV$5:BE$5)*$J73-SUM($AV$6:BE$6)*$K73</f>
        <v>0</v>
      </c>
      <c r="BF73" s="1">
        <f>SUM($AT73,$AA73:AJ73)-SUM($AV$5:BF$5)*$J73-SUM($AV$6:BF$6)*$K73</f>
        <v>0</v>
      </c>
      <c r="BG73" s="1">
        <f>SUM($AT73,$AA73:AK73)-SUM($AV$5:BG$5)*$J73-SUM($AV$6:BG$6)*$K73</f>
        <v>0</v>
      </c>
      <c r="BH73" s="1">
        <f>SUM($AT73,$AA73:AL73)-SUM($AV$5:BH$5)*$J73-SUM($AV$6:BH$6)*$K73</f>
        <v>0</v>
      </c>
      <c r="BI73" s="1">
        <f>SUM($AT73,$AA73:AM73)-SUM($AV$5:BI$5)*$J73-SUM($AV$6:BI$6)*$K73</f>
        <v>0</v>
      </c>
      <c r="BJ73" s="1">
        <f>SUM($AT73,$AA73:AN73)-SUM($AV$5:BJ$5)*$J73-SUM($AV$6:BJ$6)*$K73</f>
        <v>0</v>
      </c>
      <c r="BK73" s="1">
        <f>SUM($AT73,$AA73:AO73)-SUM($AV$5:BK$5)*$J73-SUM($AV$6:BK$6)*$K73</f>
        <v>0</v>
      </c>
      <c r="BL73" s="1">
        <f>SUM($AT73,$AA73:AP73)-SUM($AV$5:BL$5)*$J73-SUM($AV$6:BL$6)*$K73</f>
        <v>0</v>
      </c>
      <c r="BM73" s="1">
        <f>SUM($AT73,$AA73:AQ73)-SUM($AV$5:BM$5)*$J73-SUM($AV$6:BM$6)*$K73</f>
        <v>0</v>
      </c>
      <c r="BN73" s="1">
        <f>SUM($AT73,$AA73:AR73)-SUM($AV$5:BN$5)*$J73-SUM($AV$6:BN$6)*$K73</f>
        <v>0</v>
      </c>
    </row>
    <row r="74" spans="1:66">
      <c r="A74" s="1">
        <v>75</v>
      </c>
      <c r="B74" s="35" t="s">
        <v>308</v>
      </c>
      <c r="C74" s="34" t="s">
        <v>151</v>
      </c>
      <c r="D74" s="29">
        <v>402548266</v>
      </c>
      <c r="E74" s="36" t="s">
        <v>309</v>
      </c>
      <c r="F74" s="34"/>
      <c r="G74" s="34" t="s">
        <v>42</v>
      </c>
      <c r="H74" s="34">
        <v>1</v>
      </c>
      <c r="I74" s="34">
        <v>1</v>
      </c>
      <c r="J74" s="34">
        <v>1</v>
      </c>
      <c r="K74" s="34">
        <v>0</v>
      </c>
      <c r="L74" s="34">
        <v>0</v>
      </c>
      <c r="M74" s="34">
        <f t="shared" si="4"/>
        <v>582</v>
      </c>
      <c r="N74" s="34">
        <f t="shared" si="5"/>
        <v>582</v>
      </c>
      <c r="O74" s="37" t="s">
        <v>160</v>
      </c>
      <c r="P74" s="1"/>
      <c r="Q74" s="34"/>
      <c r="R74" s="34"/>
      <c r="S74" s="38"/>
      <c r="T74" s="39"/>
      <c r="U74" s="34"/>
      <c r="V74" s="34"/>
      <c r="W74" s="34"/>
      <c r="X74" s="40"/>
      <c r="Y74" s="34"/>
      <c r="Z74" s="29" t="s">
        <v>160</v>
      </c>
      <c r="AA74" s="1"/>
      <c r="AB74" s="1"/>
      <c r="AC74" s="1"/>
      <c r="AD74" s="1"/>
      <c r="AE74" s="1"/>
      <c r="AF74" s="1"/>
      <c r="AG74" s="1"/>
      <c r="AH74" s="1"/>
      <c r="AI74" s="1"/>
      <c r="AJ74" s="1"/>
      <c r="AK74" s="1"/>
      <c r="AL74" s="1"/>
      <c r="AM74" s="1"/>
      <c r="AN74" s="1"/>
      <c r="AO74" s="1"/>
      <c r="AP74" s="1"/>
      <c r="AQ74" s="1"/>
      <c r="AR74" s="1"/>
      <c r="AS74" s="1"/>
      <c r="AT74" s="1"/>
      <c r="AU74" s="1"/>
      <c r="AV74" s="1">
        <f>SUM($AT74,Z74:$AA74)-SUM($AV$5:AV$5)*$J74-SUM($AV$6:AV$6)*$K74</f>
        <v>0</v>
      </c>
      <c r="AW74" s="1">
        <f>SUM($AT74,$AA74:AA74)-SUM($AV$5:AW$5)*$J74-SUM($AV$6:AW$6)*$K74</f>
        <v>0</v>
      </c>
      <c r="AX74" s="1">
        <f>SUM($AT74,$AA74:AB74)-SUM($AV$5:AX$5)*$J74-SUM($AV$6:AX$6)*$K74</f>
        <v>0</v>
      </c>
      <c r="AY74" s="1">
        <f>SUM($AT74,$AA74:AC74)-SUM($AV$5:AY$5)*$J74-SUM($AV$6:AY$6)*$K74</f>
        <v>0</v>
      </c>
      <c r="AZ74" s="1">
        <f>SUM($AT74,$AA74:AD74)-SUM($AV$5:AZ$5)*$J74-SUM($AV$6:AZ$6)*$K74</f>
        <v>-40</v>
      </c>
      <c r="BA74" s="1">
        <f>SUM($AT74,$AA74:AE74)-SUM($AV$5:BA$5)*$J74-SUM($AV$6:BA$6)*$K74</f>
        <v>-80</v>
      </c>
      <c r="BB74" s="1">
        <f>SUM($AT74,$AA74:AF74)-SUM($AV$5:BB$5)*$J74-SUM($AV$6:BB$6)*$K74</f>
        <v>-120</v>
      </c>
      <c r="BC74" s="1">
        <f>SUM($AT74,$AA74:AG74)-SUM($AV$5:BC$5)*$J74-SUM($AV$6:BC$6)*$K74</f>
        <v>-160</v>
      </c>
      <c r="BD74" s="1">
        <f>SUM($AT74,$AA74:AH74)-SUM($AV$5:BD$5)*$J74-SUM($AV$6:BD$6)*$K74</f>
        <v>-200</v>
      </c>
      <c r="BE74" s="1">
        <f>SUM($AT74,$AA74:AI74)-SUM($AV$5:BE$5)*$J74-SUM($AV$6:BE$6)*$K74</f>
        <v>-240</v>
      </c>
      <c r="BF74" s="1">
        <f>SUM($AT74,$AA74:AJ74)-SUM($AV$5:BF$5)*$J74-SUM($AV$6:BF$6)*$K74</f>
        <v>-280</v>
      </c>
      <c r="BG74" s="1">
        <f>SUM($AT74,$AA74:AK74)-SUM($AV$5:BG$5)*$J74-SUM($AV$6:BG$6)*$K74</f>
        <v>-320</v>
      </c>
      <c r="BH74" s="1">
        <f>SUM($AT74,$AA74:AL74)-SUM($AV$5:BH$5)*$J74-SUM($AV$6:BH$6)*$K74</f>
        <v>-360</v>
      </c>
      <c r="BI74" s="1">
        <f>SUM($AT74,$AA74:AM74)-SUM($AV$5:BI$5)*$J74-SUM($AV$6:BI$6)*$K74</f>
        <v>-400</v>
      </c>
      <c r="BJ74" s="1">
        <f>SUM($AT74,$AA74:AN74)-SUM($AV$5:BJ$5)*$J74-SUM($AV$6:BJ$6)*$K74</f>
        <v>-440</v>
      </c>
      <c r="BK74" s="1">
        <f>SUM($AT74,$AA74:AO74)-SUM($AV$5:BK$5)*$J74-SUM($AV$6:BK$6)*$K74</f>
        <v>-480</v>
      </c>
      <c r="BL74" s="1">
        <f>SUM($AT74,$AA74:AP74)-SUM($AV$5:BL$5)*$J74-SUM($AV$6:BL$6)*$K74</f>
        <v>-520</v>
      </c>
      <c r="BM74" s="1">
        <f>SUM($AT74,$AA74:AQ74)-SUM($AV$5:BM$5)*$J74-SUM($AV$6:BM$6)*$K74</f>
        <v>-560</v>
      </c>
      <c r="BN74" s="1">
        <f>SUM($AT74,$AA74:AR74)-SUM($AV$5:BN$5)*$J74-SUM($AV$6:BN$6)*$K74</f>
        <v>-582</v>
      </c>
    </row>
    <row r="75" spans="1:66">
      <c r="A75" s="1">
        <v>83</v>
      </c>
      <c r="B75" s="28" t="s">
        <v>310</v>
      </c>
      <c r="C75" s="1" t="s">
        <v>176</v>
      </c>
      <c r="D75" s="2" t="s">
        <v>311</v>
      </c>
      <c r="E75" s="3" t="s">
        <v>312</v>
      </c>
      <c r="F75" s="1">
        <v>401014804</v>
      </c>
      <c r="G75" s="1" t="s">
        <v>42</v>
      </c>
      <c r="H75" s="1">
        <v>2</v>
      </c>
      <c r="I75" s="1">
        <v>1</v>
      </c>
      <c r="J75" s="1">
        <v>1</v>
      </c>
      <c r="K75" s="1">
        <v>0</v>
      </c>
      <c r="L75" s="1">
        <v>0</v>
      </c>
      <c r="M75" s="1">
        <f t="shared" si="4"/>
        <v>582</v>
      </c>
      <c r="N75" s="1">
        <f t="shared" si="5"/>
        <v>582</v>
      </c>
      <c r="O75" s="2" t="s">
        <v>301</v>
      </c>
      <c r="P75" s="1"/>
      <c r="Q75" s="31">
        <v>2.04</v>
      </c>
      <c r="R75" s="1" t="s">
        <v>302</v>
      </c>
      <c r="S75" s="30" t="s">
        <v>303</v>
      </c>
      <c r="T75" s="31" t="s">
        <v>304</v>
      </c>
      <c r="U75" s="1">
        <v>1</v>
      </c>
      <c r="V75" s="1">
        <v>1</v>
      </c>
      <c r="W75" s="1" t="s">
        <v>305</v>
      </c>
      <c r="X75" s="32" t="s">
        <v>306</v>
      </c>
      <c r="Y75" s="1" t="s">
        <v>307</v>
      </c>
      <c r="Z75" s="2" t="s">
        <v>301</v>
      </c>
      <c r="AA75" s="1"/>
      <c r="AB75" s="1"/>
      <c r="AC75" s="1"/>
      <c r="AD75" s="1"/>
      <c r="AE75" s="1">
        <v>582</v>
      </c>
      <c r="AF75" s="1"/>
      <c r="AG75" s="1"/>
      <c r="AH75" s="1"/>
      <c r="AI75" s="1"/>
      <c r="AJ75" s="1"/>
      <c r="AK75" s="1"/>
      <c r="AL75" s="1"/>
      <c r="AM75" s="1"/>
      <c r="AN75" s="1"/>
      <c r="AO75" s="1"/>
      <c r="AP75" s="1"/>
      <c r="AQ75" s="1"/>
      <c r="AR75" s="1"/>
      <c r="AS75" s="1"/>
      <c r="AT75" s="1"/>
      <c r="AU75" s="1"/>
      <c r="AV75" s="1">
        <f>SUM($AT75,Z75:$AA75)-SUM($AV$5:AV$5)*$J75-SUM($AV$6:AV$6)*$K75</f>
        <v>0</v>
      </c>
      <c r="AW75" s="1">
        <f>SUM($AT75,$AA75:AA75)-SUM($AV$5:AW$5)*$J75-SUM($AV$6:AW$6)*$K75</f>
        <v>0</v>
      </c>
      <c r="AX75" s="1">
        <f>SUM($AT75,$AA75:AB75)-SUM($AV$5:AX$5)*$J75-SUM($AV$6:AX$6)*$K75</f>
        <v>0</v>
      </c>
      <c r="AY75" s="1">
        <f>SUM($AT75,$AA75:AC75)-SUM($AV$5:AY$5)*$J75-SUM($AV$6:AY$6)*$K75</f>
        <v>0</v>
      </c>
      <c r="AZ75" s="1">
        <f>SUM($AT75,$AA75:AD75)-SUM($AV$5:AZ$5)*$J75-SUM($AV$6:AZ$6)*$K75</f>
        <v>-40</v>
      </c>
      <c r="BA75" s="1">
        <f>SUM($AT75,$AA75:AE75)-SUM($AV$5:BA$5)*$J75-SUM($AV$6:BA$6)*$K75</f>
        <v>502</v>
      </c>
      <c r="BB75" s="1">
        <f>SUM($AT75,$AA75:AF75)-SUM($AV$5:BB$5)*$J75-SUM($AV$6:BB$6)*$K75</f>
        <v>462</v>
      </c>
      <c r="BC75" s="1">
        <f>SUM($AT75,$AA75:AG75)-SUM($AV$5:BC$5)*$J75-SUM($AV$6:BC$6)*$K75</f>
        <v>422</v>
      </c>
      <c r="BD75" s="1">
        <f>SUM($AT75,$AA75:AH75)-SUM($AV$5:BD$5)*$J75-SUM($AV$6:BD$6)*$K75</f>
        <v>382</v>
      </c>
      <c r="BE75" s="1">
        <f>SUM($AT75,$AA75:AI75)-SUM($AV$5:BE$5)*$J75-SUM($AV$6:BE$6)*$K75</f>
        <v>342</v>
      </c>
      <c r="BF75" s="1">
        <f>SUM($AT75,$AA75:AJ75)-SUM($AV$5:BF$5)*$J75-SUM($AV$6:BF$6)*$K75</f>
        <v>302</v>
      </c>
      <c r="BG75" s="1">
        <f>SUM($AT75,$AA75:AK75)-SUM($AV$5:BG$5)*$J75-SUM($AV$6:BG$6)*$K75</f>
        <v>262</v>
      </c>
      <c r="BH75" s="1">
        <f>SUM($AT75,$AA75:AL75)-SUM($AV$5:BH$5)*$J75-SUM($AV$6:BH$6)*$K75</f>
        <v>222</v>
      </c>
      <c r="BI75" s="1">
        <f>SUM($AT75,$AA75:AM75)-SUM($AV$5:BI$5)*$J75-SUM($AV$6:BI$6)*$K75</f>
        <v>182</v>
      </c>
      <c r="BJ75" s="1">
        <f>SUM($AT75,$AA75:AN75)-SUM($AV$5:BJ$5)*$J75-SUM($AV$6:BJ$6)*$K75</f>
        <v>142</v>
      </c>
      <c r="BK75" s="1">
        <f>SUM($AT75,$AA75:AO75)-SUM($AV$5:BK$5)*$J75-SUM($AV$6:BK$6)*$K75</f>
        <v>102</v>
      </c>
      <c r="BL75" s="1">
        <f>SUM($AT75,$AA75:AP75)-SUM($AV$5:BL$5)*$J75-SUM($AV$6:BL$6)*$K75</f>
        <v>62</v>
      </c>
      <c r="BM75" s="1">
        <f>SUM($AT75,$AA75:AQ75)-SUM($AV$5:BM$5)*$J75-SUM($AV$6:BM$6)*$K75</f>
        <v>22</v>
      </c>
      <c r="BN75" s="1">
        <f>SUM($AT75,$AA75:AR75)-SUM($AV$5:BN$5)*$J75-SUM($AV$6:BN$6)*$K75</f>
        <v>0</v>
      </c>
    </row>
    <row r="76" spans="1:66">
      <c r="A76" s="1">
        <v>84</v>
      </c>
      <c r="B76" s="28" t="s">
        <v>313</v>
      </c>
      <c r="C76" s="1" t="s">
        <v>40</v>
      </c>
      <c r="D76" s="2">
        <v>425167977</v>
      </c>
      <c r="E76" s="3" t="s">
        <v>314</v>
      </c>
      <c r="F76" s="1"/>
      <c r="G76" s="1" t="s">
        <v>42</v>
      </c>
      <c r="H76" s="1">
        <v>1</v>
      </c>
      <c r="I76" s="1">
        <v>1</v>
      </c>
      <c r="J76" s="1">
        <v>1</v>
      </c>
      <c r="K76" s="1">
        <v>0</v>
      </c>
      <c r="L76" s="1">
        <v>0</v>
      </c>
      <c r="M76" s="1">
        <f t="shared" si="4"/>
        <v>582</v>
      </c>
      <c r="N76" s="1">
        <f t="shared" si="5"/>
        <v>582</v>
      </c>
      <c r="O76" s="2" t="s">
        <v>315</v>
      </c>
      <c r="P76" s="1"/>
      <c r="Q76" s="1">
        <v>1.85</v>
      </c>
      <c r="R76" s="1" t="s">
        <v>44</v>
      </c>
      <c r="S76" s="30" t="s">
        <v>316</v>
      </c>
      <c r="T76" s="31" t="s">
        <v>317</v>
      </c>
      <c r="U76" s="1"/>
      <c r="V76" s="1">
        <v>470</v>
      </c>
      <c r="W76" s="1" t="s">
        <v>318</v>
      </c>
      <c r="X76" s="32" t="s">
        <v>319</v>
      </c>
      <c r="Y76" s="1" t="s">
        <v>320</v>
      </c>
      <c r="Z76" s="2" t="s">
        <v>315</v>
      </c>
      <c r="AA76" s="1"/>
      <c r="AB76" s="1"/>
      <c r="AC76" s="1"/>
      <c r="AD76" s="1"/>
      <c r="AE76" s="1"/>
      <c r="AF76" s="1"/>
      <c r="AG76" s="1"/>
      <c r="AH76" s="1"/>
      <c r="AI76" s="1"/>
      <c r="AJ76" s="1"/>
      <c r="AK76" s="1"/>
      <c r="AL76" s="1"/>
      <c r="AM76" s="1"/>
      <c r="AN76" s="1"/>
      <c r="AO76" s="1"/>
      <c r="AP76" s="1"/>
      <c r="AQ76" s="1"/>
      <c r="AR76" s="1"/>
      <c r="AS76" s="1"/>
      <c r="AT76" s="1"/>
      <c r="AU76" s="1"/>
      <c r="AV76" s="1">
        <f>SUM($AT76,Z76:$AA76)-SUM($AV$5:AV$5)*$J76-SUM($AV$6:AV$6)*$K76</f>
        <v>0</v>
      </c>
      <c r="AW76" s="1">
        <f>SUM($AT76,$AA76:AA76)-SUM($AV$5:AW$5)*$J76-SUM($AV$6:AW$6)*$K76</f>
        <v>0</v>
      </c>
      <c r="AX76" s="1">
        <f>SUM($AT76,$AA76:AB76)-SUM($AV$5:AX$5)*$J76-SUM($AV$6:AX$6)*$K76</f>
        <v>0</v>
      </c>
      <c r="AY76" s="1">
        <f>SUM($AT76,$AA76:AC76)-SUM($AV$5:AY$5)*$J76-SUM($AV$6:AY$6)*$K76</f>
        <v>0</v>
      </c>
      <c r="AZ76" s="1">
        <f>SUM($AT76,$AA76:AD76)-SUM($AV$5:AZ$5)*$J76-SUM($AV$6:AZ$6)*$K76</f>
        <v>-40</v>
      </c>
      <c r="BA76" s="1">
        <f>SUM($AT76,$AA76:AE76)-SUM($AV$5:BA$5)*$J76-SUM($AV$6:BA$6)*$K76</f>
        <v>-80</v>
      </c>
      <c r="BB76" s="1">
        <f>SUM($AT76,$AA76:AF76)-SUM($AV$5:BB$5)*$J76-SUM($AV$6:BB$6)*$K76</f>
        <v>-120</v>
      </c>
      <c r="BC76" s="1">
        <f>SUM($AT76,$AA76:AG76)-SUM($AV$5:BC$5)*$J76-SUM($AV$6:BC$6)*$K76</f>
        <v>-160</v>
      </c>
      <c r="BD76" s="1">
        <f>SUM($AT76,$AA76:AH76)-SUM($AV$5:BD$5)*$J76-SUM($AV$6:BD$6)*$K76</f>
        <v>-200</v>
      </c>
      <c r="BE76" s="1">
        <f>SUM($AT76,$AA76:AI76)-SUM($AV$5:BE$5)*$J76-SUM($AV$6:BE$6)*$K76</f>
        <v>-240</v>
      </c>
      <c r="BF76" s="1">
        <f>SUM($AT76,$AA76:AJ76)-SUM($AV$5:BF$5)*$J76-SUM($AV$6:BF$6)*$K76</f>
        <v>-280</v>
      </c>
      <c r="BG76" s="1">
        <f>SUM($AT76,$AA76:AK76)-SUM($AV$5:BG$5)*$J76-SUM($AV$6:BG$6)*$K76</f>
        <v>-320</v>
      </c>
      <c r="BH76" s="1">
        <f>SUM($AT76,$AA76:AL76)-SUM($AV$5:BH$5)*$J76-SUM($AV$6:BH$6)*$K76</f>
        <v>-360</v>
      </c>
      <c r="BI76" s="1">
        <f>SUM($AT76,$AA76:AM76)-SUM($AV$5:BI$5)*$J76-SUM($AV$6:BI$6)*$K76</f>
        <v>-400</v>
      </c>
      <c r="BJ76" s="1">
        <f>SUM($AT76,$AA76:AN76)-SUM($AV$5:BJ$5)*$J76-SUM($AV$6:BJ$6)*$K76</f>
        <v>-440</v>
      </c>
      <c r="BK76" s="1">
        <f>SUM($AT76,$AA76:AO76)-SUM($AV$5:BK$5)*$J76-SUM($AV$6:BK$6)*$K76</f>
        <v>-480</v>
      </c>
      <c r="BL76" s="1">
        <f>SUM($AT76,$AA76:AP76)-SUM($AV$5:BL$5)*$J76-SUM($AV$6:BL$6)*$K76</f>
        <v>-520</v>
      </c>
      <c r="BM76" s="1">
        <f>SUM($AT76,$AA76:AQ76)-SUM($AV$5:BM$5)*$J76-SUM($AV$6:BM$6)*$K76</f>
        <v>-560</v>
      </c>
      <c r="BN76" s="1">
        <f>SUM($AT76,$AA76:AR76)-SUM($AV$5:BN$5)*$J76-SUM($AV$6:BN$6)*$K76</f>
        <v>-582</v>
      </c>
    </row>
    <row r="77" spans="1:66">
      <c r="A77" s="1">
        <v>85</v>
      </c>
      <c r="B77" s="28" t="s">
        <v>321</v>
      </c>
      <c r="C77" s="1" t="s">
        <v>40</v>
      </c>
      <c r="D77" s="2">
        <v>400637607</v>
      </c>
      <c r="E77" s="3" t="s">
        <v>322</v>
      </c>
      <c r="F77" s="1">
        <v>400638305</v>
      </c>
      <c r="G77" s="1" t="s">
        <v>42</v>
      </c>
      <c r="H77" s="1">
        <v>2</v>
      </c>
      <c r="I77" s="1">
        <v>16</v>
      </c>
      <c r="J77" s="1">
        <v>16</v>
      </c>
      <c r="K77" s="1">
        <v>0</v>
      </c>
      <c r="L77" s="1">
        <v>0</v>
      </c>
      <c r="M77" s="1">
        <f t="shared" si="4"/>
        <v>9312</v>
      </c>
      <c r="N77" s="1">
        <f t="shared" si="5"/>
        <v>9312</v>
      </c>
      <c r="O77" s="2" t="s">
        <v>323</v>
      </c>
      <c r="P77" s="1"/>
      <c r="Q77" s="1">
        <v>2.78</v>
      </c>
      <c r="R77" s="1" t="s">
        <v>44</v>
      </c>
      <c r="S77" s="30" t="s">
        <v>324</v>
      </c>
      <c r="T77" s="31" t="s">
        <v>323</v>
      </c>
      <c r="U77" s="1"/>
      <c r="V77" s="1">
        <v>500</v>
      </c>
      <c r="W77" s="1" t="s">
        <v>325</v>
      </c>
      <c r="X77" s="32" t="s">
        <v>326</v>
      </c>
      <c r="Y77" s="1" t="s">
        <v>327</v>
      </c>
      <c r="Z77" s="2" t="s">
        <v>323</v>
      </c>
      <c r="AA77" s="1"/>
      <c r="AB77" s="1"/>
      <c r="AC77" s="1"/>
      <c r="AD77" s="1"/>
      <c r="AE77" s="1"/>
      <c r="AF77" s="1"/>
      <c r="AG77" s="1"/>
      <c r="AH77" s="1"/>
      <c r="AI77" s="1"/>
      <c r="AJ77" s="1"/>
      <c r="AK77" s="1"/>
      <c r="AL77" s="1"/>
      <c r="AM77" s="1"/>
      <c r="AN77" s="1"/>
      <c r="AO77" s="1"/>
      <c r="AP77" s="1"/>
      <c r="AQ77" s="1"/>
      <c r="AR77" s="1"/>
      <c r="AS77" s="1"/>
      <c r="AT77" s="1"/>
      <c r="AU77" s="1"/>
      <c r="AV77" s="1">
        <f>SUM($AT77,Z77:$AA77)-SUM($AV$5:AV$5)*$J77-SUM($AV$6:AV$6)*$K77</f>
        <v>0</v>
      </c>
      <c r="AW77" s="1">
        <f>SUM($AT77,$AA77:AA77)-SUM($AV$5:AW$5)*$J77-SUM($AV$6:AW$6)*$K77</f>
        <v>0</v>
      </c>
      <c r="AX77" s="1">
        <f>SUM($AT77,$AA77:AB77)-SUM($AV$5:AX$5)*$J77-SUM($AV$6:AX$6)*$K77</f>
        <v>0</v>
      </c>
      <c r="AY77" s="1">
        <f>SUM($AT77,$AA77:AC77)-SUM($AV$5:AY$5)*$J77-SUM($AV$6:AY$6)*$K77</f>
        <v>0</v>
      </c>
      <c r="AZ77" s="1">
        <f>SUM($AT77,$AA77:AD77)-SUM($AV$5:AZ$5)*$J77-SUM($AV$6:AZ$6)*$K77</f>
        <v>-640</v>
      </c>
      <c r="BA77" s="1">
        <f>SUM($AT77,$AA77:AE77)-SUM($AV$5:BA$5)*$J77-SUM($AV$6:BA$6)*$K77</f>
        <v>-1280</v>
      </c>
      <c r="BB77" s="1">
        <f>SUM($AT77,$AA77:AF77)-SUM($AV$5:BB$5)*$J77-SUM($AV$6:BB$6)*$K77</f>
        <v>-1920</v>
      </c>
      <c r="BC77" s="1">
        <f>SUM($AT77,$AA77:AG77)-SUM($AV$5:BC$5)*$J77-SUM($AV$6:BC$6)*$K77</f>
        <v>-2560</v>
      </c>
      <c r="BD77" s="1">
        <f>SUM($AT77,$AA77:AH77)-SUM($AV$5:BD$5)*$J77-SUM($AV$6:BD$6)*$K77</f>
        <v>-3200</v>
      </c>
      <c r="BE77" s="1">
        <f>SUM($AT77,$AA77:AI77)-SUM($AV$5:BE$5)*$J77-SUM($AV$6:BE$6)*$K77</f>
        <v>-3840</v>
      </c>
      <c r="BF77" s="1">
        <f>SUM($AT77,$AA77:AJ77)-SUM($AV$5:BF$5)*$J77-SUM($AV$6:BF$6)*$K77</f>
        <v>-4480</v>
      </c>
      <c r="BG77" s="1">
        <f>SUM($AT77,$AA77:AK77)-SUM($AV$5:BG$5)*$J77-SUM($AV$6:BG$6)*$K77</f>
        <v>-5120</v>
      </c>
      <c r="BH77" s="1">
        <f>SUM($AT77,$AA77:AL77)-SUM($AV$5:BH$5)*$J77-SUM($AV$6:BH$6)*$K77</f>
        <v>-5760</v>
      </c>
      <c r="BI77" s="1">
        <f>SUM($AT77,$AA77:AM77)-SUM($AV$5:BI$5)*$J77-SUM($AV$6:BI$6)*$K77</f>
        <v>-6400</v>
      </c>
      <c r="BJ77" s="1">
        <f>SUM($AT77,$AA77:AN77)-SUM($AV$5:BJ$5)*$J77-SUM($AV$6:BJ$6)*$K77</f>
        <v>-7040</v>
      </c>
      <c r="BK77" s="1">
        <f>SUM($AT77,$AA77:AO77)-SUM($AV$5:BK$5)*$J77-SUM($AV$6:BK$6)*$K77</f>
        <v>-7680</v>
      </c>
      <c r="BL77" s="1">
        <f>SUM($AT77,$AA77:AP77)-SUM($AV$5:BL$5)*$J77-SUM($AV$6:BL$6)*$K77</f>
        <v>-8320</v>
      </c>
      <c r="BM77" s="1">
        <f>SUM($AT77,$AA77:AQ77)-SUM($AV$5:BM$5)*$J77-SUM($AV$6:BM$6)*$K77</f>
        <v>-8960</v>
      </c>
      <c r="BN77" s="1">
        <f>SUM($AT77,$AA77:AR77)-SUM($AV$5:BN$5)*$J77-SUM($AV$6:BN$6)*$K77</f>
        <v>-9312</v>
      </c>
    </row>
    <row r="78" spans="1:66">
      <c r="A78" s="1">
        <v>87</v>
      </c>
      <c r="B78" s="28" t="s">
        <v>328</v>
      </c>
      <c r="C78" s="1" t="s">
        <v>40</v>
      </c>
      <c r="D78" s="2">
        <v>402415463</v>
      </c>
      <c r="E78" s="3" t="s">
        <v>329</v>
      </c>
      <c r="F78" s="1">
        <v>400407984</v>
      </c>
      <c r="G78" s="1" t="s">
        <v>42</v>
      </c>
      <c r="H78" s="1">
        <v>2</v>
      </c>
      <c r="I78" s="1">
        <v>1</v>
      </c>
      <c r="J78" s="1">
        <v>1</v>
      </c>
      <c r="K78" s="1">
        <v>0</v>
      </c>
      <c r="L78" s="1">
        <v>0</v>
      </c>
      <c r="M78" s="1">
        <f t="shared" si="4"/>
        <v>582</v>
      </c>
      <c r="N78" s="1">
        <f t="shared" si="5"/>
        <v>582</v>
      </c>
      <c r="O78" s="2" t="s">
        <v>323</v>
      </c>
      <c r="P78" s="1"/>
      <c r="Q78" s="1">
        <v>6.96</v>
      </c>
      <c r="R78" s="1" t="s">
        <v>44</v>
      </c>
      <c r="S78" s="30" t="s">
        <v>330</v>
      </c>
      <c r="T78" s="31" t="s">
        <v>323</v>
      </c>
      <c r="U78" s="1"/>
      <c r="V78" s="1">
        <v>750</v>
      </c>
      <c r="W78" s="1" t="s">
        <v>325</v>
      </c>
      <c r="X78" s="32" t="s">
        <v>326</v>
      </c>
      <c r="Y78" s="1" t="s">
        <v>327</v>
      </c>
      <c r="Z78" s="2" t="s">
        <v>323</v>
      </c>
      <c r="AA78" s="1"/>
      <c r="AB78" s="1"/>
      <c r="AC78" s="1"/>
      <c r="AD78" s="1"/>
      <c r="AE78" s="1"/>
      <c r="AF78" s="1"/>
      <c r="AG78" s="1"/>
      <c r="AH78" s="1"/>
      <c r="AI78" s="1"/>
      <c r="AJ78" s="1"/>
      <c r="AK78" s="1"/>
      <c r="AL78" s="1"/>
      <c r="AM78" s="1"/>
      <c r="AN78" s="1"/>
      <c r="AO78" s="1"/>
      <c r="AP78" s="1"/>
      <c r="AQ78" s="1"/>
      <c r="AR78" s="1"/>
      <c r="AS78" s="1"/>
      <c r="AT78" s="1"/>
      <c r="AU78" s="1"/>
      <c r="AV78" s="1">
        <f>SUM($AT78,Z78:$AA78)-SUM($AV$5:AV$5)*$J78-SUM($AV$6:AV$6)*$K78</f>
        <v>0</v>
      </c>
      <c r="AW78" s="1">
        <f>SUM($AT78,$AA78:AA78)-SUM($AV$5:AW$5)*$J78-SUM($AV$6:AW$6)*$K78</f>
        <v>0</v>
      </c>
      <c r="AX78" s="1">
        <f>SUM($AT78,$AA78:AB78)-SUM($AV$5:AX$5)*$J78-SUM($AV$6:AX$6)*$K78</f>
        <v>0</v>
      </c>
      <c r="AY78" s="1">
        <f>SUM($AT78,$AA78:AC78)-SUM($AV$5:AY$5)*$J78-SUM($AV$6:AY$6)*$K78</f>
        <v>0</v>
      </c>
      <c r="AZ78" s="1">
        <f>SUM($AT78,$AA78:AD78)-SUM($AV$5:AZ$5)*$J78-SUM($AV$6:AZ$6)*$K78</f>
        <v>-40</v>
      </c>
      <c r="BA78" s="1">
        <f>SUM($AT78,$AA78:AE78)-SUM($AV$5:BA$5)*$J78-SUM($AV$6:BA$6)*$K78</f>
        <v>-80</v>
      </c>
      <c r="BB78" s="1">
        <f>SUM($AT78,$AA78:AF78)-SUM($AV$5:BB$5)*$J78-SUM($AV$6:BB$6)*$K78</f>
        <v>-120</v>
      </c>
      <c r="BC78" s="1">
        <f>SUM($AT78,$AA78:AG78)-SUM($AV$5:BC$5)*$J78-SUM($AV$6:BC$6)*$K78</f>
        <v>-160</v>
      </c>
      <c r="BD78" s="1">
        <f>SUM($AT78,$AA78:AH78)-SUM($AV$5:BD$5)*$J78-SUM($AV$6:BD$6)*$K78</f>
        <v>-200</v>
      </c>
      <c r="BE78" s="1">
        <f>SUM($AT78,$AA78:AI78)-SUM($AV$5:BE$5)*$J78-SUM($AV$6:BE$6)*$K78</f>
        <v>-240</v>
      </c>
      <c r="BF78" s="1">
        <f>SUM($AT78,$AA78:AJ78)-SUM($AV$5:BF$5)*$J78-SUM($AV$6:BF$6)*$K78</f>
        <v>-280</v>
      </c>
      <c r="BG78" s="1">
        <f>SUM($AT78,$AA78:AK78)-SUM($AV$5:BG$5)*$J78-SUM($AV$6:BG$6)*$K78</f>
        <v>-320</v>
      </c>
      <c r="BH78" s="1">
        <f>SUM($AT78,$AA78:AL78)-SUM($AV$5:BH$5)*$J78-SUM($AV$6:BH$6)*$K78</f>
        <v>-360</v>
      </c>
      <c r="BI78" s="1">
        <f>SUM($AT78,$AA78:AM78)-SUM($AV$5:BI$5)*$J78-SUM($AV$6:BI$6)*$K78</f>
        <v>-400</v>
      </c>
      <c r="BJ78" s="1">
        <f>SUM($AT78,$AA78:AN78)-SUM($AV$5:BJ$5)*$J78-SUM($AV$6:BJ$6)*$K78</f>
        <v>-440</v>
      </c>
      <c r="BK78" s="1">
        <f>SUM($AT78,$AA78:AO78)-SUM($AV$5:BK$5)*$J78-SUM($AV$6:BK$6)*$K78</f>
        <v>-480</v>
      </c>
      <c r="BL78" s="1">
        <f>SUM($AT78,$AA78:AP78)-SUM($AV$5:BL$5)*$J78-SUM($AV$6:BL$6)*$K78</f>
        <v>-520</v>
      </c>
      <c r="BM78" s="1">
        <f>SUM($AT78,$AA78:AQ78)-SUM($AV$5:BM$5)*$J78-SUM($AV$6:BM$6)*$K78</f>
        <v>-560</v>
      </c>
      <c r="BN78" s="1">
        <f>SUM($AT78,$AA78:AR78)-SUM($AV$5:BN$5)*$J78-SUM($AV$6:BN$6)*$K78</f>
        <v>-582</v>
      </c>
    </row>
    <row r="79" spans="1:66">
      <c r="A79" s="1">
        <v>88</v>
      </c>
      <c r="B79" s="28" t="s">
        <v>331</v>
      </c>
      <c r="C79" s="1" t="s">
        <v>40</v>
      </c>
      <c r="D79" s="2">
        <v>401349548</v>
      </c>
      <c r="E79" s="3" t="s">
        <v>332</v>
      </c>
      <c r="F79" s="1">
        <v>421403401</v>
      </c>
      <c r="G79" s="1" t="s">
        <v>42</v>
      </c>
      <c r="H79" s="1">
        <v>2</v>
      </c>
      <c r="I79" s="1">
        <v>3</v>
      </c>
      <c r="J79" s="1">
        <v>3</v>
      </c>
      <c r="K79" s="1">
        <v>0</v>
      </c>
      <c r="L79" s="1">
        <v>0</v>
      </c>
      <c r="M79" s="1">
        <f t="shared" si="4"/>
        <v>1746</v>
      </c>
      <c r="N79" s="1">
        <f t="shared" si="5"/>
        <v>1746</v>
      </c>
      <c r="O79" s="2" t="s">
        <v>323</v>
      </c>
      <c r="P79" s="1"/>
      <c r="Q79" s="1">
        <v>2.71</v>
      </c>
      <c r="R79" s="1" t="s">
        <v>44</v>
      </c>
      <c r="S79" s="30" t="s">
        <v>324</v>
      </c>
      <c r="T79" s="31" t="s">
        <v>323</v>
      </c>
      <c r="U79" s="1"/>
      <c r="V79" s="1">
        <v>1000</v>
      </c>
      <c r="W79" s="1" t="s">
        <v>325</v>
      </c>
      <c r="X79" s="32" t="s">
        <v>326</v>
      </c>
      <c r="Y79" s="1" t="s">
        <v>327</v>
      </c>
      <c r="Z79" s="2" t="s">
        <v>323</v>
      </c>
      <c r="AA79" s="1"/>
      <c r="AB79" s="1"/>
      <c r="AC79" s="1"/>
      <c r="AD79" s="1"/>
      <c r="AE79" s="1"/>
      <c r="AF79" s="1"/>
      <c r="AG79" s="1"/>
      <c r="AH79" s="1"/>
      <c r="AI79" s="1"/>
      <c r="AJ79" s="1"/>
      <c r="AK79" s="1"/>
      <c r="AL79" s="1"/>
      <c r="AM79" s="1"/>
      <c r="AN79" s="1"/>
      <c r="AO79" s="1"/>
      <c r="AP79" s="1"/>
      <c r="AQ79" s="1"/>
      <c r="AR79" s="1"/>
      <c r="AS79" s="1"/>
      <c r="AT79" s="1"/>
      <c r="AU79" s="1"/>
      <c r="AV79" s="1">
        <f>SUM($AT79,Z79:$AA79)-SUM($AV$5:AV$5)*$J79-SUM($AV$6:AV$6)*$K79</f>
        <v>0</v>
      </c>
      <c r="AW79" s="1">
        <f>SUM($AT79,$AA79:AA79)-SUM($AV$5:AW$5)*$J79-SUM($AV$6:AW$6)*$K79</f>
        <v>0</v>
      </c>
      <c r="AX79" s="1">
        <f>SUM($AT79,$AA79:AB79)-SUM($AV$5:AX$5)*$J79-SUM($AV$6:AX$6)*$K79</f>
        <v>0</v>
      </c>
      <c r="AY79" s="1">
        <f>SUM($AT79,$AA79:AC79)-SUM($AV$5:AY$5)*$J79-SUM($AV$6:AY$6)*$K79</f>
        <v>0</v>
      </c>
      <c r="AZ79" s="1">
        <f>SUM($AT79,$AA79:AD79)-SUM($AV$5:AZ$5)*$J79-SUM($AV$6:AZ$6)*$K79</f>
        <v>-120</v>
      </c>
      <c r="BA79" s="1">
        <f>SUM($AT79,$AA79:AE79)-SUM($AV$5:BA$5)*$J79-SUM($AV$6:BA$6)*$K79</f>
        <v>-240</v>
      </c>
      <c r="BB79" s="1">
        <f>SUM($AT79,$AA79:AF79)-SUM($AV$5:BB$5)*$J79-SUM($AV$6:BB$6)*$K79</f>
        <v>-360</v>
      </c>
      <c r="BC79" s="1">
        <f>SUM($AT79,$AA79:AG79)-SUM($AV$5:BC$5)*$J79-SUM($AV$6:BC$6)*$K79</f>
        <v>-480</v>
      </c>
      <c r="BD79" s="1">
        <f>SUM($AT79,$AA79:AH79)-SUM($AV$5:BD$5)*$J79-SUM($AV$6:BD$6)*$K79</f>
        <v>-600</v>
      </c>
      <c r="BE79" s="1">
        <f>SUM($AT79,$AA79:AI79)-SUM($AV$5:BE$5)*$J79-SUM($AV$6:BE$6)*$K79</f>
        <v>-720</v>
      </c>
      <c r="BF79" s="1">
        <f>SUM($AT79,$AA79:AJ79)-SUM($AV$5:BF$5)*$J79-SUM($AV$6:BF$6)*$K79</f>
        <v>-840</v>
      </c>
      <c r="BG79" s="1">
        <f>SUM($AT79,$AA79:AK79)-SUM($AV$5:BG$5)*$J79-SUM($AV$6:BG$6)*$K79</f>
        <v>-960</v>
      </c>
      <c r="BH79" s="1">
        <f>SUM($AT79,$AA79:AL79)-SUM($AV$5:BH$5)*$J79-SUM($AV$6:BH$6)*$K79</f>
        <v>-1080</v>
      </c>
      <c r="BI79" s="1">
        <f>SUM($AT79,$AA79:AM79)-SUM($AV$5:BI$5)*$J79-SUM($AV$6:BI$6)*$K79</f>
        <v>-1200</v>
      </c>
      <c r="BJ79" s="1">
        <f>SUM($AT79,$AA79:AN79)-SUM($AV$5:BJ$5)*$J79-SUM($AV$6:BJ$6)*$K79</f>
        <v>-1320</v>
      </c>
      <c r="BK79" s="1">
        <f>SUM($AT79,$AA79:AO79)-SUM($AV$5:BK$5)*$J79-SUM($AV$6:BK$6)*$K79</f>
        <v>-1440</v>
      </c>
      <c r="BL79" s="1">
        <f>SUM($AT79,$AA79:AP79)-SUM($AV$5:BL$5)*$J79-SUM($AV$6:BL$6)*$K79</f>
        <v>-1560</v>
      </c>
      <c r="BM79" s="1">
        <f>SUM($AT79,$AA79:AQ79)-SUM($AV$5:BM$5)*$J79-SUM($AV$6:BM$6)*$K79</f>
        <v>-1680</v>
      </c>
      <c r="BN79" s="1">
        <f>SUM($AT79,$AA79:AR79)-SUM($AV$5:BN$5)*$J79-SUM($AV$6:BN$6)*$K79</f>
        <v>-1746</v>
      </c>
    </row>
    <row r="80" spans="1:66">
      <c r="A80" s="1">
        <v>89</v>
      </c>
      <c r="B80" s="28" t="s">
        <v>333</v>
      </c>
      <c r="C80" s="1" t="s">
        <v>40</v>
      </c>
      <c r="D80" s="2">
        <v>401039812</v>
      </c>
      <c r="E80" s="3" t="s">
        <v>334</v>
      </c>
      <c r="F80" s="1">
        <v>400481628</v>
      </c>
      <c r="G80" s="1" t="s">
        <v>42</v>
      </c>
      <c r="H80" s="1">
        <v>2</v>
      </c>
      <c r="I80" s="1">
        <v>16</v>
      </c>
      <c r="J80" s="1">
        <v>16</v>
      </c>
      <c r="K80" s="1">
        <v>0</v>
      </c>
      <c r="L80" s="1">
        <v>0</v>
      </c>
      <c r="M80" s="1">
        <f t="shared" si="4"/>
        <v>9312</v>
      </c>
      <c r="N80" s="1">
        <f t="shared" si="5"/>
        <v>9312</v>
      </c>
      <c r="O80" s="2" t="s">
        <v>323</v>
      </c>
      <c r="P80" s="1"/>
      <c r="Q80" s="1">
        <v>1.61</v>
      </c>
      <c r="R80" s="1" t="s">
        <v>44</v>
      </c>
      <c r="S80" s="30" t="s">
        <v>324</v>
      </c>
      <c r="T80" s="31" t="s">
        <v>323</v>
      </c>
      <c r="U80" s="1"/>
      <c r="V80" s="1">
        <v>750</v>
      </c>
      <c r="W80" s="1" t="s">
        <v>325</v>
      </c>
      <c r="X80" s="32" t="s">
        <v>326</v>
      </c>
      <c r="Y80" s="1" t="s">
        <v>327</v>
      </c>
      <c r="Z80" s="2" t="s">
        <v>323</v>
      </c>
      <c r="AA80" s="1"/>
      <c r="AB80" s="1"/>
      <c r="AC80" s="1"/>
      <c r="AD80" s="1"/>
      <c r="AE80" s="1"/>
      <c r="AF80" s="1"/>
      <c r="AG80" s="1"/>
      <c r="AH80" s="1"/>
      <c r="AI80" s="1"/>
      <c r="AJ80" s="1"/>
      <c r="AK80" s="1"/>
      <c r="AL80" s="1"/>
      <c r="AM80" s="1"/>
      <c r="AN80" s="1"/>
      <c r="AO80" s="1"/>
      <c r="AP80" s="1"/>
      <c r="AQ80" s="1"/>
      <c r="AR80" s="1"/>
      <c r="AS80" s="1"/>
      <c r="AT80" s="1"/>
      <c r="AU80" s="1"/>
      <c r="AV80" s="1">
        <f>SUM($AT80,Z80:$AA80)-SUM($AV$5:AV$5)*$J80-SUM($AV$6:AV$6)*$K80</f>
        <v>0</v>
      </c>
      <c r="AW80" s="1">
        <f>SUM($AT80,$AA80:AA80)-SUM($AV$5:AW$5)*$J80-SUM($AV$6:AW$6)*$K80</f>
        <v>0</v>
      </c>
      <c r="AX80" s="1">
        <f>SUM($AT80,$AA80:AB80)-SUM($AV$5:AX$5)*$J80-SUM($AV$6:AX$6)*$K80</f>
        <v>0</v>
      </c>
      <c r="AY80" s="1">
        <f>SUM($AT80,$AA80:AC80)-SUM($AV$5:AY$5)*$J80-SUM($AV$6:AY$6)*$K80</f>
        <v>0</v>
      </c>
      <c r="AZ80" s="1">
        <f>SUM($AT80,$AA80:AD80)-SUM($AV$5:AZ$5)*$J80-SUM($AV$6:AZ$6)*$K80</f>
        <v>-640</v>
      </c>
      <c r="BA80" s="1">
        <f>SUM($AT80,$AA80:AE80)-SUM($AV$5:BA$5)*$J80-SUM($AV$6:BA$6)*$K80</f>
        <v>-1280</v>
      </c>
      <c r="BB80" s="1">
        <f>SUM($AT80,$AA80:AF80)-SUM($AV$5:BB$5)*$J80-SUM($AV$6:BB$6)*$K80</f>
        <v>-1920</v>
      </c>
      <c r="BC80" s="1">
        <f>SUM($AT80,$AA80:AG80)-SUM($AV$5:BC$5)*$J80-SUM($AV$6:BC$6)*$K80</f>
        <v>-2560</v>
      </c>
      <c r="BD80" s="1">
        <f>SUM($AT80,$AA80:AH80)-SUM($AV$5:BD$5)*$J80-SUM($AV$6:BD$6)*$K80</f>
        <v>-3200</v>
      </c>
      <c r="BE80" s="1">
        <f>SUM($AT80,$AA80:AI80)-SUM($AV$5:BE$5)*$J80-SUM($AV$6:BE$6)*$K80</f>
        <v>-3840</v>
      </c>
      <c r="BF80" s="1">
        <f>SUM($AT80,$AA80:AJ80)-SUM($AV$5:BF$5)*$J80-SUM($AV$6:BF$6)*$K80</f>
        <v>-4480</v>
      </c>
      <c r="BG80" s="1">
        <f>SUM($AT80,$AA80:AK80)-SUM($AV$5:BG$5)*$J80-SUM($AV$6:BG$6)*$K80</f>
        <v>-5120</v>
      </c>
      <c r="BH80" s="1">
        <f>SUM($AT80,$AA80:AL80)-SUM($AV$5:BH$5)*$J80-SUM($AV$6:BH$6)*$K80</f>
        <v>-5760</v>
      </c>
      <c r="BI80" s="1">
        <f>SUM($AT80,$AA80:AM80)-SUM($AV$5:BI$5)*$J80-SUM($AV$6:BI$6)*$K80</f>
        <v>-6400</v>
      </c>
      <c r="BJ80" s="1">
        <f>SUM($AT80,$AA80:AN80)-SUM($AV$5:BJ$5)*$J80-SUM($AV$6:BJ$6)*$K80</f>
        <v>-7040</v>
      </c>
      <c r="BK80" s="1">
        <f>SUM($AT80,$AA80:AO80)-SUM($AV$5:BK$5)*$J80-SUM($AV$6:BK$6)*$K80</f>
        <v>-7680</v>
      </c>
      <c r="BL80" s="1">
        <f>SUM($AT80,$AA80:AP80)-SUM($AV$5:BL$5)*$J80-SUM($AV$6:BL$6)*$K80</f>
        <v>-8320</v>
      </c>
      <c r="BM80" s="1">
        <f>SUM($AT80,$AA80:AQ80)-SUM($AV$5:BM$5)*$J80-SUM($AV$6:BM$6)*$K80</f>
        <v>-8960</v>
      </c>
      <c r="BN80" s="1">
        <f>SUM($AT80,$AA80:AR80)-SUM($AV$5:BN$5)*$J80-SUM($AV$6:BN$6)*$K80</f>
        <v>-9312</v>
      </c>
    </row>
    <row r="81" spans="1:66">
      <c r="A81" s="1">
        <v>90</v>
      </c>
      <c r="B81" s="28" t="s">
        <v>335</v>
      </c>
      <c r="C81" s="1" t="s">
        <v>40</v>
      </c>
      <c r="D81" s="2">
        <v>405802980</v>
      </c>
      <c r="E81" s="3" t="s">
        <v>336</v>
      </c>
      <c r="F81" s="1"/>
      <c r="G81" s="1" t="s">
        <v>42</v>
      </c>
      <c r="H81" s="1">
        <v>2</v>
      </c>
      <c r="I81" s="1">
        <v>2</v>
      </c>
      <c r="J81" s="1">
        <v>2</v>
      </c>
      <c r="K81" s="1">
        <v>0</v>
      </c>
      <c r="L81" s="1">
        <v>0</v>
      </c>
      <c r="M81" s="1">
        <f t="shared" si="4"/>
        <v>1164</v>
      </c>
      <c r="N81" s="1">
        <f t="shared" si="5"/>
        <v>1164</v>
      </c>
      <c r="O81" s="2" t="s">
        <v>323</v>
      </c>
      <c r="P81" s="1"/>
      <c r="Q81" s="1">
        <v>3.91</v>
      </c>
      <c r="R81" s="1" t="s">
        <v>44</v>
      </c>
      <c r="S81" s="30" t="s">
        <v>330</v>
      </c>
      <c r="T81" s="31" t="s">
        <v>323</v>
      </c>
      <c r="U81" s="1"/>
      <c r="V81" s="1">
        <v>98</v>
      </c>
      <c r="W81" s="1" t="s">
        <v>325</v>
      </c>
      <c r="X81" s="32" t="s">
        <v>326</v>
      </c>
      <c r="Y81" s="1" t="s">
        <v>327</v>
      </c>
      <c r="Z81" s="2" t="s">
        <v>323</v>
      </c>
      <c r="AA81" s="1"/>
      <c r="AB81" s="1"/>
      <c r="AC81" s="1"/>
      <c r="AD81" s="1"/>
      <c r="AE81" s="1"/>
      <c r="AF81" s="1"/>
      <c r="AG81" s="1"/>
      <c r="AH81" s="1"/>
      <c r="AI81" s="1"/>
      <c r="AJ81" s="1"/>
      <c r="AK81" s="1"/>
      <c r="AL81" s="1"/>
      <c r="AM81" s="1"/>
      <c r="AN81" s="1"/>
      <c r="AO81" s="1"/>
      <c r="AP81" s="1"/>
      <c r="AQ81" s="1"/>
      <c r="AR81" s="1"/>
      <c r="AS81" s="1"/>
      <c r="AT81" s="1"/>
      <c r="AU81" s="1"/>
      <c r="AV81" s="1">
        <f>SUM($AT81,Z81:$AA81)-SUM($AV$5:AV$5)*$J81-SUM($AV$6:AV$6)*$K81</f>
        <v>0</v>
      </c>
      <c r="AW81" s="1">
        <f>SUM($AT81,$AA81:AA81)-SUM($AV$5:AW$5)*$J81-SUM($AV$6:AW$6)*$K81</f>
        <v>0</v>
      </c>
      <c r="AX81" s="1">
        <f>SUM($AT81,$AA81:AB81)-SUM($AV$5:AX$5)*$J81-SUM($AV$6:AX$6)*$K81</f>
        <v>0</v>
      </c>
      <c r="AY81" s="1">
        <f>SUM($AT81,$AA81:AC81)-SUM($AV$5:AY$5)*$J81-SUM($AV$6:AY$6)*$K81</f>
        <v>0</v>
      </c>
      <c r="AZ81" s="1">
        <f>SUM($AT81,$AA81:AD81)-SUM($AV$5:AZ$5)*$J81-SUM($AV$6:AZ$6)*$K81</f>
        <v>-80</v>
      </c>
      <c r="BA81" s="1">
        <f>SUM($AT81,$AA81:AE81)-SUM($AV$5:BA$5)*$J81-SUM($AV$6:BA$6)*$K81</f>
        <v>-160</v>
      </c>
      <c r="BB81" s="1">
        <f>SUM($AT81,$AA81:AF81)-SUM($AV$5:BB$5)*$J81-SUM($AV$6:BB$6)*$K81</f>
        <v>-240</v>
      </c>
      <c r="BC81" s="1">
        <f>SUM($AT81,$AA81:AG81)-SUM($AV$5:BC$5)*$J81-SUM($AV$6:BC$6)*$K81</f>
        <v>-320</v>
      </c>
      <c r="BD81" s="1">
        <f>SUM($AT81,$AA81:AH81)-SUM($AV$5:BD$5)*$J81-SUM($AV$6:BD$6)*$K81</f>
        <v>-400</v>
      </c>
      <c r="BE81" s="1">
        <f>SUM($AT81,$AA81:AI81)-SUM($AV$5:BE$5)*$J81-SUM($AV$6:BE$6)*$K81</f>
        <v>-480</v>
      </c>
      <c r="BF81" s="1">
        <f>SUM($AT81,$AA81:AJ81)-SUM($AV$5:BF$5)*$J81-SUM($AV$6:BF$6)*$K81</f>
        <v>-560</v>
      </c>
      <c r="BG81" s="1">
        <f>SUM($AT81,$AA81:AK81)-SUM($AV$5:BG$5)*$J81-SUM($AV$6:BG$6)*$K81</f>
        <v>-640</v>
      </c>
      <c r="BH81" s="1">
        <f>SUM($AT81,$AA81:AL81)-SUM($AV$5:BH$5)*$J81-SUM($AV$6:BH$6)*$K81</f>
        <v>-720</v>
      </c>
      <c r="BI81" s="1">
        <f>SUM($AT81,$AA81:AM81)-SUM($AV$5:BI$5)*$J81-SUM($AV$6:BI$6)*$K81</f>
        <v>-800</v>
      </c>
      <c r="BJ81" s="1">
        <f>SUM($AT81,$AA81:AN81)-SUM($AV$5:BJ$5)*$J81-SUM($AV$6:BJ$6)*$K81</f>
        <v>-880</v>
      </c>
      <c r="BK81" s="1">
        <f>SUM($AT81,$AA81:AO81)-SUM($AV$5:BK$5)*$J81-SUM($AV$6:BK$6)*$K81</f>
        <v>-960</v>
      </c>
      <c r="BL81" s="1">
        <f>SUM($AT81,$AA81:AP81)-SUM($AV$5:BL$5)*$J81-SUM($AV$6:BL$6)*$K81</f>
        <v>-1040</v>
      </c>
      <c r="BM81" s="1">
        <f>SUM($AT81,$AA81:AQ81)-SUM($AV$5:BM$5)*$J81-SUM($AV$6:BM$6)*$K81</f>
        <v>-1120</v>
      </c>
      <c r="BN81" s="1">
        <f>SUM($AT81,$AA81:AR81)-SUM($AV$5:BN$5)*$J81-SUM($AV$6:BN$6)*$K81</f>
        <v>-1164</v>
      </c>
    </row>
    <row r="82" spans="1:66">
      <c r="A82" s="1">
        <v>91</v>
      </c>
      <c r="B82" s="28" t="s">
        <v>337</v>
      </c>
      <c r="C82" s="1" t="s">
        <v>40</v>
      </c>
      <c r="D82" s="2">
        <v>400565164</v>
      </c>
      <c r="E82" s="3" t="s">
        <v>338</v>
      </c>
      <c r="F82" s="1"/>
      <c r="G82" s="1" t="s">
        <v>42</v>
      </c>
      <c r="H82" s="1">
        <v>2</v>
      </c>
      <c r="I82" s="1">
        <v>1</v>
      </c>
      <c r="J82" s="1">
        <v>1</v>
      </c>
      <c r="K82" s="1">
        <v>0</v>
      </c>
      <c r="L82" s="1">
        <v>0</v>
      </c>
      <c r="M82" s="1">
        <f t="shared" si="4"/>
        <v>582</v>
      </c>
      <c r="N82" s="1">
        <f t="shared" si="5"/>
        <v>582</v>
      </c>
      <c r="O82" s="2" t="s">
        <v>323</v>
      </c>
      <c r="P82" s="1"/>
      <c r="Q82" s="1">
        <v>6.22</v>
      </c>
      <c r="R82" s="1" t="s">
        <v>44</v>
      </c>
      <c r="S82" s="30" t="s">
        <v>330</v>
      </c>
      <c r="T82" s="31" t="s">
        <v>323</v>
      </c>
      <c r="U82" s="1"/>
      <c r="V82" s="1">
        <v>250</v>
      </c>
      <c r="W82" s="1" t="s">
        <v>325</v>
      </c>
      <c r="X82" s="32" t="s">
        <v>326</v>
      </c>
      <c r="Y82" s="1" t="s">
        <v>327</v>
      </c>
      <c r="Z82" s="2" t="s">
        <v>323</v>
      </c>
      <c r="AA82" s="1"/>
      <c r="AB82" s="1"/>
      <c r="AC82" s="1"/>
      <c r="AD82" s="1"/>
      <c r="AE82" s="1"/>
      <c r="AF82" s="1"/>
      <c r="AG82" s="1"/>
      <c r="AH82" s="1"/>
      <c r="AI82" s="1"/>
      <c r="AJ82" s="1"/>
      <c r="AK82" s="1"/>
      <c r="AL82" s="1"/>
      <c r="AM82" s="1"/>
      <c r="AN82" s="1"/>
      <c r="AO82" s="1"/>
      <c r="AP82" s="1"/>
      <c r="AQ82" s="1"/>
      <c r="AR82" s="1"/>
      <c r="AS82" s="1"/>
      <c r="AT82" s="1"/>
      <c r="AU82" s="1"/>
      <c r="AV82" s="1">
        <f>SUM($AT82,Z82:$AA82)-SUM($AV$5:AV$5)*$J82-SUM($AV$6:AV$6)*$K82</f>
        <v>0</v>
      </c>
      <c r="AW82" s="1">
        <f>SUM($AT82,$AA82:AA82)-SUM($AV$5:AW$5)*$J82-SUM($AV$6:AW$6)*$K82</f>
        <v>0</v>
      </c>
      <c r="AX82" s="1">
        <f>SUM($AT82,$AA82:AB82)-SUM($AV$5:AX$5)*$J82-SUM($AV$6:AX$6)*$K82</f>
        <v>0</v>
      </c>
      <c r="AY82" s="1">
        <f>SUM($AT82,$AA82:AC82)-SUM($AV$5:AY$5)*$J82-SUM($AV$6:AY$6)*$K82</f>
        <v>0</v>
      </c>
      <c r="AZ82" s="1">
        <f>SUM($AT82,$AA82:AD82)-SUM($AV$5:AZ$5)*$J82-SUM($AV$6:AZ$6)*$K82</f>
        <v>-40</v>
      </c>
      <c r="BA82" s="1">
        <f>SUM($AT82,$AA82:AE82)-SUM($AV$5:BA$5)*$J82-SUM($AV$6:BA$6)*$K82</f>
        <v>-80</v>
      </c>
      <c r="BB82" s="1">
        <f>SUM($AT82,$AA82:AF82)-SUM($AV$5:BB$5)*$J82-SUM($AV$6:BB$6)*$K82</f>
        <v>-120</v>
      </c>
      <c r="BC82" s="1">
        <f>SUM($AT82,$AA82:AG82)-SUM($AV$5:BC$5)*$J82-SUM($AV$6:BC$6)*$K82</f>
        <v>-160</v>
      </c>
      <c r="BD82" s="1">
        <f>SUM($AT82,$AA82:AH82)-SUM($AV$5:BD$5)*$J82-SUM($AV$6:BD$6)*$K82</f>
        <v>-200</v>
      </c>
      <c r="BE82" s="1">
        <f>SUM($AT82,$AA82:AI82)-SUM($AV$5:BE$5)*$J82-SUM($AV$6:BE$6)*$K82</f>
        <v>-240</v>
      </c>
      <c r="BF82" s="1">
        <f>SUM($AT82,$AA82:AJ82)-SUM($AV$5:BF$5)*$J82-SUM($AV$6:BF$6)*$K82</f>
        <v>-280</v>
      </c>
      <c r="BG82" s="1">
        <f>SUM($AT82,$AA82:AK82)-SUM($AV$5:BG$5)*$J82-SUM($AV$6:BG$6)*$K82</f>
        <v>-320</v>
      </c>
      <c r="BH82" s="1">
        <f>SUM($AT82,$AA82:AL82)-SUM($AV$5:BH$5)*$J82-SUM($AV$6:BH$6)*$K82</f>
        <v>-360</v>
      </c>
      <c r="BI82" s="1">
        <f>SUM($AT82,$AA82:AM82)-SUM($AV$5:BI$5)*$J82-SUM($AV$6:BI$6)*$K82</f>
        <v>-400</v>
      </c>
      <c r="BJ82" s="1">
        <f>SUM($AT82,$AA82:AN82)-SUM($AV$5:BJ$5)*$J82-SUM($AV$6:BJ$6)*$K82</f>
        <v>-440</v>
      </c>
      <c r="BK82" s="1">
        <f>SUM($AT82,$AA82:AO82)-SUM($AV$5:BK$5)*$J82-SUM($AV$6:BK$6)*$K82</f>
        <v>-480</v>
      </c>
      <c r="BL82" s="1">
        <f>SUM($AT82,$AA82:AP82)-SUM($AV$5:BL$5)*$J82-SUM($AV$6:BL$6)*$K82</f>
        <v>-520</v>
      </c>
      <c r="BM82" s="1">
        <f>SUM($AT82,$AA82:AQ82)-SUM($AV$5:BM$5)*$J82-SUM($AV$6:BM$6)*$K82</f>
        <v>-560</v>
      </c>
      <c r="BN82" s="1">
        <f>SUM($AT82,$AA82:AR82)-SUM($AV$5:BN$5)*$J82-SUM($AV$6:BN$6)*$K82</f>
        <v>-582</v>
      </c>
    </row>
    <row r="83" spans="1:66">
      <c r="A83" s="1">
        <v>96</v>
      </c>
      <c r="B83" s="28" t="s">
        <v>339</v>
      </c>
      <c r="C83" s="1" t="s">
        <v>40</v>
      </c>
      <c r="D83" s="2">
        <v>400625557</v>
      </c>
      <c r="E83" s="3" t="s">
        <v>340</v>
      </c>
      <c r="F83" s="1"/>
      <c r="G83" s="1" t="s">
        <v>42</v>
      </c>
      <c r="H83" s="1">
        <v>2</v>
      </c>
      <c r="I83" s="1">
        <v>1</v>
      </c>
      <c r="J83" s="1">
        <v>1</v>
      </c>
      <c r="K83" s="1">
        <v>0</v>
      </c>
      <c r="L83" s="1">
        <v>0</v>
      </c>
      <c r="M83" s="1">
        <f t="shared" si="4"/>
        <v>582</v>
      </c>
      <c r="N83" s="1">
        <f t="shared" si="5"/>
        <v>582</v>
      </c>
      <c r="O83" s="2" t="s">
        <v>323</v>
      </c>
      <c r="P83" s="1"/>
      <c r="Q83" s="1">
        <v>4.32</v>
      </c>
      <c r="R83" s="1" t="s">
        <v>44</v>
      </c>
      <c r="S83" s="30" t="s">
        <v>330</v>
      </c>
      <c r="T83" s="31" t="s">
        <v>323</v>
      </c>
      <c r="U83" s="1"/>
      <c r="V83" s="1">
        <v>500</v>
      </c>
      <c r="W83" s="1" t="s">
        <v>325</v>
      </c>
      <c r="X83" s="32" t="s">
        <v>326</v>
      </c>
      <c r="Y83" s="1" t="s">
        <v>327</v>
      </c>
      <c r="Z83" s="2" t="s">
        <v>323</v>
      </c>
      <c r="AA83" s="1"/>
      <c r="AB83" s="1"/>
      <c r="AC83" s="1"/>
      <c r="AD83" s="1"/>
      <c r="AE83" s="1"/>
      <c r="AF83" s="1"/>
      <c r="AG83" s="1"/>
      <c r="AH83" s="1"/>
      <c r="AI83" s="1"/>
      <c r="AJ83" s="1"/>
      <c r="AK83" s="1"/>
      <c r="AL83" s="1"/>
      <c r="AM83" s="1"/>
      <c r="AN83" s="1"/>
      <c r="AO83" s="1"/>
      <c r="AP83" s="1"/>
      <c r="AQ83" s="1"/>
      <c r="AR83" s="1"/>
      <c r="AS83" s="1"/>
      <c r="AT83" s="1"/>
      <c r="AU83" s="1"/>
      <c r="AV83" s="1">
        <f>SUM($AT83,Z83:$AA83)-SUM($AV$5:AV$5)*$J83-SUM($AV$6:AV$6)*$K83</f>
        <v>0</v>
      </c>
      <c r="AW83" s="1">
        <f>SUM($AT83,$AA83:AA83)-SUM($AV$5:AW$5)*$J83-SUM($AV$6:AW$6)*$K83</f>
        <v>0</v>
      </c>
      <c r="AX83" s="1">
        <f>SUM($AT83,$AA83:AB83)-SUM($AV$5:AX$5)*$J83-SUM($AV$6:AX$6)*$K83</f>
        <v>0</v>
      </c>
      <c r="AY83" s="1">
        <f>SUM($AT83,$AA83:AC83)-SUM($AV$5:AY$5)*$J83-SUM($AV$6:AY$6)*$K83</f>
        <v>0</v>
      </c>
      <c r="AZ83" s="1">
        <f>SUM($AT83,$AA83:AD83)-SUM($AV$5:AZ$5)*$J83-SUM($AV$6:AZ$6)*$K83</f>
        <v>-40</v>
      </c>
      <c r="BA83" s="1">
        <f>SUM($AT83,$AA83:AE83)-SUM($AV$5:BA$5)*$J83-SUM($AV$6:BA$6)*$K83</f>
        <v>-80</v>
      </c>
      <c r="BB83" s="1">
        <f>SUM($AT83,$AA83:AF83)-SUM($AV$5:BB$5)*$J83-SUM($AV$6:BB$6)*$K83</f>
        <v>-120</v>
      </c>
      <c r="BC83" s="1">
        <f>SUM($AT83,$AA83:AG83)-SUM($AV$5:BC$5)*$J83-SUM($AV$6:BC$6)*$K83</f>
        <v>-160</v>
      </c>
      <c r="BD83" s="1">
        <f>SUM($AT83,$AA83:AH83)-SUM($AV$5:BD$5)*$J83-SUM($AV$6:BD$6)*$K83</f>
        <v>-200</v>
      </c>
      <c r="BE83" s="1">
        <f>SUM($AT83,$AA83:AI83)-SUM($AV$5:BE$5)*$J83-SUM($AV$6:BE$6)*$K83</f>
        <v>-240</v>
      </c>
      <c r="BF83" s="1">
        <f>SUM($AT83,$AA83:AJ83)-SUM($AV$5:BF$5)*$J83-SUM($AV$6:BF$6)*$K83</f>
        <v>-280</v>
      </c>
      <c r="BG83" s="1">
        <f>SUM($AT83,$AA83:AK83)-SUM($AV$5:BG$5)*$J83-SUM($AV$6:BG$6)*$K83</f>
        <v>-320</v>
      </c>
      <c r="BH83" s="1">
        <f>SUM($AT83,$AA83:AL83)-SUM($AV$5:BH$5)*$J83-SUM($AV$6:BH$6)*$K83</f>
        <v>-360</v>
      </c>
      <c r="BI83" s="1">
        <f>SUM($AT83,$AA83:AM83)-SUM($AV$5:BI$5)*$J83-SUM($AV$6:BI$6)*$K83</f>
        <v>-400</v>
      </c>
      <c r="BJ83" s="1">
        <f>SUM($AT83,$AA83:AN83)-SUM($AV$5:BJ$5)*$J83-SUM($AV$6:BJ$6)*$K83</f>
        <v>-440</v>
      </c>
      <c r="BK83" s="1">
        <f>SUM($AT83,$AA83:AO83)-SUM($AV$5:BK$5)*$J83-SUM($AV$6:BK$6)*$K83</f>
        <v>-480</v>
      </c>
      <c r="BL83" s="1">
        <f>SUM($AT83,$AA83:AP83)-SUM($AV$5:BL$5)*$J83-SUM($AV$6:BL$6)*$K83</f>
        <v>-520</v>
      </c>
      <c r="BM83" s="1">
        <f>SUM($AT83,$AA83:AQ83)-SUM($AV$5:BM$5)*$J83-SUM($AV$6:BM$6)*$K83</f>
        <v>-560</v>
      </c>
      <c r="BN83" s="1">
        <f>SUM($AT83,$AA83:AR83)-SUM($AV$5:BN$5)*$J83-SUM($AV$6:BN$6)*$K83</f>
        <v>-582</v>
      </c>
    </row>
    <row r="84" spans="1:66">
      <c r="A84" s="1">
        <v>101</v>
      </c>
      <c r="B84" s="45" t="s">
        <v>341</v>
      </c>
      <c r="C84" s="1" t="s">
        <v>176</v>
      </c>
      <c r="D84" s="2">
        <v>400292371</v>
      </c>
      <c r="E84" s="3" t="s">
        <v>342</v>
      </c>
      <c r="F84" s="1"/>
      <c r="G84" s="1" t="s">
        <v>42</v>
      </c>
      <c r="H84" s="1">
        <v>2</v>
      </c>
      <c r="I84" s="1">
        <v>4</v>
      </c>
      <c r="J84" s="1">
        <v>4</v>
      </c>
      <c r="K84" s="1">
        <v>0</v>
      </c>
      <c r="L84" s="1">
        <v>0</v>
      </c>
      <c r="M84" s="1">
        <f t="shared" si="4"/>
        <v>2328</v>
      </c>
      <c r="N84" s="1">
        <f t="shared" si="5"/>
        <v>2328</v>
      </c>
      <c r="O84" s="2" t="s">
        <v>215</v>
      </c>
      <c r="P84" s="1"/>
      <c r="Q84" s="1">
        <v>7.86</v>
      </c>
      <c r="R84" s="1" t="s">
        <v>44</v>
      </c>
      <c r="S84" s="30" t="s">
        <v>145</v>
      </c>
      <c r="T84" s="31" t="s">
        <v>215</v>
      </c>
      <c r="U84" s="1"/>
      <c r="V84" s="1">
        <v>1000</v>
      </c>
      <c r="W84" s="1" t="s">
        <v>216</v>
      </c>
      <c r="X84" s="32" t="s">
        <v>217</v>
      </c>
      <c r="Y84" s="1" t="s">
        <v>218</v>
      </c>
      <c r="Z84" s="2" t="s">
        <v>215</v>
      </c>
      <c r="AA84" s="1"/>
      <c r="AB84" s="1"/>
      <c r="AC84" s="1"/>
      <c r="AD84" s="1"/>
      <c r="AE84" s="1"/>
      <c r="AF84" s="1"/>
      <c r="AG84" s="1"/>
      <c r="AH84" s="1"/>
      <c r="AI84" s="1"/>
      <c r="AJ84" s="1"/>
      <c r="AK84" s="1"/>
      <c r="AL84" s="1"/>
      <c r="AM84" s="1"/>
      <c r="AN84" s="1"/>
      <c r="AO84" s="1"/>
      <c r="AP84" s="1"/>
      <c r="AQ84" s="1"/>
      <c r="AR84" s="1"/>
      <c r="AS84" s="1"/>
      <c r="AT84" s="1"/>
      <c r="AU84" s="1"/>
      <c r="AV84" s="1">
        <f>SUM($AT84,Z84:$AA84)-SUM($AV$5:AV$5)*$J84-SUM($AV$6:AV$6)*$K84</f>
        <v>0</v>
      </c>
      <c r="AW84" s="1">
        <f>SUM($AT84,$AA84:AA84)-SUM($AV$5:AW$5)*$J84-SUM($AV$6:AW$6)*$K84</f>
        <v>0</v>
      </c>
      <c r="AX84" s="1">
        <f>SUM($AT84,$AA84:AB84)-SUM($AV$5:AX$5)*$J84-SUM($AV$6:AX$6)*$K84</f>
        <v>0</v>
      </c>
      <c r="AY84" s="1">
        <f>SUM($AT84,$AA84:AC84)-SUM($AV$5:AY$5)*$J84-SUM($AV$6:AY$6)*$K84</f>
        <v>0</v>
      </c>
      <c r="AZ84" s="1">
        <f>SUM($AT84,$AA84:AD84)-SUM($AV$5:AZ$5)*$J84-SUM($AV$6:AZ$6)*$K84</f>
        <v>-160</v>
      </c>
      <c r="BA84" s="1">
        <f>SUM($AT84,$AA84:AE84)-SUM($AV$5:BA$5)*$J84-SUM($AV$6:BA$6)*$K84</f>
        <v>-320</v>
      </c>
      <c r="BB84" s="1">
        <f>SUM($AT84,$AA84:AF84)-SUM($AV$5:BB$5)*$J84-SUM($AV$6:BB$6)*$K84</f>
        <v>-480</v>
      </c>
      <c r="BC84" s="1">
        <f>SUM($AT84,$AA84:AG84)-SUM($AV$5:BC$5)*$J84-SUM($AV$6:BC$6)*$K84</f>
        <v>-640</v>
      </c>
      <c r="BD84" s="1">
        <f>SUM($AT84,$AA84:AH84)-SUM($AV$5:BD$5)*$J84-SUM($AV$6:BD$6)*$K84</f>
        <v>-800</v>
      </c>
      <c r="BE84" s="1">
        <f>SUM($AT84,$AA84:AI84)-SUM($AV$5:BE$5)*$J84-SUM($AV$6:BE$6)*$K84</f>
        <v>-960</v>
      </c>
      <c r="BF84" s="1">
        <f>SUM($AT84,$AA84:AJ84)-SUM($AV$5:BF$5)*$J84-SUM($AV$6:BF$6)*$K84</f>
        <v>-1120</v>
      </c>
      <c r="BG84" s="1">
        <f>SUM($AT84,$AA84:AK84)-SUM($AV$5:BG$5)*$J84-SUM($AV$6:BG$6)*$K84</f>
        <v>-1280</v>
      </c>
      <c r="BH84" s="1">
        <f>SUM($AT84,$AA84:AL84)-SUM($AV$5:BH$5)*$J84-SUM($AV$6:BH$6)*$K84</f>
        <v>-1440</v>
      </c>
      <c r="BI84" s="1">
        <f>SUM($AT84,$AA84:AM84)-SUM($AV$5:BI$5)*$J84-SUM($AV$6:BI$6)*$K84</f>
        <v>-1600</v>
      </c>
      <c r="BJ84" s="1">
        <f>SUM($AT84,$AA84:AN84)-SUM($AV$5:BJ$5)*$J84-SUM($AV$6:BJ$6)*$K84</f>
        <v>-1760</v>
      </c>
      <c r="BK84" s="1">
        <f>SUM($AT84,$AA84:AO84)-SUM($AV$5:BK$5)*$J84-SUM($AV$6:BK$6)*$K84</f>
        <v>-1920</v>
      </c>
      <c r="BL84" s="1">
        <f>SUM($AT84,$AA84:AP84)-SUM($AV$5:BL$5)*$J84-SUM($AV$6:BL$6)*$K84</f>
        <v>-2080</v>
      </c>
      <c r="BM84" s="1">
        <f>SUM($AT84,$AA84:AQ84)-SUM($AV$5:BM$5)*$J84-SUM($AV$6:BM$6)*$K84</f>
        <v>-2240</v>
      </c>
      <c r="BN84" s="1">
        <f>SUM($AT84,$AA84:AR84)-SUM($AV$5:BN$5)*$J84-SUM($AV$6:BN$6)*$K84</f>
        <v>-2328</v>
      </c>
    </row>
    <row r="85" spans="1:66">
      <c r="A85" s="1">
        <v>98</v>
      </c>
      <c r="B85" s="28" t="s">
        <v>343</v>
      </c>
      <c r="C85" s="1" t="s">
        <v>40</v>
      </c>
      <c r="D85" s="2">
        <v>400522453</v>
      </c>
      <c r="E85" s="3" t="s">
        <v>344</v>
      </c>
      <c r="F85" s="1"/>
      <c r="G85" s="1" t="s">
        <v>42</v>
      </c>
      <c r="H85" s="1">
        <v>2</v>
      </c>
      <c r="I85" s="1">
        <v>1</v>
      </c>
      <c r="J85" s="1">
        <v>1</v>
      </c>
      <c r="K85" s="1">
        <v>0</v>
      </c>
      <c r="L85" s="1">
        <v>0</v>
      </c>
      <c r="M85" s="1">
        <f t="shared" si="4"/>
        <v>582</v>
      </c>
      <c r="N85" s="1">
        <f t="shared" si="5"/>
        <v>582</v>
      </c>
      <c r="O85" s="2" t="s">
        <v>323</v>
      </c>
      <c r="P85" s="1"/>
      <c r="Q85" s="1">
        <v>4.51</v>
      </c>
      <c r="R85" s="1" t="s">
        <v>44</v>
      </c>
      <c r="S85" s="30" t="s">
        <v>324</v>
      </c>
      <c r="T85" s="31" t="s">
        <v>323</v>
      </c>
      <c r="U85" s="1"/>
      <c r="V85" s="1">
        <v>490</v>
      </c>
      <c r="W85" s="1" t="s">
        <v>325</v>
      </c>
      <c r="X85" s="32" t="s">
        <v>326</v>
      </c>
      <c r="Y85" s="1" t="s">
        <v>327</v>
      </c>
      <c r="Z85" s="2" t="s">
        <v>323</v>
      </c>
      <c r="AA85" s="1"/>
      <c r="AB85" s="1"/>
      <c r="AC85" s="1"/>
      <c r="AD85" s="1"/>
      <c r="AE85" s="1"/>
      <c r="AF85" s="1"/>
      <c r="AG85" s="1"/>
      <c r="AH85" s="1"/>
      <c r="AI85" s="1"/>
      <c r="AJ85" s="1"/>
      <c r="AK85" s="1"/>
      <c r="AL85" s="1"/>
      <c r="AM85" s="1"/>
      <c r="AN85" s="1"/>
      <c r="AO85" s="1"/>
      <c r="AP85" s="1"/>
      <c r="AQ85" s="1"/>
      <c r="AR85" s="1"/>
      <c r="AS85" s="1"/>
      <c r="AT85" s="1"/>
      <c r="AU85" s="1"/>
      <c r="AV85" s="1">
        <f>SUM($AT85,Z85:$AA85)-SUM($AV$5:AV$5)*$J85-SUM($AV$6:AV$6)*$K85</f>
        <v>0</v>
      </c>
      <c r="AW85" s="1">
        <f>SUM($AT85,$AA85:AA85)-SUM($AV$5:AW$5)*$J85-SUM($AV$6:AW$6)*$K85</f>
        <v>0</v>
      </c>
      <c r="AX85" s="1">
        <f>SUM($AT85,$AA85:AB85)-SUM($AV$5:AX$5)*$J85-SUM($AV$6:AX$6)*$K85</f>
        <v>0</v>
      </c>
      <c r="AY85" s="1">
        <f>SUM($AT85,$AA85:AC85)-SUM($AV$5:AY$5)*$J85-SUM($AV$6:AY$6)*$K85</f>
        <v>0</v>
      </c>
      <c r="AZ85" s="1">
        <f>SUM($AT85,$AA85:AD85)-SUM($AV$5:AZ$5)*$J85-SUM($AV$6:AZ$6)*$K85</f>
        <v>-40</v>
      </c>
      <c r="BA85" s="1">
        <f>SUM($AT85,$AA85:AE85)-SUM($AV$5:BA$5)*$J85-SUM($AV$6:BA$6)*$K85</f>
        <v>-80</v>
      </c>
      <c r="BB85" s="1">
        <f>SUM($AT85,$AA85:AF85)-SUM($AV$5:BB$5)*$J85-SUM($AV$6:BB$6)*$K85</f>
        <v>-120</v>
      </c>
      <c r="BC85" s="1">
        <f>SUM($AT85,$AA85:AG85)-SUM($AV$5:BC$5)*$J85-SUM($AV$6:BC$6)*$K85</f>
        <v>-160</v>
      </c>
      <c r="BD85" s="1">
        <f>SUM($AT85,$AA85:AH85)-SUM($AV$5:BD$5)*$J85-SUM($AV$6:BD$6)*$K85</f>
        <v>-200</v>
      </c>
      <c r="BE85" s="1">
        <f>SUM($AT85,$AA85:AI85)-SUM($AV$5:BE$5)*$J85-SUM($AV$6:BE$6)*$K85</f>
        <v>-240</v>
      </c>
      <c r="BF85" s="1">
        <f>SUM($AT85,$AA85:AJ85)-SUM($AV$5:BF$5)*$J85-SUM($AV$6:BF$6)*$K85</f>
        <v>-280</v>
      </c>
      <c r="BG85" s="1">
        <f>SUM($AT85,$AA85:AK85)-SUM($AV$5:BG$5)*$J85-SUM($AV$6:BG$6)*$K85</f>
        <v>-320</v>
      </c>
      <c r="BH85" s="1">
        <f>SUM($AT85,$AA85:AL85)-SUM($AV$5:BH$5)*$J85-SUM($AV$6:BH$6)*$K85</f>
        <v>-360</v>
      </c>
      <c r="BI85" s="1">
        <f>SUM($AT85,$AA85:AM85)-SUM($AV$5:BI$5)*$J85-SUM($AV$6:BI$6)*$K85</f>
        <v>-400</v>
      </c>
      <c r="BJ85" s="1">
        <f>SUM($AT85,$AA85:AN85)-SUM($AV$5:BJ$5)*$J85-SUM($AV$6:BJ$6)*$K85</f>
        <v>-440</v>
      </c>
      <c r="BK85" s="1">
        <f>SUM($AT85,$AA85:AO85)-SUM($AV$5:BK$5)*$J85-SUM($AV$6:BK$6)*$K85</f>
        <v>-480</v>
      </c>
      <c r="BL85" s="1">
        <f>SUM($AT85,$AA85:AP85)-SUM($AV$5:BL$5)*$J85-SUM($AV$6:BL$6)*$K85</f>
        <v>-520</v>
      </c>
      <c r="BM85" s="1">
        <f>SUM($AT85,$AA85:AQ85)-SUM($AV$5:BM$5)*$J85-SUM($AV$6:BM$6)*$K85</f>
        <v>-560</v>
      </c>
      <c r="BN85" s="1">
        <f>SUM($AT85,$AA85:AR85)-SUM($AV$5:BN$5)*$J85-SUM($AV$6:BN$6)*$K85</f>
        <v>-582</v>
      </c>
    </row>
    <row r="86" spans="1:66">
      <c r="A86" s="1">
        <v>99</v>
      </c>
      <c r="B86" s="28" t="s">
        <v>345</v>
      </c>
      <c r="C86" s="1" t="s">
        <v>299</v>
      </c>
      <c r="D86" s="2">
        <v>400637606</v>
      </c>
      <c r="E86" s="3" t="s">
        <v>346</v>
      </c>
      <c r="F86" s="1">
        <v>400638302</v>
      </c>
      <c r="G86" s="1" t="s">
        <v>42</v>
      </c>
      <c r="H86" s="1">
        <v>2</v>
      </c>
      <c r="I86" s="1">
        <v>1</v>
      </c>
      <c r="J86" s="1">
        <v>1</v>
      </c>
      <c r="K86" s="1">
        <v>0</v>
      </c>
      <c r="L86" s="1">
        <v>0</v>
      </c>
      <c r="M86" s="1">
        <f t="shared" si="4"/>
        <v>582</v>
      </c>
      <c r="N86" s="1">
        <f t="shared" si="5"/>
        <v>582</v>
      </c>
      <c r="O86" s="2" t="s">
        <v>323</v>
      </c>
      <c r="P86" s="1"/>
      <c r="Q86" s="1">
        <v>1.43</v>
      </c>
      <c r="R86" s="1" t="s">
        <v>44</v>
      </c>
      <c r="S86" s="30" t="s">
        <v>324</v>
      </c>
      <c r="T86" s="31" t="s">
        <v>323</v>
      </c>
      <c r="U86" s="1"/>
      <c r="V86" s="1">
        <v>500</v>
      </c>
      <c r="W86" s="1" t="s">
        <v>325</v>
      </c>
      <c r="X86" s="32" t="s">
        <v>326</v>
      </c>
      <c r="Y86" s="1" t="s">
        <v>327</v>
      </c>
      <c r="Z86" s="2" t="s">
        <v>323</v>
      </c>
      <c r="AA86" s="1"/>
      <c r="AB86" s="1"/>
      <c r="AC86" s="1"/>
      <c r="AD86" s="1"/>
      <c r="AE86" s="1"/>
      <c r="AF86" s="1"/>
      <c r="AG86" s="1"/>
      <c r="AH86" s="1"/>
      <c r="AI86" s="1"/>
      <c r="AJ86" s="1"/>
      <c r="AK86" s="1"/>
      <c r="AL86" s="1"/>
      <c r="AM86" s="1"/>
      <c r="AN86" s="1"/>
      <c r="AO86" s="1"/>
      <c r="AP86" s="1"/>
      <c r="AQ86" s="1"/>
      <c r="AR86" s="1"/>
      <c r="AS86" s="1"/>
      <c r="AT86" s="1"/>
      <c r="AU86" s="1"/>
      <c r="AV86" s="1">
        <f>SUM($AT86,Z86:$AA86)-SUM($AV$5:AV$5)*$J86-SUM($AV$6:AV$6)*$K86</f>
        <v>0</v>
      </c>
      <c r="AW86" s="1">
        <f>SUM($AT86,$AA86:AA86)-SUM($AV$5:AW$5)*$J86-SUM($AV$6:AW$6)*$K86</f>
        <v>0</v>
      </c>
      <c r="AX86" s="1">
        <f>SUM($AT86,$AA86:AB86)-SUM($AV$5:AX$5)*$J86-SUM($AV$6:AX$6)*$K86</f>
        <v>0</v>
      </c>
      <c r="AY86" s="1">
        <f>SUM($AT86,$AA86:AC86)-SUM($AV$5:AY$5)*$J86-SUM($AV$6:AY$6)*$K86</f>
        <v>0</v>
      </c>
      <c r="AZ86" s="1">
        <f>SUM($AT86,$AA86:AD86)-SUM($AV$5:AZ$5)*$J86-SUM($AV$6:AZ$6)*$K86</f>
        <v>-40</v>
      </c>
      <c r="BA86" s="1">
        <f>SUM($AT86,$AA86:AE86)-SUM($AV$5:BA$5)*$J86-SUM($AV$6:BA$6)*$K86</f>
        <v>-80</v>
      </c>
      <c r="BB86" s="1">
        <f>SUM($AT86,$AA86:AF86)-SUM($AV$5:BB$5)*$J86-SUM($AV$6:BB$6)*$K86</f>
        <v>-120</v>
      </c>
      <c r="BC86" s="1">
        <f>SUM($AT86,$AA86:AG86)-SUM($AV$5:BC$5)*$J86-SUM($AV$6:BC$6)*$K86</f>
        <v>-160</v>
      </c>
      <c r="BD86" s="1">
        <f>SUM($AT86,$AA86:AH86)-SUM($AV$5:BD$5)*$J86-SUM($AV$6:BD$6)*$K86</f>
        <v>-200</v>
      </c>
      <c r="BE86" s="1">
        <f>SUM($AT86,$AA86:AI86)-SUM($AV$5:BE$5)*$J86-SUM($AV$6:BE$6)*$K86</f>
        <v>-240</v>
      </c>
      <c r="BF86" s="1">
        <f>SUM($AT86,$AA86:AJ86)-SUM($AV$5:BF$5)*$J86-SUM($AV$6:BF$6)*$K86</f>
        <v>-280</v>
      </c>
      <c r="BG86" s="1">
        <f>SUM($AT86,$AA86:AK86)-SUM($AV$5:BG$5)*$J86-SUM($AV$6:BG$6)*$K86</f>
        <v>-320</v>
      </c>
      <c r="BH86" s="1">
        <f>SUM($AT86,$AA86:AL86)-SUM($AV$5:BH$5)*$J86-SUM($AV$6:BH$6)*$K86</f>
        <v>-360</v>
      </c>
      <c r="BI86" s="1">
        <f>SUM($AT86,$AA86:AM86)-SUM($AV$5:BI$5)*$J86-SUM($AV$6:BI$6)*$K86</f>
        <v>-400</v>
      </c>
      <c r="BJ86" s="1">
        <f>SUM($AT86,$AA86:AN86)-SUM($AV$5:BJ$5)*$J86-SUM($AV$6:BJ$6)*$K86</f>
        <v>-440</v>
      </c>
      <c r="BK86" s="1">
        <f>SUM($AT86,$AA86:AO86)-SUM($AV$5:BK$5)*$J86-SUM($AV$6:BK$6)*$K86</f>
        <v>-480</v>
      </c>
      <c r="BL86" s="1">
        <f>SUM($AT86,$AA86:AP86)-SUM($AV$5:BL$5)*$J86-SUM($AV$6:BL$6)*$K86</f>
        <v>-520</v>
      </c>
      <c r="BM86" s="1">
        <f>SUM($AT86,$AA86:AQ86)-SUM($AV$5:BM$5)*$J86-SUM($AV$6:BM$6)*$K86</f>
        <v>-560</v>
      </c>
      <c r="BN86" s="1">
        <f>SUM($AT86,$AA86:AR86)-SUM($AV$5:BN$5)*$J86-SUM($AV$6:BN$6)*$K86</f>
        <v>-582</v>
      </c>
    </row>
    <row r="87" spans="1:66">
      <c r="A87" s="1">
        <v>100</v>
      </c>
      <c r="B87" s="28" t="s">
        <v>347</v>
      </c>
      <c r="C87" s="1" t="s">
        <v>40</v>
      </c>
      <c r="D87" s="2">
        <v>401340657</v>
      </c>
      <c r="E87" s="3" t="s">
        <v>348</v>
      </c>
      <c r="F87" s="1"/>
      <c r="G87" s="1" t="s">
        <v>42</v>
      </c>
      <c r="H87" s="1">
        <v>2</v>
      </c>
      <c r="I87" s="1">
        <v>2</v>
      </c>
      <c r="J87" s="1">
        <v>2</v>
      </c>
      <c r="K87" s="1">
        <v>0</v>
      </c>
      <c r="L87" s="1">
        <v>0</v>
      </c>
      <c r="M87" s="1">
        <f t="shared" si="4"/>
        <v>1164</v>
      </c>
      <c r="N87" s="1">
        <f t="shared" si="5"/>
        <v>1164</v>
      </c>
      <c r="O87" s="2" t="s">
        <v>323</v>
      </c>
      <c r="P87" s="1"/>
      <c r="Q87" s="1">
        <v>0.5</v>
      </c>
      <c r="R87" s="1" t="s">
        <v>44</v>
      </c>
      <c r="S87" s="30" t="s">
        <v>324</v>
      </c>
      <c r="T87" s="31" t="s">
        <v>323</v>
      </c>
      <c r="U87" s="1"/>
      <c r="V87" s="1">
        <v>98</v>
      </c>
      <c r="W87" s="1" t="s">
        <v>325</v>
      </c>
      <c r="X87" s="32" t="s">
        <v>326</v>
      </c>
      <c r="Y87" s="1" t="s">
        <v>327</v>
      </c>
      <c r="Z87" s="2" t="s">
        <v>323</v>
      </c>
      <c r="AA87" s="1"/>
      <c r="AB87" s="1"/>
      <c r="AC87" s="1"/>
      <c r="AD87" s="1"/>
      <c r="AE87" s="1"/>
      <c r="AF87" s="1"/>
      <c r="AG87" s="1"/>
      <c r="AH87" s="1"/>
      <c r="AI87" s="1"/>
      <c r="AJ87" s="1"/>
      <c r="AK87" s="1"/>
      <c r="AL87" s="1"/>
      <c r="AM87" s="1"/>
      <c r="AN87" s="1"/>
      <c r="AO87" s="1"/>
      <c r="AP87" s="1"/>
      <c r="AQ87" s="1"/>
      <c r="AR87" s="1"/>
      <c r="AS87" s="1"/>
      <c r="AT87" s="1"/>
      <c r="AU87" s="1"/>
      <c r="AV87" s="1">
        <f>SUM($AT87,Z87:$AA87)-SUM($AV$5:AV$5)*$J87-SUM($AV$6:AV$6)*$K87</f>
        <v>0</v>
      </c>
      <c r="AW87" s="1">
        <f>SUM($AT87,$AA87:AA87)-SUM($AV$5:AW$5)*$J87-SUM($AV$6:AW$6)*$K87</f>
        <v>0</v>
      </c>
      <c r="AX87" s="1">
        <f>SUM($AT87,$AA87:AB87)-SUM($AV$5:AX$5)*$J87-SUM($AV$6:AX$6)*$K87</f>
        <v>0</v>
      </c>
      <c r="AY87" s="1">
        <f>SUM($AT87,$AA87:AC87)-SUM($AV$5:AY$5)*$J87-SUM($AV$6:AY$6)*$K87</f>
        <v>0</v>
      </c>
      <c r="AZ87" s="1">
        <f>SUM($AT87,$AA87:AD87)-SUM($AV$5:AZ$5)*$J87-SUM($AV$6:AZ$6)*$K87</f>
        <v>-80</v>
      </c>
      <c r="BA87" s="1">
        <f>SUM($AT87,$AA87:AE87)-SUM($AV$5:BA$5)*$J87-SUM($AV$6:BA$6)*$K87</f>
        <v>-160</v>
      </c>
      <c r="BB87" s="1">
        <f>SUM($AT87,$AA87:AF87)-SUM($AV$5:BB$5)*$J87-SUM($AV$6:BB$6)*$K87</f>
        <v>-240</v>
      </c>
      <c r="BC87" s="1">
        <f>SUM($AT87,$AA87:AG87)-SUM($AV$5:BC$5)*$J87-SUM($AV$6:BC$6)*$K87</f>
        <v>-320</v>
      </c>
      <c r="BD87" s="1">
        <f>SUM($AT87,$AA87:AH87)-SUM($AV$5:BD$5)*$J87-SUM($AV$6:BD$6)*$K87</f>
        <v>-400</v>
      </c>
      <c r="BE87" s="1">
        <f>SUM($AT87,$AA87:AI87)-SUM($AV$5:BE$5)*$J87-SUM($AV$6:BE$6)*$K87</f>
        <v>-480</v>
      </c>
      <c r="BF87" s="1">
        <f>SUM($AT87,$AA87:AJ87)-SUM($AV$5:BF$5)*$J87-SUM($AV$6:BF$6)*$K87</f>
        <v>-560</v>
      </c>
      <c r="BG87" s="1">
        <f>SUM($AT87,$AA87:AK87)-SUM($AV$5:BG$5)*$J87-SUM($AV$6:BG$6)*$K87</f>
        <v>-640</v>
      </c>
      <c r="BH87" s="1">
        <f>SUM($AT87,$AA87:AL87)-SUM($AV$5:BH$5)*$J87-SUM($AV$6:BH$6)*$K87</f>
        <v>-720</v>
      </c>
      <c r="BI87" s="1">
        <f>SUM($AT87,$AA87:AM87)-SUM($AV$5:BI$5)*$J87-SUM($AV$6:BI$6)*$K87</f>
        <v>-800</v>
      </c>
      <c r="BJ87" s="1">
        <f>SUM($AT87,$AA87:AN87)-SUM($AV$5:BJ$5)*$J87-SUM($AV$6:BJ$6)*$K87</f>
        <v>-880</v>
      </c>
      <c r="BK87" s="1">
        <f>SUM($AT87,$AA87:AO87)-SUM($AV$5:BK$5)*$J87-SUM($AV$6:BK$6)*$K87</f>
        <v>-960</v>
      </c>
      <c r="BL87" s="1">
        <f>SUM($AT87,$AA87:AP87)-SUM($AV$5:BL$5)*$J87-SUM($AV$6:BL$6)*$K87</f>
        <v>-1040</v>
      </c>
      <c r="BM87" s="1">
        <f>SUM($AT87,$AA87:AQ87)-SUM($AV$5:BM$5)*$J87-SUM($AV$6:BM$6)*$K87</f>
        <v>-1120</v>
      </c>
      <c r="BN87" s="1">
        <f>SUM($AT87,$AA87:AR87)-SUM($AV$5:BN$5)*$J87-SUM($AV$6:BN$6)*$K87</f>
        <v>-1164</v>
      </c>
    </row>
    <row r="88" spans="1:66">
      <c r="A88" s="1">
        <v>52</v>
      </c>
      <c r="B88" s="28" t="s">
        <v>349</v>
      </c>
      <c r="C88" s="1" t="s">
        <v>40</v>
      </c>
      <c r="D88" s="2">
        <v>404495499</v>
      </c>
      <c r="E88" s="3" t="s">
        <v>350</v>
      </c>
      <c r="F88" s="1">
        <v>415712346</v>
      </c>
      <c r="G88" s="1" t="s">
        <v>42</v>
      </c>
      <c r="H88" s="1">
        <v>2</v>
      </c>
      <c r="I88" s="1">
        <v>18</v>
      </c>
      <c r="J88" s="1">
        <v>18</v>
      </c>
      <c r="K88" s="1">
        <v>0</v>
      </c>
      <c r="L88" s="1">
        <v>0</v>
      </c>
      <c r="M88" s="1">
        <f t="shared" si="4"/>
        <v>10476</v>
      </c>
      <c r="N88" s="1">
        <f t="shared" si="5"/>
        <v>10476</v>
      </c>
      <c r="O88" s="2" t="s">
        <v>351</v>
      </c>
      <c r="P88" s="1"/>
      <c r="Q88" s="1">
        <v>2.15</v>
      </c>
      <c r="R88" s="1" t="s">
        <v>292</v>
      </c>
      <c r="S88" s="30"/>
      <c r="T88" s="31" t="s">
        <v>352</v>
      </c>
      <c r="U88" s="1"/>
      <c r="V88" s="1">
        <v>500</v>
      </c>
      <c r="W88" s="1" t="s">
        <v>353</v>
      </c>
      <c r="X88" s="32" t="s">
        <v>354</v>
      </c>
      <c r="Y88" s="1" t="s">
        <v>355</v>
      </c>
      <c r="Z88" s="2" t="s">
        <v>351</v>
      </c>
      <c r="AA88" s="1"/>
      <c r="AB88" s="1"/>
      <c r="AC88" s="1"/>
      <c r="AD88" s="1"/>
      <c r="AE88" s="1"/>
      <c r="AF88" s="1"/>
      <c r="AG88" s="1"/>
      <c r="AH88" s="1"/>
      <c r="AI88" s="1"/>
      <c r="AJ88" s="1"/>
      <c r="AK88" s="1"/>
      <c r="AL88" s="1"/>
      <c r="AM88" s="1"/>
      <c r="AN88" s="1"/>
      <c r="AO88" s="1"/>
      <c r="AP88" s="1"/>
      <c r="AQ88" s="1"/>
      <c r="AR88" s="1"/>
      <c r="AS88" s="1"/>
      <c r="AT88" s="1"/>
      <c r="AU88" s="1"/>
      <c r="AV88" s="1">
        <f>SUM($AT88,Z88:$AA88)-SUM($AV$5:AV$5)*$J88-SUM($AV$6:AV$6)*$K88</f>
        <v>0</v>
      </c>
      <c r="AW88" s="1">
        <f>SUM($AT88,$AA88:AA88)-SUM($AV$5:AW$5)*$J88-SUM($AV$6:AW$6)*$K88</f>
        <v>0</v>
      </c>
      <c r="AX88" s="1">
        <f>SUM($AT88,$AA88:AB88)-SUM($AV$5:AX$5)*$J88-SUM($AV$6:AX$6)*$K88</f>
        <v>0</v>
      </c>
      <c r="AY88" s="1">
        <f>SUM($AT88,$AA88:AC88)-SUM($AV$5:AY$5)*$J88-SUM($AV$6:AY$6)*$K88</f>
        <v>0</v>
      </c>
      <c r="AZ88" s="1">
        <f>SUM($AT88,$AA88:AD88)-SUM($AV$5:AZ$5)*$J88-SUM($AV$6:AZ$6)*$K88</f>
        <v>-720</v>
      </c>
      <c r="BA88" s="1">
        <f>SUM($AT88,$AA88:AE88)-SUM($AV$5:BA$5)*$J88-SUM($AV$6:BA$6)*$K88</f>
        <v>-1440</v>
      </c>
      <c r="BB88" s="1">
        <f>SUM($AT88,$AA88:AF88)-SUM($AV$5:BB$5)*$J88-SUM($AV$6:BB$6)*$K88</f>
        <v>-2160</v>
      </c>
      <c r="BC88" s="1">
        <f>SUM($AT88,$AA88:AG88)-SUM($AV$5:BC$5)*$J88-SUM($AV$6:BC$6)*$K88</f>
        <v>-2880</v>
      </c>
      <c r="BD88" s="1">
        <f>SUM($AT88,$AA88:AH88)-SUM($AV$5:BD$5)*$J88-SUM($AV$6:BD$6)*$K88</f>
        <v>-3600</v>
      </c>
      <c r="BE88" s="1">
        <f>SUM($AT88,$AA88:AI88)-SUM($AV$5:BE$5)*$J88-SUM($AV$6:BE$6)*$K88</f>
        <v>-4320</v>
      </c>
      <c r="BF88" s="1">
        <f>SUM($AT88,$AA88:AJ88)-SUM($AV$5:BF$5)*$J88-SUM($AV$6:BF$6)*$K88</f>
        <v>-5040</v>
      </c>
      <c r="BG88" s="1">
        <f>SUM($AT88,$AA88:AK88)-SUM($AV$5:BG$5)*$J88-SUM($AV$6:BG$6)*$K88</f>
        <v>-5760</v>
      </c>
      <c r="BH88" s="1">
        <f>SUM($AT88,$AA88:AL88)-SUM($AV$5:BH$5)*$J88-SUM($AV$6:BH$6)*$K88</f>
        <v>-6480</v>
      </c>
      <c r="BI88" s="1">
        <f>SUM($AT88,$AA88:AM88)-SUM($AV$5:BI$5)*$J88-SUM($AV$6:BI$6)*$K88</f>
        <v>-7200</v>
      </c>
      <c r="BJ88" s="1">
        <f>SUM($AT88,$AA88:AN88)-SUM($AV$5:BJ$5)*$J88-SUM($AV$6:BJ$6)*$K88</f>
        <v>-7920</v>
      </c>
      <c r="BK88" s="1">
        <f>SUM($AT88,$AA88:AO88)-SUM($AV$5:BK$5)*$J88-SUM($AV$6:BK$6)*$K88</f>
        <v>-8640</v>
      </c>
      <c r="BL88" s="1">
        <f>SUM($AT88,$AA88:AP88)-SUM($AV$5:BL$5)*$J88-SUM($AV$6:BL$6)*$K88</f>
        <v>-9360</v>
      </c>
      <c r="BM88" s="1">
        <f>SUM($AT88,$AA88:AQ88)-SUM($AV$5:BM$5)*$J88-SUM($AV$6:BM$6)*$K88</f>
        <v>-10080</v>
      </c>
      <c r="BN88" s="1">
        <f>SUM($AT88,$AA88:AR88)-SUM($AV$5:BN$5)*$J88-SUM($AV$6:BN$6)*$K88</f>
        <v>-10476</v>
      </c>
    </row>
    <row r="89" spans="1:66">
      <c r="A89" s="1">
        <v>103</v>
      </c>
      <c r="B89" s="28" t="s">
        <v>356</v>
      </c>
      <c r="C89" s="1" t="s">
        <v>40</v>
      </c>
      <c r="D89" s="2">
        <v>401499257</v>
      </c>
      <c r="E89" s="3" t="s">
        <v>357</v>
      </c>
      <c r="F89" s="1">
        <v>400481641</v>
      </c>
      <c r="G89" s="1" t="s">
        <v>42</v>
      </c>
      <c r="H89" s="1">
        <v>2</v>
      </c>
      <c r="I89" s="1">
        <v>4</v>
      </c>
      <c r="J89" s="1">
        <v>3</v>
      </c>
      <c r="K89" s="1">
        <v>0</v>
      </c>
      <c r="L89" s="1">
        <v>1</v>
      </c>
      <c r="M89" s="1">
        <f t="shared" si="4"/>
        <v>2022</v>
      </c>
      <c r="N89" s="1">
        <f t="shared" si="5"/>
        <v>2022</v>
      </c>
      <c r="O89" s="2" t="s">
        <v>358</v>
      </c>
      <c r="P89" s="1"/>
      <c r="Q89" s="1">
        <v>0.97</v>
      </c>
      <c r="R89" s="1" t="s">
        <v>44</v>
      </c>
      <c r="S89" s="30" t="s">
        <v>359</v>
      </c>
      <c r="T89" s="31" t="s">
        <v>360</v>
      </c>
      <c r="U89" s="1"/>
      <c r="V89" s="1">
        <v>2500</v>
      </c>
      <c r="W89" s="1" t="s">
        <v>361</v>
      </c>
      <c r="X89" s="32" t="s">
        <v>362</v>
      </c>
      <c r="Y89" s="1" t="s">
        <v>363</v>
      </c>
      <c r="Z89" s="2" t="s">
        <v>358</v>
      </c>
      <c r="AA89" s="1"/>
      <c r="AB89" s="1"/>
      <c r="AC89" s="1"/>
      <c r="AD89" s="1"/>
      <c r="AE89" s="1"/>
      <c r="AF89" s="1"/>
      <c r="AG89" s="1"/>
      <c r="AH89" s="1"/>
      <c r="AI89" s="1"/>
      <c r="AJ89" s="1"/>
      <c r="AK89" s="1"/>
      <c r="AL89" s="1"/>
      <c r="AM89" s="1"/>
      <c r="AN89" s="1"/>
      <c r="AO89" s="1"/>
      <c r="AP89" s="1"/>
      <c r="AQ89" s="1"/>
      <c r="AR89" s="1"/>
      <c r="AS89" s="1"/>
      <c r="AT89" s="1"/>
      <c r="AU89" s="1"/>
      <c r="AV89" s="1">
        <f>SUM($AT89,Z89:$AA89)-SUM($AV$5:AV$5)*$J89-SUM($AV$6:AV$6)*$K89</f>
        <v>0</v>
      </c>
      <c r="AW89" s="1">
        <f>SUM($AT89,$AA89:AA89)-SUM($AV$5:AW$5)*$J89-SUM($AV$6:AW$6)*$K89</f>
        <v>0</v>
      </c>
      <c r="AX89" s="1">
        <f>SUM($AT89,$AA89:AB89)-SUM($AV$5:AX$5)*$J89-SUM($AV$6:AX$6)*$K89</f>
        <v>0</v>
      </c>
      <c r="AY89" s="1">
        <f>SUM($AT89,$AA89:AC89)-SUM($AV$5:AY$5)*$J89-SUM($AV$6:AY$6)*$K89</f>
        <v>0</v>
      </c>
      <c r="AZ89" s="1">
        <f>SUM($AT89,$AA89:AD89)-SUM($AV$5:AZ$5)*$J89-SUM($AV$6:AZ$6)*$K89</f>
        <v>-120</v>
      </c>
      <c r="BA89" s="1">
        <f>SUM($AT89,$AA89:AE89)-SUM($AV$5:BA$5)*$J89-SUM($AV$6:BA$6)*$K89</f>
        <v>-240</v>
      </c>
      <c r="BB89" s="1">
        <f>SUM($AT89,$AA89:AF89)-SUM($AV$5:BB$5)*$J89-SUM($AV$6:BB$6)*$K89</f>
        <v>-360</v>
      </c>
      <c r="BC89" s="1">
        <f>SUM($AT89,$AA89:AG89)-SUM($AV$5:BC$5)*$J89-SUM($AV$6:BC$6)*$K89</f>
        <v>-480</v>
      </c>
      <c r="BD89" s="1">
        <f>SUM($AT89,$AA89:AH89)-SUM($AV$5:BD$5)*$J89-SUM($AV$6:BD$6)*$K89</f>
        <v>-600</v>
      </c>
      <c r="BE89" s="1">
        <f>SUM($AT89,$AA89:AI89)-SUM($AV$5:BE$5)*$J89-SUM($AV$6:BE$6)*$K89</f>
        <v>-720</v>
      </c>
      <c r="BF89" s="1">
        <f>SUM($AT89,$AA89:AJ89)-SUM($AV$5:BF$5)*$J89-SUM($AV$6:BF$6)*$K89</f>
        <v>-840</v>
      </c>
      <c r="BG89" s="1">
        <f>SUM($AT89,$AA89:AK89)-SUM($AV$5:BG$5)*$J89-SUM($AV$6:BG$6)*$K89</f>
        <v>-960</v>
      </c>
      <c r="BH89" s="1">
        <f>SUM($AT89,$AA89:AL89)-SUM($AV$5:BH$5)*$J89-SUM($AV$6:BH$6)*$K89</f>
        <v>-1080</v>
      </c>
      <c r="BI89" s="1">
        <f>SUM($AT89,$AA89:AM89)-SUM($AV$5:BI$5)*$J89-SUM($AV$6:BI$6)*$K89</f>
        <v>-1200</v>
      </c>
      <c r="BJ89" s="1">
        <f>SUM($AT89,$AA89:AN89)-SUM($AV$5:BJ$5)*$J89-SUM($AV$6:BJ$6)*$K89</f>
        <v>-1320</v>
      </c>
      <c r="BK89" s="1">
        <f>SUM($AT89,$AA89:AO89)-SUM($AV$5:BK$5)*$J89-SUM($AV$6:BK$6)*$K89</f>
        <v>-1440</v>
      </c>
      <c r="BL89" s="1">
        <f>SUM($AT89,$AA89:AP89)-SUM($AV$5:BL$5)*$J89-SUM($AV$6:BL$6)*$K89</f>
        <v>-1560</v>
      </c>
      <c r="BM89" s="1">
        <f>SUM($AT89,$AA89:AQ89)-SUM($AV$5:BM$5)*$J89-SUM($AV$6:BM$6)*$K89</f>
        <v>-1680</v>
      </c>
      <c r="BN89" s="1">
        <f>SUM($AT89,$AA89:AR89)-SUM($AV$5:BN$5)*$J89-SUM($AV$6:BN$6)*$K89</f>
        <v>-1746</v>
      </c>
    </row>
    <row r="90" spans="1:66">
      <c r="A90" s="1">
        <v>104</v>
      </c>
      <c r="B90" s="28" t="s">
        <v>364</v>
      </c>
      <c r="C90" s="1" t="s">
        <v>40</v>
      </c>
      <c r="D90" s="2">
        <v>401499258</v>
      </c>
      <c r="E90" s="3" t="s">
        <v>365</v>
      </c>
      <c r="F90" s="1">
        <v>400510819</v>
      </c>
      <c r="G90" s="1" t="s">
        <v>42</v>
      </c>
      <c r="H90" s="1">
        <v>1</v>
      </c>
      <c r="I90" s="1">
        <v>5</v>
      </c>
      <c r="J90" s="1">
        <v>3</v>
      </c>
      <c r="K90" s="1">
        <v>0</v>
      </c>
      <c r="L90" s="1">
        <v>2</v>
      </c>
      <c r="M90" s="1">
        <f t="shared" si="4"/>
        <v>2298</v>
      </c>
      <c r="N90" s="1">
        <f t="shared" si="5"/>
        <v>2298</v>
      </c>
      <c r="O90" s="2" t="s">
        <v>358</v>
      </c>
      <c r="P90" s="1"/>
      <c r="Q90" s="1">
        <v>0.97</v>
      </c>
      <c r="R90" s="1" t="s">
        <v>44</v>
      </c>
      <c r="S90" s="30" t="s">
        <v>359</v>
      </c>
      <c r="T90" s="31" t="s">
        <v>360</v>
      </c>
      <c r="U90" s="1"/>
      <c r="V90" s="1">
        <v>2500</v>
      </c>
      <c r="W90" s="1" t="s">
        <v>361</v>
      </c>
      <c r="X90" s="32" t="s">
        <v>362</v>
      </c>
      <c r="Y90" s="1" t="s">
        <v>363</v>
      </c>
      <c r="Z90" s="2" t="s">
        <v>358</v>
      </c>
      <c r="AA90" s="1"/>
      <c r="AB90" s="1"/>
      <c r="AC90" s="1"/>
      <c r="AD90" s="1"/>
      <c r="AE90" s="1"/>
      <c r="AF90" s="1"/>
      <c r="AG90" s="1"/>
      <c r="AH90" s="1"/>
      <c r="AI90" s="1"/>
      <c r="AJ90" s="1"/>
      <c r="AK90" s="1"/>
      <c r="AL90" s="1"/>
      <c r="AM90" s="1"/>
      <c r="AN90" s="1"/>
      <c r="AO90" s="1"/>
      <c r="AP90" s="1"/>
      <c r="AQ90" s="1"/>
      <c r="AR90" s="1"/>
      <c r="AS90" s="1"/>
      <c r="AT90" s="1"/>
      <c r="AU90" s="1"/>
      <c r="AV90" s="1">
        <f>SUM($AT90,Z90:$AA90)-SUM($AV$5:AV$5)*$J90-SUM($AV$6:AV$6)*$K90</f>
        <v>0</v>
      </c>
      <c r="AW90" s="1">
        <f>SUM($AT90,$AA90:AA90)-SUM($AV$5:AW$5)*$J90-SUM($AV$6:AW$6)*$K90</f>
        <v>0</v>
      </c>
      <c r="AX90" s="1">
        <f>SUM($AT90,$AA90:AB90)-SUM($AV$5:AX$5)*$J90-SUM($AV$6:AX$6)*$K90</f>
        <v>0</v>
      </c>
      <c r="AY90" s="1">
        <f>SUM($AT90,$AA90:AC90)-SUM($AV$5:AY$5)*$J90-SUM($AV$6:AY$6)*$K90</f>
        <v>0</v>
      </c>
      <c r="AZ90" s="1">
        <f>SUM($AT90,$AA90:AD90)-SUM($AV$5:AZ$5)*$J90-SUM($AV$6:AZ$6)*$K90</f>
        <v>-120</v>
      </c>
      <c r="BA90" s="1">
        <f>SUM($AT90,$AA90:AE90)-SUM($AV$5:BA$5)*$J90-SUM($AV$6:BA$6)*$K90</f>
        <v>-240</v>
      </c>
      <c r="BB90" s="1">
        <f>SUM($AT90,$AA90:AF90)-SUM($AV$5:BB$5)*$J90-SUM($AV$6:BB$6)*$K90</f>
        <v>-360</v>
      </c>
      <c r="BC90" s="1">
        <f>SUM($AT90,$AA90:AG90)-SUM($AV$5:BC$5)*$J90-SUM($AV$6:BC$6)*$K90</f>
        <v>-480</v>
      </c>
      <c r="BD90" s="1">
        <f>SUM($AT90,$AA90:AH90)-SUM($AV$5:BD$5)*$J90-SUM($AV$6:BD$6)*$K90</f>
        <v>-600</v>
      </c>
      <c r="BE90" s="1">
        <f>SUM($AT90,$AA90:AI90)-SUM($AV$5:BE$5)*$J90-SUM($AV$6:BE$6)*$K90</f>
        <v>-720</v>
      </c>
      <c r="BF90" s="1">
        <f>SUM($AT90,$AA90:AJ90)-SUM($AV$5:BF$5)*$J90-SUM($AV$6:BF$6)*$K90</f>
        <v>-840</v>
      </c>
      <c r="BG90" s="1">
        <f>SUM($AT90,$AA90:AK90)-SUM($AV$5:BG$5)*$J90-SUM($AV$6:BG$6)*$K90</f>
        <v>-960</v>
      </c>
      <c r="BH90" s="1">
        <f>SUM($AT90,$AA90:AL90)-SUM($AV$5:BH$5)*$J90-SUM($AV$6:BH$6)*$K90</f>
        <v>-1080</v>
      </c>
      <c r="BI90" s="1">
        <f>SUM($AT90,$AA90:AM90)-SUM($AV$5:BI$5)*$J90-SUM($AV$6:BI$6)*$K90</f>
        <v>-1200</v>
      </c>
      <c r="BJ90" s="1">
        <f>SUM($AT90,$AA90:AN90)-SUM($AV$5:BJ$5)*$J90-SUM($AV$6:BJ$6)*$K90</f>
        <v>-1320</v>
      </c>
      <c r="BK90" s="1">
        <f>SUM($AT90,$AA90:AO90)-SUM($AV$5:BK$5)*$J90-SUM($AV$6:BK$6)*$K90</f>
        <v>-1440</v>
      </c>
      <c r="BL90" s="1">
        <f>SUM($AT90,$AA90:AP90)-SUM($AV$5:BL$5)*$J90-SUM($AV$6:BL$6)*$K90</f>
        <v>-1560</v>
      </c>
      <c r="BM90" s="1">
        <f>SUM($AT90,$AA90:AQ90)-SUM($AV$5:BM$5)*$J90-SUM($AV$6:BM$6)*$K90</f>
        <v>-1680</v>
      </c>
      <c r="BN90" s="1">
        <f>SUM($AT90,$AA90:AR90)-SUM($AV$5:BN$5)*$J90-SUM($AV$6:BN$6)*$K90</f>
        <v>-1746</v>
      </c>
    </row>
    <row r="91" spans="1:66">
      <c r="A91" s="1">
        <v>108</v>
      </c>
      <c r="B91" s="28" t="s">
        <v>366</v>
      </c>
      <c r="C91" s="1" t="s">
        <v>40</v>
      </c>
      <c r="D91" s="2">
        <v>404360478</v>
      </c>
      <c r="E91" s="3" t="s">
        <v>367</v>
      </c>
      <c r="F91" s="1"/>
      <c r="G91" s="1" t="s">
        <v>42</v>
      </c>
      <c r="H91" s="1">
        <v>1</v>
      </c>
      <c r="I91" s="1">
        <v>1</v>
      </c>
      <c r="J91" s="1">
        <v>1</v>
      </c>
      <c r="K91" s="1">
        <v>0</v>
      </c>
      <c r="L91" s="1">
        <v>0</v>
      </c>
      <c r="M91" s="1">
        <f t="shared" si="4"/>
        <v>582</v>
      </c>
      <c r="N91" s="1">
        <f t="shared" si="5"/>
        <v>582</v>
      </c>
      <c r="O91" s="2" t="s">
        <v>368</v>
      </c>
      <c r="P91" s="1"/>
      <c r="Q91" s="1">
        <v>0.27</v>
      </c>
      <c r="R91" s="1" t="s">
        <v>44</v>
      </c>
      <c r="S91" s="30" t="s">
        <v>330</v>
      </c>
      <c r="T91" s="31" t="s">
        <v>369</v>
      </c>
      <c r="U91" s="1"/>
      <c r="V91" s="1">
        <v>4000</v>
      </c>
      <c r="W91" s="1" t="s">
        <v>370</v>
      </c>
      <c r="X91" s="32" t="s">
        <v>371</v>
      </c>
      <c r="Y91" s="1" t="s">
        <v>372</v>
      </c>
      <c r="Z91" s="2" t="s">
        <v>368</v>
      </c>
      <c r="AA91" s="1"/>
      <c r="AB91" s="1"/>
      <c r="AC91" s="1"/>
      <c r="AD91" s="1"/>
      <c r="AE91" s="1"/>
      <c r="AF91" s="1"/>
      <c r="AG91" s="1"/>
      <c r="AH91" s="1"/>
      <c r="AI91" s="1"/>
      <c r="AJ91" s="1"/>
      <c r="AK91" s="1"/>
      <c r="AL91" s="1"/>
      <c r="AM91" s="1"/>
      <c r="AN91" s="1"/>
      <c r="AO91" s="1"/>
      <c r="AP91" s="1"/>
      <c r="AQ91" s="1"/>
      <c r="AR91" s="1"/>
      <c r="AS91" s="1"/>
      <c r="AT91" s="1"/>
      <c r="AU91" s="1"/>
      <c r="AV91" s="1">
        <f>SUM($AT91,Z91:$AA91)-SUM($AV$5:AV$5)*$J91-SUM($AV$6:AV$6)*$K91</f>
        <v>0</v>
      </c>
      <c r="AW91" s="1">
        <f>SUM($AT91,$AA91:AA91)-SUM($AV$5:AW$5)*$J91-SUM($AV$6:AW$6)*$K91</f>
        <v>0</v>
      </c>
      <c r="AX91" s="1">
        <f>SUM($AT91,$AA91:AB91)-SUM($AV$5:AX$5)*$J91-SUM($AV$6:AX$6)*$K91</f>
        <v>0</v>
      </c>
      <c r="AY91" s="1">
        <f>SUM($AT91,$AA91:AC91)-SUM($AV$5:AY$5)*$J91-SUM($AV$6:AY$6)*$K91</f>
        <v>0</v>
      </c>
      <c r="AZ91" s="1">
        <f>SUM($AT91,$AA91:AD91)-SUM($AV$5:AZ$5)*$J91-SUM($AV$6:AZ$6)*$K91</f>
        <v>-40</v>
      </c>
      <c r="BA91" s="1">
        <f>SUM($AT91,$AA91:AE91)-SUM($AV$5:BA$5)*$J91-SUM($AV$6:BA$6)*$K91</f>
        <v>-80</v>
      </c>
      <c r="BB91" s="1">
        <f>SUM($AT91,$AA91:AF91)-SUM($AV$5:BB$5)*$J91-SUM($AV$6:BB$6)*$K91</f>
        <v>-120</v>
      </c>
      <c r="BC91" s="1">
        <f>SUM($AT91,$AA91:AG91)-SUM($AV$5:BC$5)*$J91-SUM($AV$6:BC$6)*$K91</f>
        <v>-160</v>
      </c>
      <c r="BD91" s="1">
        <f>SUM($AT91,$AA91:AH91)-SUM($AV$5:BD$5)*$J91-SUM($AV$6:BD$6)*$K91</f>
        <v>-200</v>
      </c>
      <c r="BE91" s="1">
        <f>SUM($AT91,$AA91:AI91)-SUM($AV$5:BE$5)*$J91-SUM($AV$6:BE$6)*$K91</f>
        <v>-240</v>
      </c>
      <c r="BF91" s="1">
        <f>SUM($AT91,$AA91:AJ91)-SUM($AV$5:BF$5)*$J91-SUM($AV$6:BF$6)*$K91</f>
        <v>-280</v>
      </c>
      <c r="BG91" s="1">
        <f>SUM($AT91,$AA91:AK91)-SUM($AV$5:BG$5)*$J91-SUM($AV$6:BG$6)*$K91</f>
        <v>-320</v>
      </c>
      <c r="BH91" s="1">
        <f>SUM($AT91,$AA91:AL91)-SUM($AV$5:BH$5)*$J91-SUM($AV$6:BH$6)*$K91</f>
        <v>-360</v>
      </c>
      <c r="BI91" s="1">
        <f>SUM($AT91,$AA91:AM91)-SUM($AV$5:BI$5)*$J91-SUM($AV$6:BI$6)*$K91</f>
        <v>-400</v>
      </c>
      <c r="BJ91" s="1">
        <f>SUM($AT91,$AA91:AN91)-SUM($AV$5:BJ$5)*$J91-SUM($AV$6:BJ$6)*$K91</f>
        <v>-440</v>
      </c>
      <c r="BK91" s="1">
        <f>SUM($AT91,$AA91:AO91)-SUM($AV$5:BK$5)*$J91-SUM($AV$6:BK$6)*$K91</f>
        <v>-480</v>
      </c>
      <c r="BL91" s="1">
        <f>SUM($AT91,$AA91:AP91)-SUM($AV$5:BL$5)*$J91-SUM($AV$6:BL$6)*$K91</f>
        <v>-520</v>
      </c>
      <c r="BM91" s="1">
        <f>SUM($AT91,$AA91:AQ91)-SUM($AV$5:BM$5)*$J91-SUM($AV$6:BM$6)*$K91</f>
        <v>-560</v>
      </c>
      <c r="BN91" s="1">
        <f>SUM($AT91,$AA91:AR91)-SUM($AV$5:BN$5)*$J91-SUM($AV$6:BN$6)*$K91</f>
        <v>-582</v>
      </c>
    </row>
    <row r="92" spans="1:66">
      <c r="A92" s="1">
        <v>109</v>
      </c>
      <c r="B92" s="28" t="s">
        <v>373</v>
      </c>
      <c r="C92" s="1" t="s">
        <v>40</v>
      </c>
      <c r="D92" s="2">
        <v>400606332</v>
      </c>
      <c r="E92" s="3" t="s">
        <v>374</v>
      </c>
      <c r="F92" s="1">
        <v>414596412</v>
      </c>
      <c r="G92" s="1" t="s">
        <v>42</v>
      </c>
      <c r="H92" s="1">
        <v>2</v>
      </c>
      <c r="I92" s="1">
        <v>1</v>
      </c>
      <c r="J92" s="1">
        <v>1</v>
      </c>
      <c r="K92" s="1">
        <v>0</v>
      </c>
      <c r="L92" s="1">
        <v>0</v>
      </c>
      <c r="M92" s="1">
        <f t="shared" si="4"/>
        <v>582</v>
      </c>
      <c r="N92" s="1">
        <f t="shared" si="5"/>
        <v>582</v>
      </c>
      <c r="O92" s="2" t="s">
        <v>368</v>
      </c>
      <c r="P92" s="1"/>
      <c r="Q92" s="1">
        <v>0.98</v>
      </c>
      <c r="R92" s="1" t="s">
        <v>44</v>
      </c>
      <c r="S92" s="30" t="s">
        <v>91</v>
      </c>
      <c r="T92" s="31" t="s">
        <v>369</v>
      </c>
      <c r="U92" s="1"/>
      <c r="V92" s="1">
        <v>100</v>
      </c>
      <c r="W92" s="1" t="s">
        <v>370</v>
      </c>
      <c r="X92" s="32" t="s">
        <v>371</v>
      </c>
      <c r="Y92" s="1" t="s">
        <v>372</v>
      </c>
      <c r="Z92" s="2" t="s">
        <v>368</v>
      </c>
      <c r="AA92" s="1"/>
      <c r="AB92" s="1"/>
      <c r="AC92" s="1"/>
      <c r="AD92" s="1"/>
      <c r="AE92" s="1"/>
      <c r="AF92" s="1"/>
      <c r="AG92" s="1"/>
      <c r="AH92" s="1"/>
      <c r="AI92" s="1"/>
      <c r="AJ92" s="1"/>
      <c r="AK92" s="1"/>
      <c r="AL92" s="1"/>
      <c r="AM92" s="1"/>
      <c r="AN92" s="1"/>
      <c r="AO92" s="1"/>
      <c r="AP92" s="1"/>
      <c r="AQ92" s="1"/>
      <c r="AR92" s="1"/>
      <c r="AS92" s="1"/>
      <c r="AT92" s="1"/>
      <c r="AU92" s="1"/>
      <c r="AV92" s="1">
        <f>SUM($AT92,Z92:$AA92)-SUM($AV$5:AV$5)*$J92-SUM($AV$6:AV$6)*$K92</f>
        <v>0</v>
      </c>
      <c r="AW92" s="1">
        <f>SUM($AT92,$AA92:AA92)-SUM($AV$5:AW$5)*$J92-SUM($AV$6:AW$6)*$K92</f>
        <v>0</v>
      </c>
      <c r="AX92" s="1">
        <f>SUM($AT92,$AA92:AB92)-SUM($AV$5:AX$5)*$J92-SUM($AV$6:AX$6)*$K92</f>
        <v>0</v>
      </c>
      <c r="AY92" s="1">
        <f>SUM($AT92,$AA92:AC92)-SUM($AV$5:AY$5)*$J92-SUM($AV$6:AY$6)*$K92</f>
        <v>0</v>
      </c>
      <c r="AZ92" s="1">
        <f>SUM($AT92,$AA92:AD92)-SUM($AV$5:AZ$5)*$J92-SUM($AV$6:AZ$6)*$K92</f>
        <v>-40</v>
      </c>
      <c r="BA92" s="1">
        <f>SUM($AT92,$AA92:AE92)-SUM($AV$5:BA$5)*$J92-SUM($AV$6:BA$6)*$K92</f>
        <v>-80</v>
      </c>
      <c r="BB92" s="1">
        <f>SUM($AT92,$AA92:AF92)-SUM($AV$5:BB$5)*$J92-SUM($AV$6:BB$6)*$K92</f>
        <v>-120</v>
      </c>
      <c r="BC92" s="1">
        <f>SUM($AT92,$AA92:AG92)-SUM($AV$5:BC$5)*$J92-SUM($AV$6:BC$6)*$K92</f>
        <v>-160</v>
      </c>
      <c r="BD92" s="1">
        <f>SUM($AT92,$AA92:AH92)-SUM($AV$5:BD$5)*$J92-SUM($AV$6:BD$6)*$K92</f>
        <v>-200</v>
      </c>
      <c r="BE92" s="1">
        <f>SUM($AT92,$AA92:AI92)-SUM($AV$5:BE$5)*$J92-SUM($AV$6:BE$6)*$K92</f>
        <v>-240</v>
      </c>
      <c r="BF92" s="1">
        <f>SUM($AT92,$AA92:AJ92)-SUM($AV$5:BF$5)*$J92-SUM($AV$6:BF$6)*$K92</f>
        <v>-280</v>
      </c>
      <c r="BG92" s="1">
        <f>SUM($AT92,$AA92:AK92)-SUM($AV$5:BG$5)*$J92-SUM($AV$6:BG$6)*$K92</f>
        <v>-320</v>
      </c>
      <c r="BH92" s="1">
        <f>SUM($AT92,$AA92:AL92)-SUM($AV$5:BH$5)*$J92-SUM($AV$6:BH$6)*$K92</f>
        <v>-360</v>
      </c>
      <c r="BI92" s="1">
        <f>SUM($AT92,$AA92:AM92)-SUM($AV$5:BI$5)*$J92-SUM($AV$6:BI$6)*$K92</f>
        <v>-400</v>
      </c>
      <c r="BJ92" s="1">
        <f>SUM($AT92,$AA92:AN92)-SUM($AV$5:BJ$5)*$J92-SUM($AV$6:BJ$6)*$K92</f>
        <v>-440</v>
      </c>
      <c r="BK92" s="1">
        <f>SUM($AT92,$AA92:AO92)-SUM($AV$5:BK$5)*$J92-SUM($AV$6:BK$6)*$K92</f>
        <v>-480</v>
      </c>
      <c r="BL92" s="1">
        <f>SUM($AT92,$AA92:AP92)-SUM($AV$5:BL$5)*$J92-SUM($AV$6:BL$6)*$K92</f>
        <v>-520</v>
      </c>
      <c r="BM92" s="1">
        <f>SUM($AT92,$AA92:AQ92)-SUM($AV$5:BM$5)*$J92-SUM($AV$6:BM$6)*$K92</f>
        <v>-560</v>
      </c>
      <c r="BN92" s="1">
        <f>SUM($AT92,$AA92:AR92)-SUM($AV$5:BN$5)*$J92-SUM($AV$6:BN$6)*$K92</f>
        <v>-582</v>
      </c>
    </row>
    <row r="93" spans="1:66">
      <c r="A93" s="1">
        <v>110</v>
      </c>
      <c r="B93" s="28" t="s">
        <v>375</v>
      </c>
      <c r="C93" s="1" t="s">
        <v>40</v>
      </c>
      <c r="D93" s="2">
        <v>417083260</v>
      </c>
      <c r="E93" s="3" t="s">
        <v>376</v>
      </c>
      <c r="F93" s="1">
        <v>403846526</v>
      </c>
      <c r="G93" s="1" t="s">
        <v>42</v>
      </c>
      <c r="H93" s="1">
        <v>2</v>
      </c>
      <c r="I93" s="1">
        <v>5</v>
      </c>
      <c r="J93" s="1">
        <v>5</v>
      </c>
      <c r="K93" s="1">
        <v>0</v>
      </c>
      <c r="L93" s="1">
        <v>0</v>
      </c>
      <c r="M93" s="1">
        <f t="shared" si="4"/>
        <v>2910</v>
      </c>
      <c r="N93" s="1">
        <f t="shared" si="5"/>
        <v>2910</v>
      </c>
      <c r="O93" s="2" t="s">
        <v>43</v>
      </c>
      <c r="P93" s="1"/>
      <c r="Q93" s="1">
        <v>0.36</v>
      </c>
      <c r="R93" s="1" t="s">
        <v>44</v>
      </c>
      <c r="S93" s="30" t="s">
        <v>377</v>
      </c>
      <c r="T93" s="31" t="s">
        <v>55</v>
      </c>
      <c r="U93" s="1"/>
      <c r="V93" s="1">
        <v>500</v>
      </c>
      <c r="W93" s="1" t="s">
        <v>56</v>
      </c>
      <c r="X93" s="32" t="s">
        <v>57</v>
      </c>
      <c r="Y93" s="1" t="s">
        <v>58</v>
      </c>
      <c r="Z93" s="2" t="s">
        <v>43</v>
      </c>
      <c r="AA93" s="1"/>
      <c r="AB93" s="1"/>
      <c r="AC93" s="1"/>
      <c r="AD93" s="1"/>
      <c r="AE93" s="1"/>
      <c r="AF93" s="1"/>
      <c r="AG93" s="1"/>
      <c r="AH93" s="1"/>
      <c r="AI93" s="1"/>
      <c r="AJ93" s="1"/>
      <c r="AK93" s="1"/>
      <c r="AL93" s="1"/>
      <c r="AM93" s="1"/>
      <c r="AN93" s="1"/>
      <c r="AO93" s="1"/>
      <c r="AP93" s="1"/>
      <c r="AQ93" s="1"/>
      <c r="AR93" s="1"/>
      <c r="AS93" s="1"/>
      <c r="AT93" s="1"/>
      <c r="AU93" s="1"/>
      <c r="AV93" s="1">
        <f>SUM($AT93,Z93:$AA93)-SUM($AV$5:AV$5)*$J93-SUM($AV$6:AV$6)*$K93</f>
        <v>0</v>
      </c>
      <c r="AW93" s="1">
        <f>SUM($AT93,$AA93:AA93)-SUM($AV$5:AW$5)*$J93-SUM($AV$6:AW$6)*$K93</f>
        <v>0</v>
      </c>
      <c r="AX93" s="1">
        <f>SUM($AT93,$AA93:AB93)-SUM($AV$5:AX$5)*$J93-SUM($AV$6:AX$6)*$K93</f>
        <v>0</v>
      </c>
      <c r="AY93" s="1">
        <f>SUM($AT93,$AA93:AC93)-SUM($AV$5:AY$5)*$J93-SUM($AV$6:AY$6)*$K93</f>
        <v>0</v>
      </c>
      <c r="AZ93" s="1">
        <f>SUM($AT93,$AA93:AD93)-SUM($AV$5:AZ$5)*$J93-SUM($AV$6:AZ$6)*$K93</f>
        <v>-200</v>
      </c>
      <c r="BA93" s="1">
        <f>SUM($AT93,$AA93:AE93)-SUM($AV$5:BA$5)*$J93-SUM($AV$6:BA$6)*$K93</f>
        <v>-400</v>
      </c>
      <c r="BB93" s="1">
        <f>SUM($AT93,$AA93:AF93)-SUM($AV$5:BB$5)*$J93-SUM($AV$6:BB$6)*$K93</f>
        <v>-600</v>
      </c>
      <c r="BC93" s="1">
        <f>SUM($AT93,$AA93:AG93)-SUM($AV$5:BC$5)*$J93-SUM($AV$6:BC$6)*$K93</f>
        <v>-800</v>
      </c>
      <c r="BD93" s="1">
        <f>SUM($AT93,$AA93:AH93)-SUM($AV$5:BD$5)*$J93-SUM($AV$6:BD$6)*$K93</f>
        <v>-1000</v>
      </c>
      <c r="BE93" s="1">
        <f>SUM($AT93,$AA93:AI93)-SUM($AV$5:BE$5)*$J93-SUM($AV$6:BE$6)*$K93</f>
        <v>-1200</v>
      </c>
      <c r="BF93" s="1">
        <f>SUM($AT93,$AA93:AJ93)-SUM($AV$5:BF$5)*$J93-SUM($AV$6:BF$6)*$K93</f>
        <v>-1400</v>
      </c>
      <c r="BG93" s="1">
        <f>SUM($AT93,$AA93:AK93)-SUM($AV$5:BG$5)*$J93-SUM($AV$6:BG$6)*$K93</f>
        <v>-1600</v>
      </c>
      <c r="BH93" s="1">
        <f>SUM($AT93,$AA93:AL93)-SUM($AV$5:BH$5)*$J93-SUM($AV$6:BH$6)*$K93</f>
        <v>-1800</v>
      </c>
      <c r="BI93" s="1">
        <f>SUM($AT93,$AA93:AM93)-SUM($AV$5:BI$5)*$J93-SUM($AV$6:BI$6)*$K93</f>
        <v>-2000</v>
      </c>
      <c r="BJ93" s="1">
        <f>SUM($AT93,$AA93:AN93)-SUM($AV$5:BJ$5)*$J93-SUM($AV$6:BJ$6)*$K93</f>
        <v>-2200</v>
      </c>
      <c r="BK93" s="1">
        <f>SUM($AT93,$AA93:AO93)-SUM($AV$5:BK$5)*$J93-SUM($AV$6:BK$6)*$K93</f>
        <v>-2400</v>
      </c>
      <c r="BL93" s="1">
        <f>SUM($AT93,$AA93:AP93)-SUM($AV$5:BL$5)*$J93-SUM($AV$6:BL$6)*$K93</f>
        <v>-2600</v>
      </c>
      <c r="BM93" s="1">
        <f>SUM($AT93,$AA93:AQ93)-SUM($AV$5:BM$5)*$J93-SUM($AV$6:BM$6)*$K93</f>
        <v>-2800</v>
      </c>
      <c r="BN93" s="1">
        <f>SUM($AT93,$AA93:AR93)-SUM($AV$5:BN$5)*$J93-SUM($AV$6:BN$6)*$K93</f>
        <v>-2910</v>
      </c>
    </row>
    <row r="94" spans="1:66">
      <c r="A94" s="1">
        <v>112</v>
      </c>
      <c r="B94" s="28" t="s">
        <v>378</v>
      </c>
      <c r="C94" s="1" t="s">
        <v>40</v>
      </c>
      <c r="D94" s="2">
        <v>402208918</v>
      </c>
      <c r="E94" s="3" t="s">
        <v>379</v>
      </c>
      <c r="F94" s="1">
        <v>400811176</v>
      </c>
      <c r="G94" s="1" t="s">
        <v>42</v>
      </c>
      <c r="H94" s="1">
        <v>2</v>
      </c>
      <c r="I94" s="1">
        <v>1</v>
      </c>
      <c r="J94" s="1">
        <v>1</v>
      </c>
      <c r="K94" s="1">
        <v>0</v>
      </c>
      <c r="L94" s="1">
        <v>0</v>
      </c>
      <c r="M94" s="1">
        <f t="shared" si="4"/>
        <v>582</v>
      </c>
      <c r="N94" s="1">
        <f t="shared" si="5"/>
        <v>582</v>
      </c>
      <c r="O94" s="2" t="s">
        <v>380</v>
      </c>
      <c r="P94" s="1"/>
      <c r="Q94" s="1">
        <v>0.05</v>
      </c>
      <c r="R94" s="1" t="s">
        <v>44</v>
      </c>
      <c r="S94" s="30" t="s">
        <v>8</v>
      </c>
      <c r="T94" s="31" t="s">
        <v>238</v>
      </c>
      <c r="U94" s="1"/>
      <c r="V94" s="1">
        <v>3000</v>
      </c>
      <c r="W94" s="1" t="s">
        <v>239</v>
      </c>
      <c r="X94" s="32" t="s">
        <v>240</v>
      </c>
      <c r="Y94" s="1" t="s">
        <v>241</v>
      </c>
      <c r="Z94" s="2" t="s">
        <v>242</v>
      </c>
      <c r="AA94" s="1"/>
      <c r="AB94" s="1"/>
      <c r="AC94" s="1"/>
      <c r="AD94" s="1"/>
      <c r="AE94" s="1"/>
      <c r="AF94" s="1"/>
      <c r="AG94" s="1"/>
      <c r="AH94" s="1"/>
      <c r="AI94" s="1"/>
      <c r="AJ94" s="1"/>
      <c r="AK94" s="1"/>
      <c r="AL94" s="1"/>
      <c r="AM94" s="1"/>
      <c r="AN94" s="1"/>
      <c r="AO94" s="1"/>
      <c r="AP94" s="1"/>
      <c r="AQ94" s="1"/>
      <c r="AR94" s="1"/>
      <c r="AS94" s="1"/>
      <c r="AT94" s="1"/>
      <c r="AU94" s="1"/>
      <c r="AV94" s="1">
        <f>SUM($AT94,Z94:$AA94)-SUM($AV$5:AV$5)*$J94-SUM($AV$6:AV$6)*$K94</f>
        <v>0</v>
      </c>
      <c r="AW94" s="1">
        <f>SUM($AT94,$AA94:AA94)-SUM($AV$5:AW$5)*$J94-SUM($AV$6:AW$6)*$K94</f>
        <v>0</v>
      </c>
      <c r="AX94" s="1">
        <f>SUM($AT94,$AA94:AB94)-SUM($AV$5:AX$5)*$J94-SUM($AV$6:AX$6)*$K94</f>
        <v>0</v>
      </c>
      <c r="AY94" s="1">
        <f>SUM($AT94,$AA94:AC94)-SUM($AV$5:AY$5)*$J94-SUM($AV$6:AY$6)*$K94</f>
        <v>0</v>
      </c>
      <c r="AZ94" s="1">
        <f>SUM($AT94,$AA94:AD94)-SUM($AV$5:AZ$5)*$J94-SUM($AV$6:AZ$6)*$K94</f>
        <v>-40</v>
      </c>
      <c r="BA94" s="1">
        <f>SUM($AT94,$AA94:AE94)-SUM($AV$5:BA$5)*$J94-SUM($AV$6:BA$6)*$K94</f>
        <v>-80</v>
      </c>
      <c r="BB94" s="1">
        <f>SUM($AT94,$AA94:AF94)-SUM($AV$5:BB$5)*$J94-SUM($AV$6:BB$6)*$K94</f>
        <v>-120</v>
      </c>
      <c r="BC94" s="1">
        <f>SUM($AT94,$AA94:AG94)-SUM($AV$5:BC$5)*$J94-SUM($AV$6:BC$6)*$K94</f>
        <v>-160</v>
      </c>
      <c r="BD94" s="1">
        <f>SUM($AT94,$AA94:AH94)-SUM($AV$5:BD$5)*$J94-SUM($AV$6:BD$6)*$K94</f>
        <v>-200</v>
      </c>
      <c r="BE94" s="1">
        <f>SUM($AT94,$AA94:AI94)-SUM($AV$5:BE$5)*$J94-SUM($AV$6:BE$6)*$K94</f>
        <v>-240</v>
      </c>
      <c r="BF94" s="1">
        <f>SUM($AT94,$AA94:AJ94)-SUM($AV$5:BF$5)*$J94-SUM($AV$6:BF$6)*$K94</f>
        <v>-280</v>
      </c>
      <c r="BG94" s="1">
        <f>SUM($AT94,$AA94:AK94)-SUM($AV$5:BG$5)*$J94-SUM($AV$6:BG$6)*$K94</f>
        <v>-320</v>
      </c>
      <c r="BH94" s="1">
        <f>SUM($AT94,$AA94:AL94)-SUM($AV$5:BH$5)*$J94-SUM($AV$6:BH$6)*$K94</f>
        <v>-360</v>
      </c>
      <c r="BI94" s="1">
        <f>SUM($AT94,$AA94:AM94)-SUM($AV$5:BI$5)*$J94-SUM($AV$6:BI$6)*$K94</f>
        <v>-400</v>
      </c>
      <c r="BJ94" s="1">
        <f>SUM($AT94,$AA94:AN94)-SUM($AV$5:BJ$5)*$J94-SUM($AV$6:BJ$6)*$K94</f>
        <v>-440</v>
      </c>
      <c r="BK94" s="1">
        <f>SUM($AT94,$AA94:AO94)-SUM($AV$5:BK$5)*$J94-SUM($AV$6:BK$6)*$K94</f>
        <v>-480</v>
      </c>
      <c r="BL94" s="1">
        <f>SUM($AT94,$AA94:AP94)-SUM($AV$5:BL$5)*$J94-SUM($AV$6:BL$6)*$K94</f>
        <v>-520</v>
      </c>
      <c r="BM94" s="1">
        <f>SUM($AT94,$AA94:AQ94)-SUM($AV$5:BM$5)*$J94-SUM($AV$6:BM$6)*$K94</f>
        <v>-560</v>
      </c>
      <c r="BN94" s="1">
        <f>SUM($AT94,$AA94:AR94)-SUM($AV$5:BN$5)*$J94-SUM($AV$6:BN$6)*$K94</f>
        <v>-582</v>
      </c>
    </row>
    <row r="95" spans="1:66">
      <c r="A95" s="1">
        <v>113</v>
      </c>
      <c r="B95" s="28" t="s">
        <v>381</v>
      </c>
      <c r="C95" s="1" t="s">
        <v>40</v>
      </c>
      <c r="D95" s="2">
        <v>400019067</v>
      </c>
      <c r="E95" s="3" t="s">
        <v>382</v>
      </c>
      <c r="F95" s="1"/>
      <c r="G95" s="1" t="s">
        <v>42</v>
      </c>
      <c r="H95" s="1">
        <v>2</v>
      </c>
      <c r="I95" s="1">
        <v>3</v>
      </c>
      <c r="J95" s="1">
        <v>3</v>
      </c>
      <c r="K95" s="1">
        <v>0</v>
      </c>
      <c r="L95" s="1">
        <v>0</v>
      </c>
      <c r="M95" s="1">
        <f t="shared" ref="M95:M158" si="6">SUMPRODUCT(J95:L95,$J$2:$L$2)</f>
        <v>1746</v>
      </c>
      <c r="N95" s="1">
        <f t="shared" ref="N95:N158" si="7">SUMPRODUCT(J95:L95,$J$2:$L$2)</f>
        <v>1746</v>
      </c>
      <c r="O95" s="2" t="s">
        <v>383</v>
      </c>
      <c r="P95" s="1"/>
      <c r="Q95" s="1">
        <v>2.8E-3</v>
      </c>
      <c r="R95" s="1" t="s">
        <v>44</v>
      </c>
      <c r="S95" s="30" t="s">
        <v>8</v>
      </c>
      <c r="T95" s="31" t="s">
        <v>369</v>
      </c>
      <c r="U95" s="1"/>
      <c r="V95" s="1">
        <v>10000</v>
      </c>
      <c r="W95" s="1" t="s">
        <v>370</v>
      </c>
      <c r="X95" s="32" t="s">
        <v>371</v>
      </c>
      <c r="Y95" s="1" t="s">
        <v>372</v>
      </c>
      <c r="Z95" s="2" t="s">
        <v>383</v>
      </c>
      <c r="AA95" s="1"/>
      <c r="AB95" s="1"/>
      <c r="AC95" s="1"/>
      <c r="AD95" s="1"/>
      <c r="AE95" s="1"/>
      <c r="AF95" s="1"/>
      <c r="AG95" s="1"/>
      <c r="AH95" s="1"/>
      <c r="AI95" s="1"/>
      <c r="AJ95" s="1"/>
      <c r="AK95" s="1"/>
      <c r="AL95" s="1"/>
      <c r="AM95" s="1"/>
      <c r="AN95" s="1"/>
      <c r="AO95" s="1"/>
      <c r="AP95" s="1"/>
      <c r="AQ95" s="1"/>
      <c r="AR95" s="1"/>
      <c r="AS95" s="1"/>
      <c r="AT95" s="1"/>
      <c r="AU95" s="1"/>
      <c r="AV95" s="1">
        <f>SUM($AT95,Z95:$AA95)-SUM($AV$5:AV$5)*$J95-SUM($AV$6:AV$6)*$K95</f>
        <v>0</v>
      </c>
      <c r="AW95" s="1">
        <f>SUM($AT95,$AA95:AA95)-SUM($AV$5:AW$5)*$J95-SUM($AV$6:AW$6)*$K95</f>
        <v>0</v>
      </c>
      <c r="AX95" s="1">
        <f>SUM($AT95,$AA95:AB95)-SUM($AV$5:AX$5)*$J95-SUM($AV$6:AX$6)*$K95</f>
        <v>0</v>
      </c>
      <c r="AY95" s="1">
        <f>SUM($AT95,$AA95:AC95)-SUM($AV$5:AY$5)*$J95-SUM($AV$6:AY$6)*$K95</f>
        <v>0</v>
      </c>
      <c r="AZ95" s="1">
        <f>SUM($AT95,$AA95:AD95)-SUM($AV$5:AZ$5)*$J95-SUM($AV$6:AZ$6)*$K95</f>
        <v>-120</v>
      </c>
      <c r="BA95" s="1">
        <f>SUM($AT95,$AA95:AE95)-SUM($AV$5:BA$5)*$J95-SUM($AV$6:BA$6)*$K95</f>
        <v>-240</v>
      </c>
      <c r="BB95" s="1">
        <f>SUM($AT95,$AA95:AF95)-SUM($AV$5:BB$5)*$J95-SUM($AV$6:BB$6)*$K95</f>
        <v>-360</v>
      </c>
      <c r="BC95" s="1">
        <f>SUM($AT95,$AA95:AG95)-SUM($AV$5:BC$5)*$J95-SUM($AV$6:BC$6)*$K95</f>
        <v>-480</v>
      </c>
      <c r="BD95" s="1">
        <f>SUM($AT95,$AA95:AH95)-SUM($AV$5:BD$5)*$J95-SUM($AV$6:BD$6)*$K95</f>
        <v>-600</v>
      </c>
      <c r="BE95" s="1">
        <f>SUM($AT95,$AA95:AI95)-SUM($AV$5:BE$5)*$J95-SUM($AV$6:BE$6)*$K95</f>
        <v>-720</v>
      </c>
      <c r="BF95" s="1">
        <f>SUM($AT95,$AA95:AJ95)-SUM($AV$5:BF$5)*$J95-SUM($AV$6:BF$6)*$K95</f>
        <v>-840</v>
      </c>
      <c r="BG95" s="1">
        <f>SUM($AT95,$AA95:AK95)-SUM($AV$5:BG$5)*$J95-SUM($AV$6:BG$6)*$K95</f>
        <v>-960</v>
      </c>
      <c r="BH95" s="1">
        <f>SUM($AT95,$AA95:AL95)-SUM($AV$5:BH$5)*$J95-SUM($AV$6:BH$6)*$K95</f>
        <v>-1080</v>
      </c>
      <c r="BI95" s="1">
        <f>SUM($AT95,$AA95:AM95)-SUM($AV$5:BI$5)*$J95-SUM($AV$6:BI$6)*$K95</f>
        <v>-1200</v>
      </c>
      <c r="BJ95" s="1">
        <f>SUM($AT95,$AA95:AN95)-SUM($AV$5:BJ$5)*$J95-SUM($AV$6:BJ$6)*$K95</f>
        <v>-1320</v>
      </c>
      <c r="BK95" s="1">
        <f>SUM($AT95,$AA95:AO95)-SUM($AV$5:BK$5)*$J95-SUM($AV$6:BK$6)*$K95</f>
        <v>-1440</v>
      </c>
      <c r="BL95" s="1">
        <f>SUM($AT95,$AA95:AP95)-SUM($AV$5:BL$5)*$J95-SUM($AV$6:BL$6)*$K95</f>
        <v>-1560</v>
      </c>
      <c r="BM95" s="1">
        <f>SUM($AT95,$AA95:AQ95)-SUM($AV$5:BM$5)*$J95-SUM($AV$6:BM$6)*$K95</f>
        <v>-1680</v>
      </c>
      <c r="BN95" s="1">
        <f>SUM($AT95,$AA95:AR95)-SUM($AV$5:BN$5)*$J95-SUM($AV$6:BN$6)*$K95</f>
        <v>-1746</v>
      </c>
    </row>
    <row r="96" spans="1:66">
      <c r="A96" s="1">
        <v>114</v>
      </c>
      <c r="B96" s="28" t="s">
        <v>384</v>
      </c>
      <c r="C96" s="1" t="s">
        <v>40</v>
      </c>
      <c r="D96" s="2">
        <v>400043188</v>
      </c>
      <c r="E96" s="3" t="s">
        <v>385</v>
      </c>
      <c r="F96" s="1"/>
      <c r="G96" s="1" t="s">
        <v>42</v>
      </c>
      <c r="H96" s="1">
        <v>2</v>
      </c>
      <c r="I96" s="1">
        <v>80</v>
      </c>
      <c r="J96" s="1">
        <v>80</v>
      </c>
      <c r="K96" s="1">
        <v>0</v>
      </c>
      <c r="L96" s="1">
        <v>0</v>
      </c>
      <c r="M96" s="1">
        <f t="shared" si="6"/>
        <v>46560</v>
      </c>
      <c r="N96" s="1">
        <f t="shared" si="7"/>
        <v>46560</v>
      </c>
      <c r="O96" s="2" t="s">
        <v>383</v>
      </c>
      <c r="P96" s="1"/>
      <c r="Q96" s="1">
        <v>0.01</v>
      </c>
      <c r="R96" s="1" t="s">
        <v>44</v>
      </c>
      <c r="S96" s="30" t="s">
        <v>386</v>
      </c>
      <c r="T96" s="31" t="s">
        <v>369</v>
      </c>
      <c r="U96" s="1"/>
      <c r="V96" s="1">
        <v>10000</v>
      </c>
      <c r="W96" s="1" t="s">
        <v>370</v>
      </c>
      <c r="X96" s="32" t="s">
        <v>371</v>
      </c>
      <c r="Y96" s="1" t="s">
        <v>372</v>
      </c>
      <c r="Z96" s="2" t="s">
        <v>383</v>
      </c>
      <c r="AA96" s="1"/>
      <c r="AB96" s="1"/>
      <c r="AC96" s="1"/>
      <c r="AD96" s="1"/>
      <c r="AE96" s="1"/>
      <c r="AF96" s="1"/>
      <c r="AG96" s="1"/>
      <c r="AH96" s="1"/>
      <c r="AI96" s="1"/>
      <c r="AJ96" s="1"/>
      <c r="AK96" s="1"/>
      <c r="AL96" s="1"/>
      <c r="AM96" s="1"/>
      <c r="AN96" s="1"/>
      <c r="AO96" s="1"/>
      <c r="AP96" s="1"/>
      <c r="AQ96" s="1"/>
      <c r="AR96" s="1"/>
      <c r="AS96" s="1"/>
      <c r="AT96" s="1"/>
      <c r="AU96" s="1"/>
      <c r="AV96" s="1">
        <f>SUM($AT96,Z96:$AA96)-SUM($AV$5:AV$5)*$J96-SUM($AV$6:AV$6)*$K96</f>
        <v>0</v>
      </c>
      <c r="AW96" s="1">
        <f>SUM($AT96,$AA96:AA96)-SUM($AV$5:AW$5)*$J96-SUM($AV$6:AW$6)*$K96</f>
        <v>0</v>
      </c>
      <c r="AX96" s="1">
        <f>SUM($AT96,$AA96:AB96)-SUM($AV$5:AX$5)*$J96-SUM($AV$6:AX$6)*$K96</f>
        <v>0</v>
      </c>
      <c r="AY96" s="1">
        <f>SUM($AT96,$AA96:AC96)-SUM($AV$5:AY$5)*$J96-SUM($AV$6:AY$6)*$K96</f>
        <v>0</v>
      </c>
      <c r="AZ96" s="1">
        <f>SUM($AT96,$AA96:AD96)-SUM($AV$5:AZ$5)*$J96-SUM($AV$6:AZ$6)*$K96</f>
        <v>-3200</v>
      </c>
      <c r="BA96" s="1">
        <f>SUM($AT96,$AA96:AE96)-SUM($AV$5:BA$5)*$J96-SUM($AV$6:BA$6)*$K96</f>
        <v>-6400</v>
      </c>
      <c r="BB96" s="1">
        <f>SUM($AT96,$AA96:AF96)-SUM($AV$5:BB$5)*$J96-SUM($AV$6:BB$6)*$K96</f>
        <v>-9600</v>
      </c>
      <c r="BC96" s="1">
        <f>SUM($AT96,$AA96:AG96)-SUM($AV$5:BC$5)*$J96-SUM($AV$6:BC$6)*$K96</f>
        <v>-12800</v>
      </c>
      <c r="BD96" s="1">
        <f>SUM($AT96,$AA96:AH96)-SUM($AV$5:BD$5)*$J96-SUM($AV$6:BD$6)*$K96</f>
        <v>-16000</v>
      </c>
      <c r="BE96" s="1">
        <f>SUM($AT96,$AA96:AI96)-SUM($AV$5:BE$5)*$J96-SUM($AV$6:BE$6)*$K96</f>
        <v>-19200</v>
      </c>
      <c r="BF96" s="1">
        <f>SUM($AT96,$AA96:AJ96)-SUM($AV$5:BF$5)*$J96-SUM($AV$6:BF$6)*$K96</f>
        <v>-22400</v>
      </c>
      <c r="BG96" s="1">
        <f>SUM($AT96,$AA96:AK96)-SUM($AV$5:BG$5)*$J96-SUM($AV$6:BG$6)*$K96</f>
        <v>-25600</v>
      </c>
      <c r="BH96" s="1">
        <f>SUM($AT96,$AA96:AL96)-SUM($AV$5:BH$5)*$J96-SUM($AV$6:BH$6)*$K96</f>
        <v>-28800</v>
      </c>
      <c r="BI96" s="1">
        <f>SUM($AT96,$AA96:AM96)-SUM($AV$5:BI$5)*$J96-SUM($AV$6:BI$6)*$K96</f>
        <v>-32000</v>
      </c>
      <c r="BJ96" s="1">
        <f>SUM($AT96,$AA96:AN96)-SUM($AV$5:BJ$5)*$J96-SUM($AV$6:BJ$6)*$K96</f>
        <v>-35200</v>
      </c>
      <c r="BK96" s="1">
        <f>SUM($AT96,$AA96:AO96)-SUM($AV$5:BK$5)*$J96-SUM($AV$6:BK$6)*$K96</f>
        <v>-38400</v>
      </c>
      <c r="BL96" s="1">
        <f>SUM($AT96,$AA96:AP96)-SUM($AV$5:BL$5)*$J96-SUM($AV$6:BL$6)*$K96</f>
        <v>-41600</v>
      </c>
      <c r="BM96" s="1">
        <f>SUM($AT96,$AA96:AQ96)-SUM($AV$5:BM$5)*$J96-SUM($AV$6:BM$6)*$K96</f>
        <v>-44800</v>
      </c>
      <c r="BN96" s="1">
        <f>SUM($AT96,$AA96:AR96)-SUM($AV$5:BN$5)*$J96-SUM($AV$6:BN$6)*$K96</f>
        <v>-46560</v>
      </c>
    </row>
    <row r="97" spans="1:66">
      <c r="A97" s="1">
        <v>115</v>
      </c>
      <c r="B97" s="28" t="s">
        <v>387</v>
      </c>
      <c r="C97" s="1" t="s">
        <v>40</v>
      </c>
      <c r="D97" s="2">
        <v>400043186</v>
      </c>
      <c r="E97" s="3" t="s">
        <v>388</v>
      </c>
      <c r="F97" s="1"/>
      <c r="G97" s="1" t="s">
        <v>42</v>
      </c>
      <c r="H97" s="1">
        <v>2</v>
      </c>
      <c r="I97" s="1">
        <v>10</v>
      </c>
      <c r="J97" s="1">
        <v>10</v>
      </c>
      <c r="K97" s="1">
        <v>0</v>
      </c>
      <c r="L97" s="1">
        <v>0</v>
      </c>
      <c r="M97" s="1">
        <f t="shared" si="6"/>
        <v>5820</v>
      </c>
      <c r="N97" s="1">
        <f t="shared" si="7"/>
        <v>5820</v>
      </c>
      <c r="O97" s="2" t="s">
        <v>383</v>
      </c>
      <c r="P97" s="1"/>
      <c r="Q97" s="1">
        <v>1.4E-2</v>
      </c>
      <c r="R97" s="1" t="s">
        <v>44</v>
      </c>
      <c r="S97" s="30" t="s">
        <v>8</v>
      </c>
      <c r="T97" s="31" t="s">
        <v>369</v>
      </c>
      <c r="U97" s="1"/>
      <c r="V97" s="1">
        <v>10000</v>
      </c>
      <c r="W97" s="1" t="s">
        <v>370</v>
      </c>
      <c r="X97" s="32" t="s">
        <v>371</v>
      </c>
      <c r="Y97" s="1" t="s">
        <v>372</v>
      </c>
      <c r="Z97" s="2" t="s">
        <v>383</v>
      </c>
      <c r="AA97" s="1"/>
      <c r="AB97" s="1"/>
      <c r="AC97" s="1"/>
      <c r="AD97" s="1"/>
      <c r="AE97" s="1"/>
      <c r="AF97" s="1"/>
      <c r="AG97" s="1"/>
      <c r="AH97" s="1"/>
      <c r="AI97" s="1"/>
      <c r="AJ97" s="1"/>
      <c r="AK97" s="1"/>
      <c r="AL97" s="1"/>
      <c r="AM97" s="1"/>
      <c r="AN97" s="1"/>
      <c r="AO97" s="1"/>
      <c r="AP97" s="1"/>
      <c r="AQ97" s="1"/>
      <c r="AR97" s="1"/>
      <c r="AS97" s="1"/>
      <c r="AT97" s="1"/>
      <c r="AU97" s="1"/>
      <c r="AV97" s="1">
        <f>SUM($AT97,Z97:$AA97)-SUM($AV$5:AV$5)*$J97-SUM($AV$6:AV$6)*$K97</f>
        <v>0</v>
      </c>
      <c r="AW97" s="1">
        <f>SUM($AT97,$AA97:AA97)-SUM($AV$5:AW$5)*$J97-SUM($AV$6:AW$6)*$K97</f>
        <v>0</v>
      </c>
      <c r="AX97" s="1">
        <f>SUM($AT97,$AA97:AB97)-SUM($AV$5:AX$5)*$J97-SUM($AV$6:AX$6)*$K97</f>
        <v>0</v>
      </c>
      <c r="AY97" s="1">
        <f>SUM($AT97,$AA97:AC97)-SUM($AV$5:AY$5)*$J97-SUM($AV$6:AY$6)*$K97</f>
        <v>0</v>
      </c>
      <c r="AZ97" s="1">
        <f>SUM($AT97,$AA97:AD97)-SUM($AV$5:AZ$5)*$J97-SUM($AV$6:AZ$6)*$K97</f>
        <v>-400</v>
      </c>
      <c r="BA97" s="1">
        <f>SUM($AT97,$AA97:AE97)-SUM($AV$5:BA$5)*$J97-SUM($AV$6:BA$6)*$K97</f>
        <v>-800</v>
      </c>
      <c r="BB97" s="1">
        <f>SUM($AT97,$AA97:AF97)-SUM($AV$5:BB$5)*$J97-SUM($AV$6:BB$6)*$K97</f>
        <v>-1200</v>
      </c>
      <c r="BC97" s="1">
        <f>SUM($AT97,$AA97:AG97)-SUM($AV$5:BC$5)*$J97-SUM($AV$6:BC$6)*$K97</f>
        <v>-1600</v>
      </c>
      <c r="BD97" s="1">
        <f>SUM($AT97,$AA97:AH97)-SUM($AV$5:BD$5)*$J97-SUM($AV$6:BD$6)*$K97</f>
        <v>-2000</v>
      </c>
      <c r="BE97" s="1">
        <f>SUM($AT97,$AA97:AI97)-SUM($AV$5:BE$5)*$J97-SUM($AV$6:BE$6)*$K97</f>
        <v>-2400</v>
      </c>
      <c r="BF97" s="1">
        <f>SUM($AT97,$AA97:AJ97)-SUM($AV$5:BF$5)*$J97-SUM($AV$6:BF$6)*$K97</f>
        <v>-2800</v>
      </c>
      <c r="BG97" s="1">
        <f>SUM($AT97,$AA97:AK97)-SUM($AV$5:BG$5)*$J97-SUM($AV$6:BG$6)*$K97</f>
        <v>-3200</v>
      </c>
      <c r="BH97" s="1">
        <f>SUM($AT97,$AA97:AL97)-SUM($AV$5:BH$5)*$J97-SUM($AV$6:BH$6)*$K97</f>
        <v>-3600</v>
      </c>
      <c r="BI97" s="1">
        <f>SUM($AT97,$AA97:AM97)-SUM($AV$5:BI$5)*$J97-SUM($AV$6:BI$6)*$K97</f>
        <v>-4000</v>
      </c>
      <c r="BJ97" s="1">
        <f>SUM($AT97,$AA97:AN97)-SUM($AV$5:BJ$5)*$J97-SUM($AV$6:BJ$6)*$K97</f>
        <v>-4400</v>
      </c>
      <c r="BK97" s="1">
        <f>SUM($AT97,$AA97:AO97)-SUM($AV$5:BK$5)*$J97-SUM($AV$6:BK$6)*$K97</f>
        <v>-4800</v>
      </c>
      <c r="BL97" s="1">
        <f>SUM($AT97,$AA97:AP97)-SUM($AV$5:BL$5)*$J97-SUM($AV$6:BL$6)*$K97</f>
        <v>-5200</v>
      </c>
      <c r="BM97" s="1">
        <f>SUM($AT97,$AA97:AQ97)-SUM($AV$5:BM$5)*$J97-SUM($AV$6:BM$6)*$K97</f>
        <v>-5600</v>
      </c>
      <c r="BN97" s="1">
        <f>SUM($AT97,$AA97:AR97)-SUM($AV$5:BN$5)*$J97-SUM($AV$6:BN$6)*$K97</f>
        <v>-5820</v>
      </c>
    </row>
    <row r="98" spans="1:66">
      <c r="A98" s="1">
        <v>116</v>
      </c>
      <c r="B98" s="28" t="s">
        <v>389</v>
      </c>
      <c r="C98" s="1" t="s">
        <v>40</v>
      </c>
      <c r="D98" s="2">
        <v>400092918</v>
      </c>
      <c r="E98" s="3" t="s">
        <v>390</v>
      </c>
      <c r="F98" s="1"/>
      <c r="G98" s="1" t="s">
        <v>42</v>
      </c>
      <c r="H98" s="1">
        <v>2</v>
      </c>
      <c r="I98" s="1">
        <v>50</v>
      </c>
      <c r="J98" s="1">
        <v>47</v>
      </c>
      <c r="K98" s="1">
        <v>0</v>
      </c>
      <c r="L98" s="1">
        <v>3</v>
      </c>
      <c r="M98" s="1">
        <f t="shared" si="6"/>
        <v>28182</v>
      </c>
      <c r="N98" s="1">
        <f t="shared" si="7"/>
        <v>28182</v>
      </c>
      <c r="O98" s="2" t="s">
        <v>383</v>
      </c>
      <c r="P98" s="1"/>
      <c r="Q98" s="1">
        <v>1.7000000000000001E-2</v>
      </c>
      <c r="R98" s="1" t="s">
        <v>44</v>
      </c>
      <c r="S98" s="30" t="s">
        <v>8</v>
      </c>
      <c r="T98" s="31" t="s">
        <v>369</v>
      </c>
      <c r="U98" s="1"/>
      <c r="V98" s="1">
        <v>4000</v>
      </c>
      <c r="W98" s="1" t="s">
        <v>370</v>
      </c>
      <c r="X98" s="32" t="s">
        <v>371</v>
      </c>
      <c r="Y98" s="1" t="s">
        <v>372</v>
      </c>
      <c r="Z98" s="2" t="s">
        <v>383</v>
      </c>
      <c r="AA98" s="1"/>
      <c r="AB98" s="1"/>
      <c r="AC98" s="1"/>
      <c r="AD98" s="1"/>
      <c r="AE98" s="1"/>
      <c r="AF98" s="1"/>
      <c r="AG98" s="1"/>
      <c r="AH98" s="1"/>
      <c r="AI98" s="1"/>
      <c r="AJ98" s="1"/>
      <c r="AK98" s="1"/>
      <c r="AL98" s="1"/>
      <c r="AM98" s="1"/>
      <c r="AN98" s="1"/>
      <c r="AO98" s="1"/>
      <c r="AP98" s="1"/>
      <c r="AQ98" s="1"/>
      <c r="AR98" s="1"/>
      <c r="AS98" s="1"/>
      <c r="AT98" s="1"/>
      <c r="AU98" s="1"/>
      <c r="AV98" s="1">
        <f>SUM($AT98,Z98:$AA98)-SUM($AV$5:AV$5)*$J98-SUM($AV$6:AV$6)*$K98</f>
        <v>0</v>
      </c>
      <c r="AW98" s="1">
        <f>SUM($AT98,$AA98:AA98)-SUM($AV$5:AW$5)*$J98-SUM($AV$6:AW$6)*$K98</f>
        <v>0</v>
      </c>
      <c r="AX98" s="1">
        <f>SUM($AT98,$AA98:AB98)-SUM($AV$5:AX$5)*$J98-SUM($AV$6:AX$6)*$K98</f>
        <v>0</v>
      </c>
      <c r="AY98" s="1">
        <f>SUM($AT98,$AA98:AC98)-SUM($AV$5:AY$5)*$J98-SUM($AV$6:AY$6)*$K98</f>
        <v>0</v>
      </c>
      <c r="AZ98" s="1">
        <f>SUM($AT98,$AA98:AD98)-SUM($AV$5:AZ$5)*$J98-SUM($AV$6:AZ$6)*$K98</f>
        <v>-1880</v>
      </c>
      <c r="BA98" s="1">
        <f>SUM($AT98,$AA98:AE98)-SUM($AV$5:BA$5)*$J98-SUM($AV$6:BA$6)*$K98</f>
        <v>-3760</v>
      </c>
      <c r="BB98" s="1">
        <f>SUM($AT98,$AA98:AF98)-SUM($AV$5:BB$5)*$J98-SUM($AV$6:BB$6)*$K98</f>
        <v>-5640</v>
      </c>
      <c r="BC98" s="1">
        <f>SUM($AT98,$AA98:AG98)-SUM($AV$5:BC$5)*$J98-SUM($AV$6:BC$6)*$K98</f>
        <v>-7520</v>
      </c>
      <c r="BD98" s="1">
        <f>SUM($AT98,$AA98:AH98)-SUM($AV$5:BD$5)*$J98-SUM($AV$6:BD$6)*$K98</f>
        <v>-9400</v>
      </c>
      <c r="BE98" s="1">
        <f>SUM($AT98,$AA98:AI98)-SUM($AV$5:BE$5)*$J98-SUM($AV$6:BE$6)*$K98</f>
        <v>-11280</v>
      </c>
      <c r="BF98" s="1">
        <f>SUM($AT98,$AA98:AJ98)-SUM($AV$5:BF$5)*$J98-SUM($AV$6:BF$6)*$K98</f>
        <v>-13160</v>
      </c>
      <c r="BG98" s="1">
        <f>SUM($AT98,$AA98:AK98)-SUM($AV$5:BG$5)*$J98-SUM($AV$6:BG$6)*$K98</f>
        <v>-15040</v>
      </c>
      <c r="BH98" s="1">
        <f>SUM($AT98,$AA98:AL98)-SUM($AV$5:BH$5)*$J98-SUM($AV$6:BH$6)*$K98</f>
        <v>-16920</v>
      </c>
      <c r="BI98" s="1">
        <f>SUM($AT98,$AA98:AM98)-SUM($AV$5:BI$5)*$J98-SUM($AV$6:BI$6)*$K98</f>
        <v>-18800</v>
      </c>
      <c r="BJ98" s="1">
        <f>SUM($AT98,$AA98:AN98)-SUM($AV$5:BJ$5)*$J98-SUM($AV$6:BJ$6)*$K98</f>
        <v>-20680</v>
      </c>
      <c r="BK98" s="1">
        <f>SUM($AT98,$AA98:AO98)-SUM($AV$5:BK$5)*$J98-SUM($AV$6:BK$6)*$K98</f>
        <v>-22560</v>
      </c>
      <c r="BL98" s="1">
        <f>SUM($AT98,$AA98:AP98)-SUM($AV$5:BL$5)*$J98-SUM($AV$6:BL$6)*$K98</f>
        <v>-24440</v>
      </c>
      <c r="BM98" s="1">
        <f>SUM($AT98,$AA98:AQ98)-SUM($AV$5:BM$5)*$J98-SUM($AV$6:BM$6)*$K98</f>
        <v>-26320</v>
      </c>
      <c r="BN98" s="1">
        <f>SUM($AT98,$AA98:AR98)-SUM($AV$5:BN$5)*$J98-SUM($AV$6:BN$6)*$K98</f>
        <v>-27354</v>
      </c>
    </row>
    <row r="99" spans="1:66">
      <c r="A99" s="1">
        <v>117</v>
      </c>
      <c r="B99" s="28" t="s">
        <v>391</v>
      </c>
      <c r="C99" s="1" t="s">
        <v>40</v>
      </c>
      <c r="D99" s="2">
        <v>400333049</v>
      </c>
      <c r="E99" s="3" t="s">
        <v>392</v>
      </c>
      <c r="F99" s="1"/>
      <c r="G99" s="1" t="s">
        <v>42</v>
      </c>
      <c r="H99" s="1">
        <v>2</v>
      </c>
      <c r="I99" s="1">
        <v>32</v>
      </c>
      <c r="J99" s="1">
        <v>32</v>
      </c>
      <c r="K99" s="1">
        <v>0</v>
      </c>
      <c r="L99" s="1">
        <v>0</v>
      </c>
      <c r="M99" s="1">
        <f t="shared" si="6"/>
        <v>18624</v>
      </c>
      <c r="N99" s="1">
        <f t="shared" si="7"/>
        <v>18624</v>
      </c>
      <c r="O99" s="2" t="s">
        <v>393</v>
      </c>
      <c r="P99" s="1"/>
      <c r="Q99" s="1">
        <v>1.6E-2</v>
      </c>
      <c r="R99" s="1" t="s">
        <v>44</v>
      </c>
      <c r="S99" s="30" t="s">
        <v>8</v>
      </c>
      <c r="T99" s="31" t="s">
        <v>369</v>
      </c>
      <c r="U99" s="1"/>
      <c r="V99" s="1">
        <v>4000</v>
      </c>
      <c r="W99" s="1" t="s">
        <v>370</v>
      </c>
      <c r="X99" s="32" t="s">
        <v>371</v>
      </c>
      <c r="Y99" s="1" t="s">
        <v>372</v>
      </c>
      <c r="Z99" s="2" t="s">
        <v>393</v>
      </c>
      <c r="AA99" s="1"/>
      <c r="AB99" s="1"/>
      <c r="AC99" s="1"/>
      <c r="AD99" s="1"/>
      <c r="AE99" s="1"/>
      <c r="AF99" s="1"/>
      <c r="AG99" s="1"/>
      <c r="AH99" s="1"/>
      <c r="AI99" s="1"/>
      <c r="AJ99" s="1"/>
      <c r="AK99" s="1"/>
      <c r="AL99" s="1"/>
      <c r="AM99" s="1"/>
      <c r="AN99" s="1"/>
      <c r="AO99" s="1"/>
      <c r="AP99" s="1"/>
      <c r="AQ99" s="1"/>
      <c r="AR99" s="1"/>
      <c r="AS99" s="1"/>
      <c r="AT99" s="1"/>
      <c r="AU99" s="1"/>
      <c r="AV99" s="1">
        <f>SUM($AT99,Z99:$AA99)-SUM($AV$5:AV$5)*$J99-SUM($AV$6:AV$6)*$K99</f>
        <v>0</v>
      </c>
      <c r="AW99" s="1">
        <f>SUM($AT99,$AA99:AA99)-SUM($AV$5:AW$5)*$J99-SUM($AV$6:AW$6)*$K99</f>
        <v>0</v>
      </c>
      <c r="AX99" s="1">
        <f>SUM($AT99,$AA99:AB99)-SUM($AV$5:AX$5)*$J99-SUM($AV$6:AX$6)*$K99</f>
        <v>0</v>
      </c>
      <c r="AY99" s="1">
        <f>SUM($AT99,$AA99:AC99)-SUM($AV$5:AY$5)*$J99-SUM($AV$6:AY$6)*$K99</f>
        <v>0</v>
      </c>
      <c r="AZ99" s="1">
        <f>SUM($AT99,$AA99:AD99)-SUM($AV$5:AZ$5)*$J99-SUM($AV$6:AZ$6)*$K99</f>
        <v>-1280</v>
      </c>
      <c r="BA99" s="1">
        <f>SUM($AT99,$AA99:AE99)-SUM($AV$5:BA$5)*$J99-SUM($AV$6:BA$6)*$K99</f>
        <v>-2560</v>
      </c>
      <c r="BB99" s="1">
        <f>SUM($AT99,$AA99:AF99)-SUM($AV$5:BB$5)*$J99-SUM($AV$6:BB$6)*$K99</f>
        <v>-3840</v>
      </c>
      <c r="BC99" s="1">
        <f>SUM($AT99,$AA99:AG99)-SUM($AV$5:BC$5)*$J99-SUM($AV$6:BC$6)*$K99</f>
        <v>-5120</v>
      </c>
      <c r="BD99" s="1">
        <f>SUM($AT99,$AA99:AH99)-SUM($AV$5:BD$5)*$J99-SUM($AV$6:BD$6)*$K99</f>
        <v>-6400</v>
      </c>
      <c r="BE99" s="1">
        <f>SUM($AT99,$AA99:AI99)-SUM($AV$5:BE$5)*$J99-SUM($AV$6:BE$6)*$K99</f>
        <v>-7680</v>
      </c>
      <c r="BF99" s="1">
        <f>SUM($AT99,$AA99:AJ99)-SUM($AV$5:BF$5)*$J99-SUM($AV$6:BF$6)*$K99</f>
        <v>-8960</v>
      </c>
      <c r="BG99" s="1">
        <f>SUM($AT99,$AA99:AK99)-SUM($AV$5:BG$5)*$J99-SUM($AV$6:BG$6)*$K99</f>
        <v>-10240</v>
      </c>
      <c r="BH99" s="1">
        <f>SUM($AT99,$AA99:AL99)-SUM($AV$5:BH$5)*$J99-SUM($AV$6:BH$6)*$K99</f>
        <v>-11520</v>
      </c>
      <c r="BI99" s="1">
        <f>SUM($AT99,$AA99:AM99)-SUM($AV$5:BI$5)*$J99-SUM($AV$6:BI$6)*$K99</f>
        <v>-12800</v>
      </c>
      <c r="BJ99" s="1">
        <f>SUM($AT99,$AA99:AN99)-SUM($AV$5:BJ$5)*$J99-SUM($AV$6:BJ$6)*$K99</f>
        <v>-14080</v>
      </c>
      <c r="BK99" s="1">
        <f>SUM($AT99,$AA99:AO99)-SUM($AV$5:BK$5)*$J99-SUM($AV$6:BK$6)*$K99</f>
        <v>-15360</v>
      </c>
      <c r="BL99" s="1">
        <f>SUM($AT99,$AA99:AP99)-SUM($AV$5:BL$5)*$J99-SUM($AV$6:BL$6)*$K99</f>
        <v>-16640</v>
      </c>
      <c r="BM99" s="1">
        <f>SUM($AT99,$AA99:AQ99)-SUM($AV$5:BM$5)*$J99-SUM($AV$6:BM$6)*$K99</f>
        <v>-17920</v>
      </c>
      <c r="BN99" s="1">
        <f>SUM($AT99,$AA99:AR99)-SUM($AV$5:BN$5)*$J99-SUM($AV$6:BN$6)*$K99</f>
        <v>-18624</v>
      </c>
    </row>
    <row r="100" spans="1:66">
      <c r="A100" s="1">
        <v>118</v>
      </c>
      <c r="B100" s="28" t="s">
        <v>394</v>
      </c>
      <c r="C100" s="1" t="s">
        <v>40</v>
      </c>
      <c r="D100" s="2">
        <v>400112300</v>
      </c>
      <c r="E100" s="3" t="s">
        <v>395</v>
      </c>
      <c r="F100" s="1"/>
      <c r="G100" s="1" t="s">
        <v>42</v>
      </c>
      <c r="H100" s="1">
        <v>2</v>
      </c>
      <c r="I100" s="1">
        <v>5</v>
      </c>
      <c r="J100" s="1">
        <v>1</v>
      </c>
      <c r="K100" s="1">
        <v>0</v>
      </c>
      <c r="L100" s="1">
        <v>4</v>
      </c>
      <c r="M100" s="1">
        <f t="shared" si="6"/>
        <v>1686</v>
      </c>
      <c r="N100" s="1">
        <f t="shared" si="7"/>
        <v>1686</v>
      </c>
      <c r="O100" s="2" t="s">
        <v>383</v>
      </c>
      <c r="P100" s="1"/>
      <c r="Q100" s="1">
        <v>1.7000000000000001E-2</v>
      </c>
      <c r="R100" s="1" t="s">
        <v>44</v>
      </c>
      <c r="S100" s="30" t="s">
        <v>386</v>
      </c>
      <c r="T100" s="31" t="s">
        <v>369</v>
      </c>
      <c r="U100" s="1">
        <v>10000</v>
      </c>
      <c r="V100" s="1">
        <v>10000</v>
      </c>
      <c r="W100" s="1" t="s">
        <v>370</v>
      </c>
      <c r="X100" s="32" t="s">
        <v>371</v>
      </c>
      <c r="Y100" s="1" t="s">
        <v>372</v>
      </c>
      <c r="Z100" s="2" t="s">
        <v>383</v>
      </c>
      <c r="AA100" s="1"/>
      <c r="AB100" s="1"/>
      <c r="AC100" s="1"/>
      <c r="AD100" s="1"/>
      <c r="AE100" s="1"/>
      <c r="AF100" s="1"/>
      <c r="AG100" s="1"/>
      <c r="AH100" s="1"/>
      <c r="AI100" s="1"/>
      <c r="AJ100" s="1"/>
      <c r="AK100" s="1"/>
      <c r="AL100" s="1"/>
      <c r="AM100" s="1"/>
      <c r="AN100" s="1"/>
      <c r="AO100" s="1"/>
      <c r="AP100" s="1"/>
      <c r="AQ100" s="1"/>
      <c r="AR100" s="1"/>
      <c r="AS100" s="1"/>
      <c r="AT100" s="1"/>
      <c r="AU100" s="1"/>
      <c r="AV100" s="1">
        <f>SUM($AT100,Z100:$AA100)-SUM($AV$5:AV$5)*$J100-SUM($AV$6:AV$6)*$K100</f>
        <v>0</v>
      </c>
      <c r="AW100" s="1">
        <f>SUM($AT100,$AA100:AA100)-SUM($AV$5:AW$5)*$J100-SUM($AV$6:AW$6)*$K100</f>
        <v>0</v>
      </c>
      <c r="AX100" s="1">
        <f>SUM($AT100,$AA100:AB100)-SUM($AV$5:AX$5)*$J100-SUM($AV$6:AX$6)*$K100</f>
        <v>0</v>
      </c>
      <c r="AY100" s="1">
        <f>SUM($AT100,$AA100:AC100)-SUM($AV$5:AY$5)*$J100-SUM($AV$6:AY$6)*$K100</f>
        <v>0</v>
      </c>
      <c r="AZ100" s="1">
        <f>SUM($AT100,$AA100:AD100)-SUM($AV$5:AZ$5)*$J100-SUM($AV$6:AZ$6)*$K100</f>
        <v>-40</v>
      </c>
      <c r="BA100" s="1">
        <f>SUM($AT100,$AA100:AE100)-SUM($AV$5:BA$5)*$J100-SUM($AV$6:BA$6)*$K100</f>
        <v>-80</v>
      </c>
      <c r="BB100" s="1">
        <f>SUM($AT100,$AA100:AF100)-SUM($AV$5:BB$5)*$J100-SUM($AV$6:BB$6)*$K100</f>
        <v>-120</v>
      </c>
      <c r="BC100" s="1">
        <f>SUM($AT100,$AA100:AG100)-SUM($AV$5:BC$5)*$J100-SUM($AV$6:BC$6)*$K100</f>
        <v>-160</v>
      </c>
      <c r="BD100" s="1">
        <f>SUM($AT100,$AA100:AH100)-SUM($AV$5:BD$5)*$J100-SUM($AV$6:BD$6)*$K100</f>
        <v>-200</v>
      </c>
      <c r="BE100" s="1">
        <f>SUM($AT100,$AA100:AI100)-SUM($AV$5:BE$5)*$J100-SUM($AV$6:BE$6)*$K100</f>
        <v>-240</v>
      </c>
      <c r="BF100" s="1">
        <f>SUM($AT100,$AA100:AJ100)-SUM($AV$5:BF$5)*$J100-SUM($AV$6:BF$6)*$K100</f>
        <v>-280</v>
      </c>
      <c r="BG100" s="1">
        <f>SUM($AT100,$AA100:AK100)-SUM($AV$5:BG$5)*$J100-SUM($AV$6:BG$6)*$K100</f>
        <v>-320</v>
      </c>
      <c r="BH100" s="1">
        <f>SUM($AT100,$AA100:AL100)-SUM($AV$5:BH$5)*$J100-SUM($AV$6:BH$6)*$K100</f>
        <v>-360</v>
      </c>
      <c r="BI100" s="1">
        <f>SUM($AT100,$AA100:AM100)-SUM($AV$5:BI$5)*$J100-SUM($AV$6:BI$6)*$K100</f>
        <v>-400</v>
      </c>
      <c r="BJ100" s="1">
        <f>SUM($AT100,$AA100:AN100)-SUM($AV$5:BJ$5)*$J100-SUM($AV$6:BJ$6)*$K100</f>
        <v>-440</v>
      </c>
      <c r="BK100" s="1">
        <f>SUM($AT100,$AA100:AO100)-SUM($AV$5:BK$5)*$J100-SUM($AV$6:BK$6)*$K100</f>
        <v>-480</v>
      </c>
      <c r="BL100" s="1">
        <f>SUM($AT100,$AA100:AP100)-SUM($AV$5:BL$5)*$J100-SUM($AV$6:BL$6)*$K100</f>
        <v>-520</v>
      </c>
      <c r="BM100" s="1">
        <f>SUM($AT100,$AA100:AQ100)-SUM($AV$5:BM$5)*$J100-SUM($AV$6:BM$6)*$K100</f>
        <v>-560</v>
      </c>
      <c r="BN100" s="1">
        <f>SUM($AT100,$AA100:AR100)-SUM($AV$5:BN$5)*$J100-SUM($AV$6:BN$6)*$K100</f>
        <v>-582</v>
      </c>
    </row>
    <row r="101" spans="1:66">
      <c r="A101" s="1">
        <v>119</v>
      </c>
      <c r="B101" s="28" t="s">
        <v>396</v>
      </c>
      <c r="C101" s="1" t="s">
        <v>40</v>
      </c>
      <c r="D101" s="2" t="s">
        <v>397</v>
      </c>
      <c r="E101" s="3" t="s">
        <v>398</v>
      </c>
      <c r="F101" s="1"/>
      <c r="G101" s="1" t="s">
        <v>42</v>
      </c>
      <c r="H101" s="1">
        <v>2</v>
      </c>
      <c r="I101" s="1">
        <v>3</v>
      </c>
      <c r="J101" s="1">
        <v>3</v>
      </c>
      <c r="K101" s="1">
        <v>0</v>
      </c>
      <c r="L101" s="1">
        <v>0</v>
      </c>
      <c r="M101" s="1">
        <f t="shared" si="6"/>
        <v>1746</v>
      </c>
      <c r="N101" s="1">
        <f t="shared" si="7"/>
        <v>1746</v>
      </c>
      <c r="O101" s="2" t="s">
        <v>383</v>
      </c>
      <c r="P101" s="1"/>
      <c r="Q101" s="1">
        <v>4.7E-2</v>
      </c>
      <c r="R101" s="1" t="s">
        <v>44</v>
      </c>
      <c r="S101" s="30" t="s">
        <v>8</v>
      </c>
      <c r="T101" s="31" t="s">
        <v>369</v>
      </c>
      <c r="U101" s="1"/>
      <c r="V101" s="1">
        <v>3000</v>
      </c>
      <c r="W101" s="1" t="s">
        <v>370</v>
      </c>
      <c r="X101" s="32" t="s">
        <v>371</v>
      </c>
      <c r="Y101" s="1" t="s">
        <v>372</v>
      </c>
      <c r="Z101" s="2" t="s">
        <v>383</v>
      </c>
      <c r="AA101" s="1"/>
      <c r="AB101" s="1"/>
      <c r="AC101" s="1"/>
      <c r="AD101" s="1"/>
      <c r="AE101" s="1"/>
      <c r="AF101" s="1"/>
      <c r="AG101" s="1"/>
      <c r="AH101" s="1"/>
      <c r="AI101" s="1"/>
      <c r="AJ101" s="1"/>
      <c r="AK101" s="1"/>
      <c r="AL101" s="1"/>
      <c r="AM101" s="1"/>
      <c r="AN101" s="1"/>
      <c r="AO101" s="1"/>
      <c r="AP101" s="1"/>
      <c r="AQ101" s="1"/>
      <c r="AR101" s="1"/>
      <c r="AS101" s="1"/>
      <c r="AT101" s="1"/>
      <c r="AU101" s="1"/>
      <c r="AV101" s="1">
        <f>SUM($AT101,Z101:$AA101)-SUM($AV$5:AV$5)*$J101-SUM($AV$6:AV$6)*$K101</f>
        <v>0</v>
      </c>
      <c r="AW101" s="1">
        <f>SUM($AT101,$AA101:AA101)-SUM($AV$5:AW$5)*$J101-SUM($AV$6:AW$6)*$K101</f>
        <v>0</v>
      </c>
      <c r="AX101" s="1">
        <f>SUM($AT101,$AA101:AB101)-SUM($AV$5:AX$5)*$J101-SUM($AV$6:AX$6)*$K101</f>
        <v>0</v>
      </c>
      <c r="AY101" s="1">
        <f>SUM($AT101,$AA101:AC101)-SUM($AV$5:AY$5)*$J101-SUM($AV$6:AY$6)*$K101</f>
        <v>0</v>
      </c>
      <c r="AZ101" s="1">
        <f>SUM($AT101,$AA101:AD101)-SUM($AV$5:AZ$5)*$J101-SUM($AV$6:AZ$6)*$K101</f>
        <v>-120</v>
      </c>
      <c r="BA101" s="1">
        <f>SUM($AT101,$AA101:AE101)-SUM($AV$5:BA$5)*$J101-SUM($AV$6:BA$6)*$K101</f>
        <v>-240</v>
      </c>
      <c r="BB101" s="1">
        <f>SUM($AT101,$AA101:AF101)-SUM($AV$5:BB$5)*$J101-SUM($AV$6:BB$6)*$K101</f>
        <v>-360</v>
      </c>
      <c r="BC101" s="1">
        <f>SUM($AT101,$AA101:AG101)-SUM($AV$5:BC$5)*$J101-SUM($AV$6:BC$6)*$K101</f>
        <v>-480</v>
      </c>
      <c r="BD101" s="1">
        <f>SUM($AT101,$AA101:AH101)-SUM($AV$5:BD$5)*$J101-SUM($AV$6:BD$6)*$K101</f>
        <v>-600</v>
      </c>
      <c r="BE101" s="1">
        <f>SUM($AT101,$AA101:AI101)-SUM($AV$5:BE$5)*$J101-SUM($AV$6:BE$6)*$K101</f>
        <v>-720</v>
      </c>
      <c r="BF101" s="1">
        <f>SUM($AT101,$AA101:AJ101)-SUM($AV$5:BF$5)*$J101-SUM($AV$6:BF$6)*$K101</f>
        <v>-840</v>
      </c>
      <c r="BG101" s="1">
        <f>SUM($AT101,$AA101:AK101)-SUM($AV$5:BG$5)*$J101-SUM($AV$6:BG$6)*$K101</f>
        <v>-960</v>
      </c>
      <c r="BH101" s="1">
        <f>SUM($AT101,$AA101:AL101)-SUM($AV$5:BH$5)*$J101-SUM($AV$6:BH$6)*$K101</f>
        <v>-1080</v>
      </c>
      <c r="BI101" s="1">
        <f>SUM($AT101,$AA101:AM101)-SUM($AV$5:BI$5)*$J101-SUM($AV$6:BI$6)*$K101</f>
        <v>-1200</v>
      </c>
      <c r="BJ101" s="1">
        <f>SUM($AT101,$AA101:AN101)-SUM($AV$5:BJ$5)*$J101-SUM($AV$6:BJ$6)*$K101</f>
        <v>-1320</v>
      </c>
      <c r="BK101" s="1">
        <f>SUM($AT101,$AA101:AO101)-SUM($AV$5:BK$5)*$J101-SUM($AV$6:BK$6)*$K101</f>
        <v>-1440</v>
      </c>
      <c r="BL101" s="1">
        <f>SUM($AT101,$AA101:AP101)-SUM($AV$5:BL$5)*$J101-SUM($AV$6:BL$6)*$K101</f>
        <v>-1560</v>
      </c>
      <c r="BM101" s="1">
        <f>SUM($AT101,$AA101:AQ101)-SUM($AV$5:BM$5)*$J101-SUM($AV$6:BM$6)*$K101</f>
        <v>-1680</v>
      </c>
      <c r="BN101" s="1">
        <f>SUM($AT101,$AA101:AR101)-SUM($AV$5:BN$5)*$J101-SUM($AV$6:BN$6)*$K101</f>
        <v>-1746</v>
      </c>
    </row>
    <row r="102" spans="1:66">
      <c r="A102" s="1">
        <v>120</v>
      </c>
      <c r="B102" s="28" t="s">
        <v>399</v>
      </c>
      <c r="C102" s="1" t="s">
        <v>40</v>
      </c>
      <c r="D102" s="2">
        <v>401172747</v>
      </c>
      <c r="E102" s="3" t="s">
        <v>400</v>
      </c>
      <c r="F102" s="1">
        <v>400326573</v>
      </c>
      <c r="G102" s="1" t="s">
        <v>42</v>
      </c>
      <c r="H102" s="1">
        <v>2</v>
      </c>
      <c r="I102" s="1">
        <v>43</v>
      </c>
      <c r="J102" s="1">
        <v>43</v>
      </c>
      <c r="K102" s="1">
        <v>0</v>
      </c>
      <c r="L102" s="1">
        <v>0</v>
      </c>
      <c r="M102" s="1">
        <f t="shared" si="6"/>
        <v>25026</v>
      </c>
      <c r="N102" s="1">
        <f t="shared" si="7"/>
        <v>25026</v>
      </c>
      <c r="O102" s="2" t="s">
        <v>401</v>
      </c>
      <c r="P102" s="1"/>
      <c r="Q102" s="1">
        <v>1.7000000000000001E-2</v>
      </c>
      <c r="R102" s="1" t="s">
        <v>44</v>
      </c>
      <c r="S102" s="30" t="s">
        <v>83</v>
      </c>
      <c r="T102" s="31" t="s">
        <v>402</v>
      </c>
      <c r="U102" s="1"/>
      <c r="V102" s="1">
        <v>10000</v>
      </c>
      <c r="W102" s="1" t="s">
        <v>403</v>
      </c>
      <c r="X102" s="32" t="s">
        <v>404</v>
      </c>
      <c r="Y102" s="1" t="s">
        <v>405</v>
      </c>
      <c r="Z102" s="2" t="s">
        <v>401</v>
      </c>
      <c r="AA102" s="1"/>
      <c r="AB102" s="1"/>
      <c r="AC102" s="1"/>
      <c r="AD102" s="1"/>
      <c r="AE102" s="1"/>
      <c r="AF102" s="1"/>
      <c r="AG102" s="1"/>
      <c r="AH102" s="1"/>
      <c r="AI102" s="1"/>
      <c r="AJ102" s="1"/>
      <c r="AK102" s="1"/>
      <c r="AL102" s="1"/>
      <c r="AM102" s="1"/>
      <c r="AN102" s="1"/>
      <c r="AO102" s="1"/>
      <c r="AP102" s="1"/>
      <c r="AQ102" s="1"/>
      <c r="AR102" s="1"/>
      <c r="AS102" s="1"/>
      <c r="AT102" s="1"/>
      <c r="AU102" s="1"/>
      <c r="AV102" s="1">
        <f>SUM($AT102,Z102:$AA102)-SUM($AV$5:AV$5)*$J102-SUM($AV$6:AV$6)*$K102</f>
        <v>0</v>
      </c>
      <c r="AW102" s="1">
        <f>SUM($AT102,$AA102:AA102)-SUM($AV$5:AW$5)*$J102-SUM($AV$6:AW$6)*$K102</f>
        <v>0</v>
      </c>
      <c r="AX102" s="1">
        <f>SUM($AT102,$AA102:AB102)-SUM($AV$5:AX$5)*$J102-SUM($AV$6:AX$6)*$K102</f>
        <v>0</v>
      </c>
      <c r="AY102" s="1">
        <f>SUM($AT102,$AA102:AC102)-SUM($AV$5:AY$5)*$J102-SUM($AV$6:AY$6)*$K102</f>
        <v>0</v>
      </c>
      <c r="AZ102" s="1">
        <f>SUM($AT102,$AA102:AD102)-SUM($AV$5:AZ$5)*$J102-SUM($AV$6:AZ$6)*$K102</f>
        <v>-1720</v>
      </c>
      <c r="BA102" s="1">
        <f>SUM($AT102,$AA102:AE102)-SUM($AV$5:BA$5)*$J102-SUM($AV$6:BA$6)*$K102</f>
        <v>-3440</v>
      </c>
      <c r="BB102" s="1">
        <f>SUM($AT102,$AA102:AF102)-SUM($AV$5:BB$5)*$J102-SUM($AV$6:BB$6)*$K102</f>
        <v>-5160</v>
      </c>
      <c r="BC102" s="1">
        <f>SUM($AT102,$AA102:AG102)-SUM($AV$5:BC$5)*$J102-SUM($AV$6:BC$6)*$K102</f>
        <v>-6880</v>
      </c>
      <c r="BD102" s="1">
        <f>SUM($AT102,$AA102:AH102)-SUM($AV$5:BD$5)*$J102-SUM($AV$6:BD$6)*$K102</f>
        <v>-8600</v>
      </c>
      <c r="BE102" s="1">
        <f>SUM($AT102,$AA102:AI102)-SUM($AV$5:BE$5)*$J102-SUM($AV$6:BE$6)*$K102</f>
        <v>-10320</v>
      </c>
      <c r="BF102" s="1">
        <f>SUM($AT102,$AA102:AJ102)-SUM($AV$5:BF$5)*$J102-SUM($AV$6:BF$6)*$K102</f>
        <v>-12040</v>
      </c>
      <c r="BG102" s="1">
        <f>SUM($AT102,$AA102:AK102)-SUM($AV$5:BG$5)*$J102-SUM($AV$6:BG$6)*$K102</f>
        <v>-13760</v>
      </c>
      <c r="BH102" s="1">
        <f>SUM($AT102,$AA102:AL102)-SUM($AV$5:BH$5)*$J102-SUM($AV$6:BH$6)*$K102</f>
        <v>-15480</v>
      </c>
      <c r="BI102" s="1">
        <f>SUM($AT102,$AA102:AM102)-SUM($AV$5:BI$5)*$J102-SUM($AV$6:BI$6)*$K102</f>
        <v>-17200</v>
      </c>
      <c r="BJ102" s="1">
        <f>SUM($AT102,$AA102:AN102)-SUM($AV$5:BJ$5)*$J102-SUM($AV$6:BJ$6)*$K102</f>
        <v>-18920</v>
      </c>
      <c r="BK102" s="1">
        <f>SUM($AT102,$AA102:AO102)-SUM($AV$5:BK$5)*$J102-SUM($AV$6:BK$6)*$K102</f>
        <v>-20640</v>
      </c>
      <c r="BL102" s="1">
        <f>SUM($AT102,$AA102:AP102)-SUM($AV$5:BL$5)*$J102-SUM($AV$6:BL$6)*$K102</f>
        <v>-22360</v>
      </c>
      <c r="BM102" s="1">
        <f>SUM($AT102,$AA102:AQ102)-SUM($AV$5:BM$5)*$J102-SUM($AV$6:BM$6)*$K102</f>
        <v>-24080</v>
      </c>
      <c r="BN102" s="1">
        <f>SUM($AT102,$AA102:AR102)-SUM($AV$5:BN$5)*$J102-SUM($AV$6:BN$6)*$K102</f>
        <v>-25026</v>
      </c>
    </row>
    <row r="103" spans="1:66">
      <c r="A103" s="1">
        <v>121</v>
      </c>
      <c r="B103" s="28" t="s">
        <v>406</v>
      </c>
      <c r="C103" s="1" t="s">
        <v>40</v>
      </c>
      <c r="D103" s="2">
        <v>400536577</v>
      </c>
      <c r="E103" s="3" t="s">
        <v>407</v>
      </c>
      <c r="F103" s="1">
        <v>400326574</v>
      </c>
      <c r="G103" s="1" t="s">
        <v>42</v>
      </c>
      <c r="H103" s="1">
        <v>2</v>
      </c>
      <c r="I103" s="1">
        <v>178</v>
      </c>
      <c r="J103" s="1">
        <v>178</v>
      </c>
      <c r="K103" s="1">
        <v>0</v>
      </c>
      <c r="L103" s="1">
        <v>0</v>
      </c>
      <c r="M103" s="1">
        <f t="shared" si="6"/>
        <v>103596</v>
      </c>
      <c r="N103" s="1">
        <f t="shared" si="7"/>
        <v>103596</v>
      </c>
      <c r="O103" s="2" t="s">
        <v>401</v>
      </c>
      <c r="P103" s="1"/>
      <c r="Q103" s="1">
        <v>4.0000000000000001E-3</v>
      </c>
      <c r="R103" s="1" t="s">
        <v>44</v>
      </c>
      <c r="S103" s="30" t="s">
        <v>303</v>
      </c>
      <c r="T103" s="31" t="s">
        <v>402</v>
      </c>
      <c r="U103" s="1"/>
      <c r="V103" s="1">
        <v>10000</v>
      </c>
      <c r="W103" s="1" t="s">
        <v>403</v>
      </c>
      <c r="X103" s="32" t="s">
        <v>404</v>
      </c>
      <c r="Y103" s="1" t="s">
        <v>405</v>
      </c>
      <c r="Z103" s="2" t="s">
        <v>401</v>
      </c>
      <c r="AA103" s="1"/>
      <c r="AB103" s="1"/>
      <c r="AC103" s="1"/>
      <c r="AD103" s="1"/>
      <c r="AE103" s="1"/>
      <c r="AF103" s="1"/>
      <c r="AG103" s="1"/>
      <c r="AH103" s="1"/>
      <c r="AI103" s="1"/>
      <c r="AJ103" s="1"/>
      <c r="AK103" s="1"/>
      <c r="AL103" s="1"/>
      <c r="AM103" s="1"/>
      <c r="AN103" s="1"/>
      <c r="AO103" s="1"/>
      <c r="AP103" s="1"/>
      <c r="AQ103" s="1"/>
      <c r="AR103" s="1"/>
      <c r="AS103" s="1"/>
      <c r="AT103" s="1"/>
      <c r="AU103" s="1"/>
      <c r="AV103" s="1">
        <f>SUM($AT103,Z103:$AA103)-SUM($AV$5:AV$5)*$J103-SUM($AV$6:AV$6)*$K103</f>
        <v>0</v>
      </c>
      <c r="AW103" s="1">
        <f>SUM($AT103,$AA103:AA103)-SUM($AV$5:AW$5)*$J103-SUM($AV$6:AW$6)*$K103</f>
        <v>0</v>
      </c>
      <c r="AX103" s="1">
        <f>SUM($AT103,$AA103:AB103)-SUM($AV$5:AX$5)*$J103-SUM($AV$6:AX$6)*$K103</f>
        <v>0</v>
      </c>
      <c r="AY103" s="1">
        <f>SUM($AT103,$AA103:AC103)-SUM($AV$5:AY$5)*$J103-SUM($AV$6:AY$6)*$K103</f>
        <v>0</v>
      </c>
      <c r="AZ103" s="1">
        <f>SUM($AT103,$AA103:AD103)-SUM($AV$5:AZ$5)*$J103-SUM($AV$6:AZ$6)*$K103</f>
        <v>-7120</v>
      </c>
      <c r="BA103" s="1">
        <f>SUM($AT103,$AA103:AE103)-SUM($AV$5:BA$5)*$J103-SUM($AV$6:BA$6)*$K103</f>
        <v>-14240</v>
      </c>
      <c r="BB103" s="1">
        <f>SUM($AT103,$AA103:AF103)-SUM($AV$5:BB$5)*$J103-SUM($AV$6:BB$6)*$K103</f>
        <v>-21360</v>
      </c>
      <c r="BC103" s="1">
        <f>SUM($AT103,$AA103:AG103)-SUM($AV$5:BC$5)*$J103-SUM($AV$6:BC$6)*$K103</f>
        <v>-28480</v>
      </c>
      <c r="BD103" s="1">
        <f>SUM($AT103,$AA103:AH103)-SUM($AV$5:BD$5)*$J103-SUM($AV$6:BD$6)*$K103</f>
        <v>-35600</v>
      </c>
      <c r="BE103" s="1">
        <f>SUM($AT103,$AA103:AI103)-SUM($AV$5:BE$5)*$J103-SUM($AV$6:BE$6)*$K103</f>
        <v>-42720</v>
      </c>
      <c r="BF103" s="1">
        <f>SUM($AT103,$AA103:AJ103)-SUM($AV$5:BF$5)*$J103-SUM($AV$6:BF$6)*$K103</f>
        <v>-49840</v>
      </c>
      <c r="BG103" s="1">
        <f>SUM($AT103,$AA103:AK103)-SUM($AV$5:BG$5)*$J103-SUM($AV$6:BG$6)*$K103</f>
        <v>-56960</v>
      </c>
      <c r="BH103" s="1">
        <f>SUM($AT103,$AA103:AL103)-SUM($AV$5:BH$5)*$J103-SUM($AV$6:BH$6)*$K103</f>
        <v>-64080</v>
      </c>
      <c r="BI103" s="1">
        <f>SUM($AT103,$AA103:AM103)-SUM($AV$5:BI$5)*$J103-SUM($AV$6:BI$6)*$K103</f>
        <v>-71200</v>
      </c>
      <c r="BJ103" s="1">
        <f>SUM($AT103,$AA103:AN103)-SUM($AV$5:BJ$5)*$J103-SUM($AV$6:BJ$6)*$K103</f>
        <v>-78320</v>
      </c>
      <c r="BK103" s="1">
        <f>SUM($AT103,$AA103:AO103)-SUM($AV$5:BK$5)*$J103-SUM($AV$6:BK$6)*$K103</f>
        <v>-85440</v>
      </c>
      <c r="BL103" s="1">
        <f>SUM($AT103,$AA103:AP103)-SUM($AV$5:BL$5)*$J103-SUM($AV$6:BL$6)*$K103</f>
        <v>-92560</v>
      </c>
      <c r="BM103" s="1">
        <f>SUM($AT103,$AA103:AQ103)-SUM($AV$5:BM$5)*$J103-SUM($AV$6:BM$6)*$K103</f>
        <v>-99680</v>
      </c>
      <c r="BN103" s="1">
        <f>SUM($AT103,$AA103:AR103)-SUM($AV$5:BN$5)*$J103-SUM($AV$6:BN$6)*$K103</f>
        <v>-103596</v>
      </c>
    </row>
    <row r="104" spans="1:66">
      <c r="A104" s="1">
        <v>122</v>
      </c>
      <c r="B104" s="28" t="s">
        <v>408</v>
      </c>
      <c r="C104" s="1" t="s">
        <v>40</v>
      </c>
      <c r="D104" s="2">
        <v>400984937</v>
      </c>
      <c r="E104" s="3" t="s">
        <v>409</v>
      </c>
      <c r="F104" s="1">
        <v>400326577</v>
      </c>
      <c r="G104" s="1" t="s">
        <v>42</v>
      </c>
      <c r="H104" s="1">
        <v>2</v>
      </c>
      <c r="I104" s="1">
        <v>309</v>
      </c>
      <c r="J104" s="1">
        <v>309</v>
      </c>
      <c r="K104" s="1">
        <v>0</v>
      </c>
      <c r="L104" s="1">
        <v>0</v>
      </c>
      <c r="M104" s="1">
        <f t="shared" si="6"/>
        <v>179838</v>
      </c>
      <c r="N104" s="1">
        <f t="shared" si="7"/>
        <v>179838</v>
      </c>
      <c r="O104" s="2" t="s">
        <v>401</v>
      </c>
      <c r="P104" s="1"/>
      <c r="Q104" s="1">
        <v>4.0000000000000001E-3</v>
      </c>
      <c r="R104" s="1" t="s">
        <v>44</v>
      </c>
      <c r="S104" s="30" t="s">
        <v>260</v>
      </c>
      <c r="T104" s="31" t="s">
        <v>402</v>
      </c>
      <c r="U104" s="1"/>
      <c r="V104" s="1">
        <v>10000</v>
      </c>
      <c r="W104" s="1" t="s">
        <v>403</v>
      </c>
      <c r="X104" s="32" t="s">
        <v>404</v>
      </c>
      <c r="Y104" s="1" t="s">
        <v>405</v>
      </c>
      <c r="Z104" s="2" t="s">
        <v>401</v>
      </c>
      <c r="AA104" s="1"/>
      <c r="AB104" s="1"/>
      <c r="AC104" s="1"/>
      <c r="AD104" s="1"/>
      <c r="AE104" s="1"/>
      <c r="AF104" s="1"/>
      <c r="AG104" s="1"/>
      <c r="AH104" s="1"/>
      <c r="AI104" s="1"/>
      <c r="AJ104" s="1"/>
      <c r="AK104" s="1"/>
      <c r="AL104" s="1"/>
      <c r="AM104" s="1"/>
      <c r="AN104" s="1"/>
      <c r="AO104" s="1"/>
      <c r="AP104" s="1"/>
      <c r="AQ104" s="1"/>
      <c r="AR104" s="1"/>
      <c r="AS104" s="1"/>
      <c r="AT104" s="1"/>
      <c r="AU104" s="1"/>
      <c r="AV104" s="1">
        <f>SUM($AT104,Z104:$AA104)-SUM($AV$5:AV$5)*$J104-SUM($AV$6:AV$6)*$K104</f>
        <v>0</v>
      </c>
      <c r="AW104" s="1">
        <f>SUM($AT104,$AA104:AA104)-SUM($AV$5:AW$5)*$J104-SUM($AV$6:AW$6)*$K104</f>
        <v>0</v>
      </c>
      <c r="AX104" s="1">
        <f>SUM($AT104,$AA104:AB104)-SUM($AV$5:AX$5)*$J104-SUM($AV$6:AX$6)*$K104</f>
        <v>0</v>
      </c>
      <c r="AY104" s="1">
        <f>SUM($AT104,$AA104:AC104)-SUM($AV$5:AY$5)*$J104-SUM($AV$6:AY$6)*$K104</f>
        <v>0</v>
      </c>
      <c r="AZ104" s="1">
        <f>SUM($AT104,$AA104:AD104)-SUM($AV$5:AZ$5)*$J104-SUM($AV$6:AZ$6)*$K104</f>
        <v>-12360</v>
      </c>
      <c r="BA104" s="1">
        <f>SUM($AT104,$AA104:AE104)-SUM($AV$5:BA$5)*$J104-SUM($AV$6:BA$6)*$K104</f>
        <v>-24720</v>
      </c>
      <c r="BB104" s="1">
        <f>SUM($AT104,$AA104:AF104)-SUM($AV$5:BB$5)*$J104-SUM($AV$6:BB$6)*$K104</f>
        <v>-37080</v>
      </c>
      <c r="BC104" s="1">
        <f>SUM($AT104,$AA104:AG104)-SUM($AV$5:BC$5)*$J104-SUM($AV$6:BC$6)*$K104</f>
        <v>-49440</v>
      </c>
      <c r="BD104" s="1">
        <f>SUM($AT104,$AA104:AH104)-SUM($AV$5:BD$5)*$J104-SUM($AV$6:BD$6)*$K104</f>
        <v>-61800</v>
      </c>
      <c r="BE104" s="1">
        <f>SUM($AT104,$AA104:AI104)-SUM($AV$5:BE$5)*$J104-SUM($AV$6:BE$6)*$K104</f>
        <v>-74160</v>
      </c>
      <c r="BF104" s="1">
        <f>SUM($AT104,$AA104:AJ104)-SUM($AV$5:BF$5)*$J104-SUM($AV$6:BF$6)*$K104</f>
        <v>-86520</v>
      </c>
      <c r="BG104" s="1">
        <f>SUM($AT104,$AA104:AK104)-SUM($AV$5:BG$5)*$J104-SUM($AV$6:BG$6)*$K104</f>
        <v>-98880</v>
      </c>
      <c r="BH104" s="1">
        <f>SUM($AT104,$AA104:AL104)-SUM($AV$5:BH$5)*$J104-SUM($AV$6:BH$6)*$K104</f>
        <v>-111240</v>
      </c>
      <c r="BI104" s="1">
        <f>SUM($AT104,$AA104:AM104)-SUM($AV$5:BI$5)*$J104-SUM($AV$6:BI$6)*$K104</f>
        <v>-123600</v>
      </c>
      <c r="BJ104" s="1">
        <f>SUM($AT104,$AA104:AN104)-SUM($AV$5:BJ$5)*$J104-SUM($AV$6:BJ$6)*$K104</f>
        <v>-135960</v>
      </c>
      <c r="BK104" s="1">
        <f>SUM($AT104,$AA104:AO104)-SUM($AV$5:BK$5)*$J104-SUM($AV$6:BK$6)*$K104</f>
        <v>-148320</v>
      </c>
      <c r="BL104" s="1">
        <f>SUM($AT104,$AA104:AP104)-SUM($AV$5:BL$5)*$J104-SUM($AV$6:BL$6)*$K104</f>
        <v>-160680</v>
      </c>
      <c r="BM104" s="1">
        <f>SUM($AT104,$AA104:AQ104)-SUM($AV$5:BM$5)*$J104-SUM($AV$6:BM$6)*$K104</f>
        <v>-173040</v>
      </c>
      <c r="BN104" s="1">
        <f>SUM($AT104,$AA104:AR104)-SUM($AV$5:BN$5)*$J104-SUM($AV$6:BN$6)*$K104</f>
        <v>-179838</v>
      </c>
    </row>
    <row r="105" spans="1:66">
      <c r="A105" s="1">
        <v>123</v>
      </c>
      <c r="B105" s="28" t="s">
        <v>410</v>
      </c>
      <c r="C105" s="1" t="s">
        <v>40</v>
      </c>
      <c r="D105" s="2">
        <v>401246012</v>
      </c>
      <c r="E105" s="3" t="s">
        <v>411</v>
      </c>
      <c r="F105" s="1">
        <v>400326580</v>
      </c>
      <c r="G105" s="1" t="s">
        <v>42</v>
      </c>
      <c r="H105" s="1">
        <v>2</v>
      </c>
      <c r="I105" s="1">
        <v>252</v>
      </c>
      <c r="J105" s="1">
        <v>252</v>
      </c>
      <c r="K105" s="1">
        <v>0</v>
      </c>
      <c r="L105" s="1">
        <v>0</v>
      </c>
      <c r="M105" s="1">
        <f t="shared" si="6"/>
        <v>146664</v>
      </c>
      <c r="N105" s="1">
        <f t="shared" si="7"/>
        <v>146664</v>
      </c>
      <c r="O105" s="2" t="s">
        <v>401</v>
      </c>
      <c r="P105" s="1"/>
      <c r="Q105" s="1">
        <v>4.0000000000000001E-3</v>
      </c>
      <c r="R105" s="1" t="s">
        <v>44</v>
      </c>
      <c r="S105" s="30" t="s">
        <v>260</v>
      </c>
      <c r="T105" s="31" t="s">
        <v>402</v>
      </c>
      <c r="U105" s="1"/>
      <c r="V105" s="1">
        <v>10000</v>
      </c>
      <c r="W105" s="1" t="s">
        <v>403</v>
      </c>
      <c r="X105" s="32" t="s">
        <v>404</v>
      </c>
      <c r="Y105" s="1" t="s">
        <v>405</v>
      </c>
      <c r="Z105" s="2" t="s">
        <v>401</v>
      </c>
      <c r="AA105" s="1"/>
      <c r="AB105" s="1"/>
      <c r="AC105" s="1"/>
      <c r="AD105" s="1"/>
      <c r="AE105" s="1"/>
      <c r="AF105" s="1"/>
      <c r="AG105" s="1"/>
      <c r="AH105" s="1"/>
      <c r="AI105" s="1"/>
      <c r="AJ105" s="1"/>
      <c r="AK105" s="1"/>
      <c r="AL105" s="1"/>
      <c r="AM105" s="1"/>
      <c r="AN105" s="1"/>
      <c r="AO105" s="1"/>
      <c r="AP105" s="1"/>
      <c r="AQ105" s="1"/>
      <c r="AR105" s="1"/>
      <c r="AS105" s="1"/>
      <c r="AT105" s="1"/>
      <c r="AU105" s="1"/>
      <c r="AV105" s="1">
        <f>SUM($AT105,Z105:$AA105)-SUM($AV$5:AV$5)*$J105-SUM($AV$6:AV$6)*$K105</f>
        <v>0</v>
      </c>
      <c r="AW105" s="1">
        <f>SUM($AT105,$AA105:AA105)-SUM($AV$5:AW$5)*$J105-SUM($AV$6:AW$6)*$K105</f>
        <v>0</v>
      </c>
      <c r="AX105" s="1">
        <f>SUM($AT105,$AA105:AB105)-SUM($AV$5:AX$5)*$J105-SUM($AV$6:AX$6)*$K105</f>
        <v>0</v>
      </c>
      <c r="AY105" s="1">
        <f>SUM($AT105,$AA105:AC105)-SUM($AV$5:AY$5)*$J105-SUM($AV$6:AY$6)*$K105</f>
        <v>0</v>
      </c>
      <c r="AZ105" s="1">
        <f>SUM($AT105,$AA105:AD105)-SUM($AV$5:AZ$5)*$J105-SUM($AV$6:AZ$6)*$K105</f>
        <v>-10080</v>
      </c>
      <c r="BA105" s="1">
        <f>SUM($AT105,$AA105:AE105)-SUM($AV$5:BA$5)*$J105-SUM($AV$6:BA$6)*$K105</f>
        <v>-20160</v>
      </c>
      <c r="BB105" s="1">
        <f>SUM($AT105,$AA105:AF105)-SUM($AV$5:BB$5)*$J105-SUM($AV$6:BB$6)*$K105</f>
        <v>-30240</v>
      </c>
      <c r="BC105" s="1">
        <f>SUM($AT105,$AA105:AG105)-SUM($AV$5:BC$5)*$J105-SUM($AV$6:BC$6)*$K105</f>
        <v>-40320</v>
      </c>
      <c r="BD105" s="1">
        <f>SUM($AT105,$AA105:AH105)-SUM($AV$5:BD$5)*$J105-SUM($AV$6:BD$6)*$K105</f>
        <v>-50400</v>
      </c>
      <c r="BE105" s="1">
        <f>SUM($AT105,$AA105:AI105)-SUM($AV$5:BE$5)*$J105-SUM($AV$6:BE$6)*$K105</f>
        <v>-60480</v>
      </c>
      <c r="BF105" s="1">
        <f>SUM($AT105,$AA105:AJ105)-SUM($AV$5:BF$5)*$J105-SUM($AV$6:BF$6)*$K105</f>
        <v>-70560</v>
      </c>
      <c r="BG105" s="1">
        <f>SUM($AT105,$AA105:AK105)-SUM($AV$5:BG$5)*$J105-SUM($AV$6:BG$6)*$K105</f>
        <v>-80640</v>
      </c>
      <c r="BH105" s="1">
        <f>SUM($AT105,$AA105:AL105)-SUM($AV$5:BH$5)*$J105-SUM($AV$6:BH$6)*$K105</f>
        <v>-90720</v>
      </c>
      <c r="BI105" s="1">
        <f>SUM($AT105,$AA105:AM105)-SUM($AV$5:BI$5)*$J105-SUM($AV$6:BI$6)*$K105</f>
        <v>-100800</v>
      </c>
      <c r="BJ105" s="1">
        <f>SUM($AT105,$AA105:AN105)-SUM($AV$5:BJ$5)*$J105-SUM($AV$6:BJ$6)*$K105</f>
        <v>-110880</v>
      </c>
      <c r="BK105" s="1">
        <f>SUM($AT105,$AA105:AO105)-SUM($AV$5:BK$5)*$J105-SUM($AV$6:BK$6)*$K105</f>
        <v>-120960</v>
      </c>
      <c r="BL105" s="1">
        <f>SUM($AT105,$AA105:AP105)-SUM($AV$5:BL$5)*$J105-SUM($AV$6:BL$6)*$K105</f>
        <v>-131040</v>
      </c>
      <c r="BM105" s="1">
        <f>SUM($AT105,$AA105:AQ105)-SUM($AV$5:BM$5)*$J105-SUM($AV$6:BM$6)*$K105</f>
        <v>-141120</v>
      </c>
      <c r="BN105" s="1">
        <f>SUM($AT105,$AA105:AR105)-SUM($AV$5:BN$5)*$J105-SUM($AV$6:BN$6)*$K105</f>
        <v>-146664</v>
      </c>
    </row>
    <row r="106" spans="1:66">
      <c r="A106" s="1">
        <v>124</v>
      </c>
      <c r="B106" s="28" t="s">
        <v>412</v>
      </c>
      <c r="C106" s="1" t="s">
        <v>40</v>
      </c>
      <c r="D106" s="2">
        <v>401516870</v>
      </c>
      <c r="E106" s="3" t="s">
        <v>413</v>
      </c>
      <c r="F106" s="1">
        <v>401502416</v>
      </c>
      <c r="G106" s="1" t="s">
        <v>42</v>
      </c>
      <c r="H106" s="1">
        <v>2</v>
      </c>
      <c r="I106" s="1">
        <v>33</v>
      </c>
      <c r="J106" s="1">
        <v>33</v>
      </c>
      <c r="K106" s="1">
        <v>0</v>
      </c>
      <c r="L106" s="1">
        <v>0</v>
      </c>
      <c r="M106" s="1">
        <f t="shared" si="6"/>
        <v>19206</v>
      </c>
      <c r="N106" s="1">
        <f t="shared" si="7"/>
        <v>19206</v>
      </c>
      <c r="O106" s="2" t="s">
        <v>401</v>
      </c>
      <c r="P106" s="1"/>
      <c r="Q106" s="1">
        <v>8.9999999999999993E-3</v>
      </c>
      <c r="R106" s="1" t="s">
        <v>44</v>
      </c>
      <c r="S106" s="30" t="s">
        <v>260</v>
      </c>
      <c r="T106" s="31" t="s">
        <v>402</v>
      </c>
      <c r="U106" s="1">
        <v>10000</v>
      </c>
      <c r="V106" s="1">
        <v>10000</v>
      </c>
      <c r="W106" s="1" t="s">
        <v>403</v>
      </c>
      <c r="X106" s="32" t="s">
        <v>404</v>
      </c>
      <c r="Y106" s="1" t="s">
        <v>405</v>
      </c>
      <c r="Z106" s="2" t="s">
        <v>401</v>
      </c>
      <c r="AA106" s="1"/>
      <c r="AB106" s="1"/>
      <c r="AC106" s="1"/>
      <c r="AD106" s="1"/>
      <c r="AE106" s="1"/>
      <c r="AF106" s="1"/>
      <c r="AG106" s="1"/>
      <c r="AH106" s="1"/>
      <c r="AI106" s="1"/>
      <c r="AJ106" s="1"/>
      <c r="AK106" s="1"/>
      <c r="AL106" s="1"/>
      <c r="AM106" s="1"/>
      <c r="AN106" s="1"/>
      <c r="AO106" s="1"/>
      <c r="AP106" s="1"/>
      <c r="AQ106" s="1"/>
      <c r="AR106" s="1"/>
      <c r="AS106" s="1"/>
      <c r="AT106" s="1"/>
      <c r="AU106" s="1"/>
      <c r="AV106" s="1">
        <f>SUM($AT106,Z106:$AA106)-SUM($AV$5:AV$5)*$J106-SUM($AV$6:AV$6)*$K106</f>
        <v>0</v>
      </c>
      <c r="AW106" s="1">
        <f>SUM($AT106,$AA106:AA106)-SUM($AV$5:AW$5)*$J106-SUM($AV$6:AW$6)*$K106</f>
        <v>0</v>
      </c>
      <c r="AX106" s="1">
        <f>SUM($AT106,$AA106:AB106)-SUM($AV$5:AX$5)*$J106-SUM($AV$6:AX$6)*$K106</f>
        <v>0</v>
      </c>
      <c r="AY106" s="1">
        <f>SUM($AT106,$AA106:AC106)-SUM($AV$5:AY$5)*$J106-SUM($AV$6:AY$6)*$K106</f>
        <v>0</v>
      </c>
      <c r="AZ106" s="1">
        <f>SUM($AT106,$AA106:AD106)-SUM($AV$5:AZ$5)*$J106-SUM($AV$6:AZ$6)*$K106</f>
        <v>-1320</v>
      </c>
      <c r="BA106" s="1">
        <f>SUM($AT106,$AA106:AE106)-SUM($AV$5:BA$5)*$J106-SUM($AV$6:BA$6)*$K106</f>
        <v>-2640</v>
      </c>
      <c r="BB106" s="1">
        <f>SUM($AT106,$AA106:AF106)-SUM($AV$5:BB$5)*$J106-SUM($AV$6:BB$6)*$K106</f>
        <v>-3960</v>
      </c>
      <c r="BC106" s="1">
        <f>SUM($AT106,$AA106:AG106)-SUM($AV$5:BC$5)*$J106-SUM($AV$6:BC$6)*$K106</f>
        <v>-5280</v>
      </c>
      <c r="BD106" s="1">
        <f>SUM($AT106,$AA106:AH106)-SUM($AV$5:BD$5)*$J106-SUM($AV$6:BD$6)*$K106</f>
        <v>-6600</v>
      </c>
      <c r="BE106" s="1">
        <f>SUM($AT106,$AA106:AI106)-SUM($AV$5:BE$5)*$J106-SUM($AV$6:BE$6)*$K106</f>
        <v>-7920</v>
      </c>
      <c r="BF106" s="1">
        <f>SUM($AT106,$AA106:AJ106)-SUM($AV$5:BF$5)*$J106-SUM($AV$6:BF$6)*$K106</f>
        <v>-9240</v>
      </c>
      <c r="BG106" s="1">
        <f>SUM($AT106,$AA106:AK106)-SUM($AV$5:BG$5)*$J106-SUM($AV$6:BG$6)*$K106</f>
        <v>-10560</v>
      </c>
      <c r="BH106" s="1">
        <f>SUM($AT106,$AA106:AL106)-SUM($AV$5:BH$5)*$J106-SUM($AV$6:BH$6)*$K106</f>
        <v>-11880</v>
      </c>
      <c r="BI106" s="1">
        <f>SUM($AT106,$AA106:AM106)-SUM($AV$5:BI$5)*$J106-SUM($AV$6:BI$6)*$K106</f>
        <v>-13200</v>
      </c>
      <c r="BJ106" s="1">
        <f>SUM($AT106,$AA106:AN106)-SUM($AV$5:BJ$5)*$J106-SUM($AV$6:BJ$6)*$K106</f>
        <v>-14520</v>
      </c>
      <c r="BK106" s="1">
        <f>SUM($AT106,$AA106:AO106)-SUM($AV$5:BK$5)*$J106-SUM($AV$6:BK$6)*$K106</f>
        <v>-15840</v>
      </c>
      <c r="BL106" s="1">
        <f>SUM($AT106,$AA106:AP106)-SUM($AV$5:BL$5)*$J106-SUM($AV$6:BL$6)*$K106</f>
        <v>-17160</v>
      </c>
      <c r="BM106" s="1">
        <f>SUM($AT106,$AA106:AQ106)-SUM($AV$5:BM$5)*$J106-SUM($AV$6:BM$6)*$K106</f>
        <v>-18480</v>
      </c>
      <c r="BN106" s="1">
        <f>SUM($AT106,$AA106:AR106)-SUM($AV$5:BN$5)*$J106-SUM($AV$6:BN$6)*$K106</f>
        <v>-19206</v>
      </c>
    </row>
    <row r="107" spans="1:66">
      <c r="A107" s="1">
        <v>111</v>
      </c>
      <c r="B107" s="28" t="s">
        <v>414</v>
      </c>
      <c r="C107" s="1" t="s">
        <v>40</v>
      </c>
      <c r="D107" s="2">
        <v>410698870</v>
      </c>
      <c r="E107" s="3" t="s">
        <v>415</v>
      </c>
      <c r="F107" s="1">
        <v>412838734</v>
      </c>
      <c r="G107" s="1" t="s">
        <v>42</v>
      </c>
      <c r="H107" s="1">
        <v>2</v>
      </c>
      <c r="I107" s="1">
        <v>4</v>
      </c>
      <c r="J107" s="1">
        <v>0</v>
      </c>
      <c r="K107" s="1">
        <v>0</v>
      </c>
      <c r="L107" s="1">
        <v>4</v>
      </c>
      <c r="M107" s="1">
        <f t="shared" si="6"/>
        <v>1104</v>
      </c>
      <c r="N107" s="1">
        <f t="shared" si="7"/>
        <v>1104</v>
      </c>
      <c r="O107" s="2" t="s">
        <v>416</v>
      </c>
      <c r="P107" s="1"/>
      <c r="Q107" s="31">
        <v>8.7900000000000006E-2</v>
      </c>
      <c r="R107" s="1" t="s">
        <v>292</v>
      </c>
      <c r="S107" s="30" t="s">
        <v>73</v>
      </c>
      <c r="T107" s="31" t="s">
        <v>417</v>
      </c>
      <c r="U107" s="1">
        <v>3000</v>
      </c>
      <c r="V107" s="1">
        <v>3000</v>
      </c>
      <c r="W107" s="1" t="s">
        <v>418</v>
      </c>
      <c r="X107" s="33" t="s">
        <v>419</v>
      </c>
      <c r="Y107" s="1" t="s">
        <v>420</v>
      </c>
      <c r="Z107" s="2" t="s">
        <v>416</v>
      </c>
      <c r="AA107" s="1"/>
      <c r="AB107" s="1"/>
      <c r="AC107" s="1"/>
      <c r="AD107" s="1"/>
      <c r="AE107" s="1"/>
      <c r="AF107" s="1"/>
      <c r="AG107" s="1"/>
      <c r="AH107" s="1"/>
      <c r="AI107" s="1"/>
      <c r="AJ107" s="1"/>
      <c r="AK107" s="1"/>
      <c r="AL107" s="1"/>
      <c r="AM107" s="1"/>
      <c r="AN107" s="1"/>
      <c r="AO107" s="1"/>
      <c r="AP107" s="1"/>
      <c r="AQ107" s="1"/>
      <c r="AR107" s="1"/>
      <c r="AS107" s="1"/>
      <c r="AT107" s="1"/>
      <c r="AU107" s="1"/>
      <c r="AV107" s="1">
        <f>SUM($AT107,Z107:$AA107)-SUM($AV$5:AV$5)*$J107-SUM($AV$6:AV$6)*$K107</f>
        <v>0</v>
      </c>
      <c r="AW107" s="1">
        <f>SUM($AT107,$AA107:AA107)-SUM($AV$5:AW$5)*$J107-SUM($AV$6:AW$6)*$K107</f>
        <v>0</v>
      </c>
      <c r="AX107" s="1">
        <f>SUM($AT107,$AA107:AB107)-SUM($AV$5:AX$5)*$J107-SUM($AV$6:AX$6)*$K107</f>
        <v>0</v>
      </c>
      <c r="AY107" s="1">
        <f>SUM($AT107,$AA107:AC107)-SUM($AV$5:AY$5)*$J107-SUM($AV$6:AY$6)*$K107</f>
        <v>0</v>
      </c>
      <c r="AZ107" s="1">
        <f>SUM($AT107,$AA107:AD107)-SUM($AV$5:AZ$5)*$J107-SUM($AV$6:AZ$6)*$K107</f>
        <v>0</v>
      </c>
      <c r="BA107" s="1">
        <f>SUM($AT107,$AA107:AE107)-SUM($AV$5:BA$5)*$J107-SUM($AV$6:BA$6)*$K107</f>
        <v>0</v>
      </c>
      <c r="BB107" s="1">
        <f>SUM($AT107,$AA107:AF107)-SUM($AV$5:BB$5)*$J107-SUM($AV$6:BB$6)*$K107</f>
        <v>0</v>
      </c>
      <c r="BC107" s="1">
        <f>SUM($AT107,$AA107:AG107)-SUM($AV$5:BC$5)*$J107-SUM($AV$6:BC$6)*$K107</f>
        <v>0</v>
      </c>
      <c r="BD107" s="1">
        <f>SUM($AT107,$AA107:AH107)-SUM($AV$5:BD$5)*$J107-SUM($AV$6:BD$6)*$K107</f>
        <v>0</v>
      </c>
      <c r="BE107" s="1">
        <f>SUM($AT107,$AA107:AI107)-SUM($AV$5:BE$5)*$J107-SUM($AV$6:BE$6)*$K107</f>
        <v>0</v>
      </c>
      <c r="BF107" s="1">
        <f>SUM($AT107,$AA107:AJ107)-SUM($AV$5:BF$5)*$J107-SUM($AV$6:BF$6)*$K107</f>
        <v>0</v>
      </c>
      <c r="BG107" s="1">
        <f>SUM($AT107,$AA107:AK107)-SUM($AV$5:BG$5)*$J107-SUM($AV$6:BG$6)*$K107</f>
        <v>0</v>
      </c>
      <c r="BH107" s="1">
        <f>SUM($AT107,$AA107:AL107)-SUM($AV$5:BH$5)*$J107-SUM($AV$6:BH$6)*$K107</f>
        <v>0</v>
      </c>
      <c r="BI107" s="1">
        <f>SUM($AT107,$AA107:AM107)-SUM($AV$5:BI$5)*$J107-SUM($AV$6:BI$6)*$K107</f>
        <v>0</v>
      </c>
      <c r="BJ107" s="1">
        <f>SUM($AT107,$AA107:AN107)-SUM($AV$5:BJ$5)*$J107-SUM($AV$6:BJ$6)*$K107</f>
        <v>0</v>
      </c>
      <c r="BK107" s="1">
        <f>SUM($AT107,$AA107:AO107)-SUM($AV$5:BK$5)*$J107-SUM($AV$6:BK$6)*$K107</f>
        <v>0</v>
      </c>
      <c r="BL107" s="1">
        <f>SUM($AT107,$AA107:AP107)-SUM($AV$5:BL$5)*$J107-SUM($AV$6:BL$6)*$K107</f>
        <v>0</v>
      </c>
      <c r="BM107" s="1">
        <f>SUM($AT107,$AA107:AQ107)-SUM($AV$5:BM$5)*$J107-SUM($AV$6:BM$6)*$K107</f>
        <v>0</v>
      </c>
      <c r="BN107" s="1">
        <f>SUM($AT107,$AA107:AR107)-SUM($AV$5:BN$5)*$J107-SUM($AV$6:BN$6)*$K107</f>
        <v>0</v>
      </c>
    </row>
    <row r="108" spans="1:66">
      <c r="A108" s="1">
        <v>125</v>
      </c>
      <c r="B108" s="28" t="s">
        <v>421</v>
      </c>
      <c r="C108" s="1" t="s">
        <v>40</v>
      </c>
      <c r="D108" s="2">
        <v>400797925</v>
      </c>
      <c r="E108" s="3" t="s">
        <v>422</v>
      </c>
      <c r="F108" s="1">
        <v>400481204</v>
      </c>
      <c r="G108" s="1" t="s">
        <v>42</v>
      </c>
      <c r="H108" s="1">
        <v>2</v>
      </c>
      <c r="I108" s="1">
        <v>1</v>
      </c>
      <c r="J108" s="1">
        <v>1</v>
      </c>
      <c r="K108" s="1">
        <v>0</v>
      </c>
      <c r="L108" s="1">
        <v>0</v>
      </c>
      <c r="M108" s="1">
        <f t="shared" si="6"/>
        <v>582</v>
      </c>
      <c r="N108" s="1">
        <f t="shared" si="7"/>
        <v>582</v>
      </c>
      <c r="O108" s="2" t="s">
        <v>401</v>
      </c>
      <c r="P108" s="1"/>
      <c r="Q108" s="1">
        <v>1.7000000000000001E-2</v>
      </c>
      <c r="R108" s="1" t="s">
        <v>44</v>
      </c>
      <c r="S108" s="30" t="s">
        <v>423</v>
      </c>
      <c r="T108" s="31" t="s">
        <v>402</v>
      </c>
      <c r="U108" s="1"/>
      <c r="V108" s="1">
        <v>10000</v>
      </c>
      <c r="W108" s="1" t="s">
        <v>403</v>
      </c>
      <c r="X108" s="32" t="s">
        <v>404</v>
      </c>
      <c r="Y108" s="1" t="s">
        <v>405</v>
      </c>
      <c r="Z108" s="2" t="s">
        <v>401</v>
      </c>
      <c r="AA108" s="1"/>
      <c r="AB108" s="1"/>
      <c r="AC108" s="1"/>
      <c r="AD108" s="1"/>
      <c r="AE108" s="1"/>
      <c r="AF108" s="1"/>
      <c r="AG108" s="1"/>
      <c r="AH108" s="1"/>
      <c r="AI108" s="1"/>
      <c r="AJ108" s="1"/>
      <c r="AK108" s="1"/>
      <c r="AL108" s="1"/>
      <c r="AM108" s="1"/>
      <c r="AN108" s="1"/>
      <c r="AO108" s="1"/>
      <c r="AP108" s="1"/>
      <c r="AQ108" s="1"/>
      <c r="AR108" s="1"/>
      <c r="AS108" s="1"/>
      <c r="AT108" s="1"/>
      <c r="AU108" s="1"/>
      <c r="AV108" s="1">
        <f>SUM($AT108,Z108:$AA108)-SUM($AV$5:AV$5)*$J108-SUM($AV$6:AV$6)*$K108</f>
        <v>0</v>
      </c>
      <c r="AW108" s="1">
        <f>SUM($AT108,$AA108:AA108)-SUM($AV$5:AW$5)*$J108-SUM($AV$6:AW$6)*$K108</f>
        <v>0</v>
      </c>
      <c r="AX108" s="1">
        <f>SUM($AT108,$AA108:AB108)-SUM($AV$5:AX$5)*$J108-SUM($AV$6:AX$6)*$K108</f>
        <v>0</v>
      </c>
      <c r="AY108" s="1">
        <f>SUM($AT108,$AA108:AC108)-SUM($AV$5:AY$5)*$J108-SUM($AV$6:AY$6)*$K108</f>
        <v>0</v>
      </c>
      <c r="AZ108" s="1">
        <f>SUM($AT108,$AA108:AD108)-SUM($AV$5:AZ$5)*$J108-SUM($AV$6:AZ$6)*$K108</f>
        <v>-40</v>
      </c>
      <c r="BA108" s="1">
        <f>SUM($AT108,$AA108:AE108)-SUM($AV$5:BA$5)*$J108-SUM($AV$6:BA$6)*$K108</f>
        <v>-80</v>
      </c>
      <c r="BB108" s="1">
        <f>SUM($AT108,$AA108:AF108)-SUM($AV$5:BB$5)*$J108-SUM($AV$6:BB$6)*$K108</f>
        <v>-120</v>
      </c>
      <c r="BC108" s="1">
        <f>SUM($AT108,$AA108:AG108)-SUM($AV$5:BC$5)*$J108-SUM($AV$6:BC$6)*$K108</f>
        <v>-160</v>
      </c>
      <c r="BD108" s="1">
        <f>SUM($AT108,$AA108:AH108)-SUM($AV$5:BD$5)*$J108-SUM($AV$6:BD$6)*$K108</f>
        <v>-200</v>
      </c>
      <c r="BE108" s="1">
        <f>SUM($AT108,$AA108:AI108)-SUM($AV$5:BE$5)*$J108-SUM($AV$6:BE$6)*$K108</f>
        <v>-240</v>
      </c>
      <c r="BF108" s="1">
        <f>SUM($AT108,$AA108:AJ108)-SUM($AV$5:BF$5)*$J108-SUM($AV$6:BF$6)*$K108</f>
        <v>-280</v>
      </c>
      <c r="BG108" s="1">
        <f>SUM($AT108,$AA108:AK108)-SUM($AV$5:BG$5)*$J108-SUM($AV$6:BG$6)*$K108</f>
        <v>-320</v>
      </c>
      <c r="BH108" s="1">
        <f>SUM($AT108,$AA108:AL108)-SUM($AV$5:BH$5)*$J108-SUM($AV$6:BH$6)*$K108</f>
        <v>-360</v>
      </c>
      <c r="BI108" s="1">
        <f>SUM($AT108,$AA108:AM108)-SUM($AV$5:BI$5)*$J108-SUM($AV$6:BI$6)*$K108</f>
        <v>-400</v>
      </c>
      <c r="BJ108" s="1">
        <f>SUM($AT108,$AA108:AN108)-SUM($AV$5:BJ$5)*$J108-SUM($AV$6:BJ$6)*$K108</f>
        <v>-440</v>
      </c>
      <c r="BK108" s="1">
        <f>SUM($AT108,$AA108:AO108)-SUM($AV$5:BK$5)*$J108-SUM($AV$6:BK$6)*$K108</f>
        <v>-480</v>
      </c>
      <c r="BL108" s="1">
        <f>SUM($AT108,$AA108:AP108)-SUM($AV$5:BL$5)*$J108-SUM($AV$6:BL$6)*$K108</f>
        <v>-520</v>
      </c>
      <c r="BM108" s="1">
        <f>SUM($AT108,$AA108:AQ108)-SUM($AV$5:BM$5)*$J108-SUM($AV$6:BM$6)*$K108</f>
        <v>-560</v>
      </c>
      <c r="BN108" s="1">
        <f>SUM($AT108,$AA108:AR108)-SUM($AV$5:BN$5)*$J108-SUM($AV$6:BN$6)*$K108</f>
        <v>-582</v>
      </c>
    </row>
    <row r="109" spans="1:66">
      <c r="A109" s="1">
        <v>126</v>
      </c>
      <c r="B109" s="28" t="s">
        <v>424</v>
      </c>
      <c r="C109" s="1" t="s">
        <v>40</v>
      </c>
      <c r="D109" s="2">
        <v>401524707</v>
      </c>
      <c r="E109" s="3" t="s">
        <v>425</v>
      </c>
      <c r="F109" s="1">
        <v>400481190</v>
      </c>
      <c r="G109" s="1" t="s">
        <v>42</v>
      </c>
      <c r="H109" s="1">
        <v>2</v>
      </c>
      <c r="I109" s="1">
        <v>2</v>
      </c>
      <c r="J109" s="1">
        <v>2</v>
      </c>
      <c r="K109" s="1">
        <v>0</v>
      </c>
      <c r="L109" s="1">
        <v>0</v>
      </c>
      <c r="M109" s="1">
        <f t="shared" si="6"/>
        <v>1164</v>
      </c>
      <c r="N109" s="1">
        <f t="shared" si="7"/>
        <v>1164</v>
      </c>
      <c r="O109" s="2" t="s">
        <v>401</v>
      </c>
      <c r="P109" s="1"/>
      <c r="Q109" s="1">
        <v>5.0000000000000001E-3</v>
      </c>
      <c r="R109" s="1" t="s">
        <v>44</v>
      </c>
      <c r="S109" s="30" t="s">
        <v>303</v>
      </c>
      <c r="T109" s="31" t="s">
        <v>402</v>
      </c>
      <c r="U109" s="1"/>
      <c r="V109" s="1">
        <v>10000</v>
      </c>
      <c r="W109" s="1" t="s">
        <v>403</v>
      </c>
      <c r="X109" s="32" t="s">
        <v>404</v>
      </c>
      <c r="Y109" s="1" t="s">
        <v>405</v>
      </c>
      <c r="Z109" s="2" t="s">
        <v>401</v>
      </c>
      <c r="AA109" s="1"/>
      <c r="AB109" s="1"/>
      <c r="AC109" s="1"/>
      <c r="AD109" s="1"/>
      <c r="AE109" s="1"/>
      <c r="AF109" s="1"/>
      <c r="AG109" s="1"/>
      <c r="AH109" s="1"/>
      <c r="AI109" s="1"/>
      <c r="AJ109" s="1"/>
      <c r="AK109" s="1"/>
      <c r="AL109" s="1"/>
      <c r="AM109" s="1"/>
      <c r="AN109" s="1"/>
      <c r="AO109" s="1"/>
      <c r="AP109" s="1"/>
      <c r="AQ109" s="1"/>
      <c r="AR109" s="1"/>
      <c r="AS109" s="1"/>
      <c r="AT109" s="1"/>
      <c r="AU109" s="1"/>
      <c r="AV109" s="1">
        <f>SUM($AT109,Z109:$AA109)-SUM($AV$5:AV$5)*$J109-SUM($AV$6:AV$6)*$K109</f>
        <v>0</v>
      </c>
      <c r="AW109" s="1">
        <f>SUM($AT109,$AA109:AA109)-SUM($AV$5:AW$5)*$J109-SUM($AV$6:AW$6)*$K109</f>
        <v>0</v>
      </c>
      <c r="AX109" s="1">
        <f>SUM($AT109,$AA109:AB109)-SUM($AV$5:AX$5)*$J109-SUM($AV$6:AX$6)*$K109</f>
        <v>0</v>
      </c>
      <c r="AY109" s="1">
        <f>SUM($AT109,$AA109:AC109)-SUM($AV$5:AY$5)*$J109-SUM($AV$6:AY$6)*$K109</f>
        <v>0</v>
      </c>
      <c r="AZ109" s="1">
        <f>SUM($AT109,$AA109:AD109)-SUM($AV$5:AZ$5)*$J109-SUM($AV$6:AZ$6)*$K109</f>
        <v>-80</v>
      </c>
      <c r="BA109" s="1">
        <f>SUM($AT109,$AA109:AE109)-SUM($AV$5:BA$5)*$J109-SUM($AV$6:BA$6)*$K109</f>
        <v>-160</v>
      </c>
      <c r="BB109" s="1">
        <f>SUM($AT109,$AA109:AF109)-SUM($AV$5:BB$5)*$J109-SUM($AV$6:BB$6)*$K109</f>
        <v>-240</v>
      </c>
      <c r="BC109" s="1">
        <f>SUM($AT109,$AA109:AG109)-SUM($AV$5:BC$5)*$J109-SUM($AV$6:BC$6)*$K109</f>
        <v>-320</v>
      </c>
      <c r="BD109" s="1">
        <f>SUM($AT109,$AA109:AH109)-SUM($AV$5:BD$5)*$J109-SUM($AV$6:BD$6)*$K109</f>
        <v>-400</v>
      </c>
      <c r="BE109" s="1">
        <f>SUM($AT109,$AA109:AI109)-SUM($AV$5:BE$5)*$J109-SUM($AV$6:BE$6)*$K109</f>
        <v>-480</v>
      </c>
      <c r="BF109" s="1">
        <f>SUM($AT109,$AA109:AJ109)-SUM($AV$5:BF$5)*$J109-SUM($AV$6:BF$6)*$K109</f>
        <v>-560</v>
      </c>
      <c r="BG109" s="1">
        <f>SUM($AT109,$AA109:AK109)-SUM($AV$5:BG$5)*$J109-SUM($AV$6:BG$6)*$K109</f>
        <v>-640</v>
      </c>
      <c r="BH109" s="1">
        <f>SUM($AT109,$AA109:AL109)-SUM($AV$5:BH$5)*$J109-SUM($AV$6:BH$6)*$K109</f>
        <v>-720</v>
      </c>
      <c r="BI109" s="1">
        <f>SUM($AT109,$AA109:AM109)-SUM($AV$5:BI$5)*$J109-SUM($AV$6:BI$6)*$K109</f>
        <v>-800</v>
      </c>
      <c r="BJ109" s="1">
        <f>SUM($AT109,$AA109:AN109)-SUM($AV$5:BJ$5)*$J109-SUM($AV$6:BJ$6)*$K109</f>
        <v>-880</v>
      </c>
      <c r="BK109" s="1">
        <f>SUM($AT109,$AA109:AO109)-SUM($AV$5:BK$5)*$J109-SUM($AV$6:BK$6)*$K109</f>
        <v>-960</v>
      </c>
      <c r="BL109" s="1">
        <f>SUM($AT109,$AA109:AP109)-SUM($AV$5:BL$5)*$J109-SUM($AV$6:BL$6)*$K109</f>
        <v>-1040</v>
      </c>
      <c r="BM109" s="1">
        <f>SUM($AT109,$AA109:AQ109)-SUM($AV$5:BM$5)*$J109-SUM($AV$6:BM$6)*$K109</f>
        <v>-1120</v>
      </c>
      <c r="BN109" s="1">
        <f>SUM($AT109,$AA109:AR109)-SUM($AV$5:BN$5)*$J109-SUM($AV$6:BN$6)*$K109</f>
        <v>-1164</v>
      </c>
    </row>
    <row r="110" spans="1:66">
      <c r="A110" s="1">
        <v>127</v>
      </c>
      <c r="B110" s="28" t="s">
        <v>426</v>
      </c>
      <c r="C110" s="1" t="s">
        <v>40</v>
      </c>
      <c r="D110" s="2">
        <v>401325063</v>
      </c>
      <c r="E110" s="3" t="s">
        <v>427</v>
      </c>
      <c r="F110" s="1">
        <v>400481214</v>
      </c>
      <c r="G110" s="1" t="s">
        <v>42</v>
      </c>
      <c r="H110" s="1">
        <v>2</v>
      </c>
      <c r="I110" s="1">
        <v>5</v>
      </c>
      <c r="J110" s="1">
        <v>5</v>
      </c>
      <c r="K110" s="1">
        <v>0</v>
      </c>
      <c r="L110" s="1">
        <v>0</v>
      </c>
      <c r="M110" s="1">
        <f t="shared" si="6"/>
        <v>2910</v>
      </c>
      <c r="N110" s="1">
        <f t="shared" si="7"/>
        <v>2910</v>
      </c>
      <c r="O110" s="2" t="s">
        <v>401</v>
      </c>
      <c r="P110" s="1"/>
      <c r="Q110" s="1">
        <v>5.0000000000000001E-3</v>
      </c>
      <c r="R110" s="1" t="s">
        <v>44</v>
      </c>
      <c r="S110" s="30" t="s">
        <v>83</v>
      </c>
      <c r="T110" s="31" t="s">
        <v>402</v>
      </c>
      <c r="U110" s="1"/>
      <c r="V110" s="1">
        <v>10000</v>
      </c>
      <c r="W110" s="1" t="s">
        <v>403</v>
      </c>
      <c r="X110" s="32" t="s">
        <v>404</v>
      </c>
      <c r="Y110" s="1" t="s">
        <v>405</v>
      </c>
      <c r="Z110" s="2" t="s">
        <v>401</v>
      </c>
      <c r="AA110" s="1"/>
      <c r="AB110" s="1"/>
      <c r="AC110" s="1"/>
      <c r="AD110" s="1"/>
      <c r="AE110" s="1"/>
      <c r="AF110" s="1"/>
      <c r="AG110" s="1"/>
      <c r="AH110" s="1"/>
      <c r="AI110" s="1"/>
      <c r="AJ110" s="1"/>
      <c r="AK110" s="1"/>
      <c r="AL110" s="1"/>
      <c r="AM110" s="1"/>
      <c r="AN110" s="1"/>
      <c r="AO110" s="1"/>
      <c r="AP110" s="1"/>
      <c r="AQ110" s="1"/>
      <c r="AR110" s="1"/>
      <c r="AS110" s="1"/>
      <c r="AT110" s="1"/>
      <c r="AU110" s="1"/>
      <c r="AV110" s="1">
        <f>SUM($AT110,Z110:$AA110)-SUM($AV$5:AV$5)*$J110-SUM($AV$6:AV$6)*$K110</f>
        <v>0</v>
      </c>
      <c r="AW110" s="1">
        <f>SUM($AT110,$AA110:AA110)-SUM($AV$5:AW$5)*$J110-SUM($AV$6:AW$6)*$K110</f>
        <v>0</v>
      </c>
      <c r="AX110" s="1">
        <f>SUM($AT110,$AA110:AB110)-SUM($AV$5:AX$5)*$J110-SUM($AV$6:AX$6)*$K110</f>
        <v>0</v>
      </c>
      <c r="AY110" s="1">
        <f>SUM($AT110,$AA110:AC110)-SUM($AV$5:AY$5)*$J110-SUM($AV$6:AY$6)*$K110</f>
        <v>0</v>
      </c>
      <c r="AZ110" s="1">
        <f>SUM($AT110,$AA110:AD110)-SUM($AV$5:AZ$5)*$J110-SUM($AV$6:AZ$6)*$K110</f>
        <v>-200</v>
      </c>
      <c r="BA110" s="1">
        <f>SUM($AT110,$AA110:AE110)-SUM($AV$5:BA$5)*$J110-SUM($AV$6:BA$6)*$K110</f>
        <v>-400</v>
      </c>
      <c r="BB110" s="1">
        <f>SUM($AT110,$AA110:AF110)-SUM($AV$5:BB$5)*$J110-SUM($AV$6:BB$6)*$K110</f>
        <v>-600</v>
      </c>
      <c r="BC110" s="1">
        <f>SUM($AT110,$AA110:AG110)-SUM($AV$5:BC$5)*$J110-SUM($AV$6:BC$6)*$K110</f>
        <v>-800</v>
      </c>
      <c r="BD110" s="1">
        <f>SUM($AT110,$AA110:AH110)-SUM($AV$5:BD$5)*$J110-SUM($AV$6:BD$6)*$K110</f>
        <v>-1000</v>
      </c>
      <c r="BE110" s="1">
        <f>SUM($AT110,$AA110:AI110)-SUM($AV$5:BE$5)*$J110-SUM($AV$6:BE$6)*$K110</f>
        <v>-1200</v>
      </c>
      <c r="BF110" s="1">
        <f>SUM($AT110,$AA110:AJ110)-SUM($AV$5:BF$5)*$J110-SUM($AV$6:BF$6)*$K110</f>
        <v>-1400</v>
      </c>
      <c r="BG110" s="1">
        <f>SUM($AT110,$AA110:AK110)-SUM($AV$5:BG$5)*$J110-SUM($AV$6:BG$6)*$K110</f>
        <v>-1600</v>
      </c>
      <c r="BH110" s="1">
        <f>SUM($AT110,$AA110:AL110)-SUM($AV$5:BH$5)*$J110-SUM($AV$6:BH$6)*$K110</f>
        <v>-1800</v>
      </c>
      <c r="BI110" s="1">
        <f>SUM($AT110,$AA110:AM110)-SUM($AV$5:BI$5)*$J110-SUM($AV$6:BI$6)*$K110</f>
        <v>-2000</v>
      </c>
      <c r="BJ110" s="1">
        <f>SUM($AT110,$AA110:AN110)-SUM($AV$5:BJ$5)*$J110-SUM($AV$6:BJ$6)*$K110</f>
        <v>-2200</v>
      </c>
      <c r="BK110" s="1">
        <f>SUM($AT110,$AA110:AO110)-SUM($AV$5:BK$5)*$J110-SUM($AV$6:BK$6)*$K110</f>
        <v>-2400</v>
      </c>
      <c r="BL110" s="1">
        <f>SUM($AT110,$AA110:AP110)-SUM($AV$5:BL$5)*$J110-SUM($AV$6:BL$6)*$K110</f>
        <v>-2600</v>
      </c>
      <c r="BM110" s="1">
        <f>SUM($AT110,$AA110:AQ110)-SUM($AV$5:BM$5)*$J110-SUM($AV$6:BM$6)*$K110</f>
        <v>-2800</v>
      </c>
      <c r="BN110" s="1">
        <f>SUM($AT110,$AA110:AR110)-SUM($AV$5:BN$5)*$J110-SUM($AV$6:BN$6)*$K110</f>
        <v>-2910</v>
      </c>
    </row>
    <row r="111" spans="1:66">
      <c r="A111" s="1">
        <v>129</v>
      </c>
      <c r="B111" s="28" t="s">
        <v>428</v>
      </c>
      <c r="C111" s="1" t="s">
        <v>40</v>
      </c>
      <c r="D111" s="2">
        <v>400713753</v>
      </c>
      <c r="E111" s="3" t="s">
        <v>429</v>
      </c>
      <c r="F111" s="1" t="s">
        <v>430</v>
      </c>
      <c r="G111" s="1" t="s">
        <v>42</v>
      </c>
      <c r="H111" s="1">
        <v>2</v>
      </c>
      <c r="I111" s="1">
        <v>5</v>
      </c>
      <c r="J111" s="1">
        <v>5</v>
      </c>
      <c r="K111" s="1">
        <v>0</v>
      </c>
      <c r="L111" s="1">
        <v>0</v>
      </c>
      <c r="M111" s="1">
        <f t="shared" si="6"/>
        <v>2910</v>
      </c>
      <c r="N111" s="1">
        <f t="shared" si="7"/>
        <v>2910</v>
      </c>
      <c r="O111" s="2" t="s">
        <v>401</v>
      </c>
      <c r="P111" s="1"/>
      <c r="Q111" s="1">
        <v>8.0000000000000002E-3</v>
      </c>
      <c r="R111" s="1" t="s">
        <v>44</v>
      </c>
      <c r="S111" s="30" t="s">
        <v>62</v>
      </c>
      <c r="T111" s="31" t="s">
        <v>402</v>
      </c>
      <c r="U111" s="1"/>
      <c r="V111" s="1">
        <v>4000</v>
      </c>
      <c r="W111" s="1" t="s">
        <v>403</v>
      </c>
      <c r="X111" s="32" t="s">
        <v>404</v>
      </c>
      <c r="Y111" s="1" t="s">
        <v>405</v>
      </c>
      <c r="Z111" s="2" t="s">
        <v>401</v>
      </c>
      <c r="AA111" s="1"/>
      <c r="AB111" s="1"/>
      <c r="AC111" s="1"/>
      <c r="AD111" s="1"/>
      <c r="AE111" s="1"/>
      <c r="AF111" s="1"/>
      <c r="AG111" s="1"/>
      <c r="AH111" s="1"/>
      <c r="AI111" s="1"/>
      <c r="AJ111" s="1"/>
      <c r="AK111" s="1"/>
      <c r="AL111" s="1"/>
      <c r="AM111" s="1"/>
      <c r="AN111" s="1"/>
      <c r="AO111" s="1"/>
      <c r="AP111" s="1"/>
      <c r="AQ111" s="1"/>
      <c r="AR111" s="1"/>
      <c r="AS111" s="1"/>
      <c r="AT111" s="1"/>
      <c r="AU111" s="1"/>
      <c r="AV111" s="1">
        <f>SUM($AT111,Z111:$AA111)-SUM($AV$5:AV$5)*$J111-SUM($AV$6:AV$6)*$K111</f>
        <v>0</v>
      </c>
      <c r="AW111" s="1">
        <f>SUM($AT111,$AA111:AA111)-SUM($AV$5:AW$5)*$J111-SUM($AV$6:AW$6)*$K111</f>
        <v>0</v>
      </c>
      <c r="AX111" s="1">
        <f>SUM($AT111,$AA111:AB111)-SUM($AV$5:AX$5)*$J111-SUM($AV$6:AX$6)*$K111</f>
        <v>0</v>
      </c>
      <c r="AY111" s="1">
        <f>SUM($AT111,$AA111:AC111)-SUM($AV$5:AY$5)*$J111-SUM($AV$6:AY$6)*$K111</f>
        <v>0</v>
      </c>
      <c r="AZ111" s="1">
        <f>SUM($AT111,$AA111:AD111)-SUM($AV$5:AZ$5)*$J111-SUM($AV$6:AZ$6)*$K111</f>
        <v>-200</v>
      </c>
      <c r="BA111" s="1">
        <f>SUM($AT111,$AA111:AE111)-SUM($AV$5:BA$5)*$J111-SUM($AV$6:BA$6)*$K111</f>
        <v>-400</v>
      </c>
      <c r="BB111" s="1">
        <f>SUM($AT111,$AA111:AF111)-SUM($AV$5:BB$5)*$J111-SUM($AV$6:BB$6)*$K111</f>
        <v>-600</v>
      </c>
      <c r="BC111" s="1">
        <f>SUM($AT111,$AA111:AG111)-SUM($AV$5:BC$5)*$J111-SUM($AV$6:BC$6)*$K111</f>
        <v>-800</v>
      </c>
      <c r="BD111" s="1">
        <f>SUM($AT111,$AA111:AH111)-SUM($AV$5:BD$5)*$J111-SUM($AV$6:BD$6)*$K111</f>
        <v>-1000</v>
      </c>
      <c r="BE111" s="1">
        <f>SUM($AT111,$AA111:AI111)-SUM($AV$5:BE$5)*$J111-SUM($AV$6:BE$6)*$K111</f>
        <v>-1200</v>
      </c>
      <c r="BF111" s="1">
        <f>SUM($AT111,$AA111:AJ111)-SUM($AV$5:BF$5)*$J111-SUM($AV$6:BF$6)*$K111</f>
        <v>-1400</v>
      </c>
      <c r="BG111" s="1">
        <f>SUM($AT111,$AA111:AK111)-SUM($AV$5:BG$5)*$J111-SUM($AV$6:BG$6)*$K111</f>
        <v>-1600</v>
      </c>
      <c r="BH111" s="1">
        <f>SUM($AT111,$AA111:AL111)-SUM($AV$5:BH$5)*$J111-SUM($AV$6:BH$6)*$K111</f>
        <v>-1800</v>
      </c>
      <c r="BI111" s="1">
        <f>SUM($AT111,$AA111:AM111)-SUM($AV$5:BI$5)*$J111-SUM($AV$6:BI$6)*$K111</f>
        <v>-2000</v>
      </c>
      <c r="BJ111" s="1">
        <f>SUM($AT111,$AA111:AN111)-SUM($AV$5:BJ$5)*$J111-SUM($AV$6:BJ$6)*$K111</f>
        <v>-2200</v>
      </c>
      <c r="BK111" s="1">
        <f>SUM($AT111,$AA111:AO111)-SUM($AV$5:BK$5)*$J111-SUM($AV$6:BK$6)*$K111</f>
        <v>-2400</v>
      </c>
      <c r="BL111" s="1">
        <f>SUM($AT111,$AA111:AP111)-SUM($AV$5:BL$5)*$J111-SUM($AV$6:BL$6)*$K111</f>
        <v>-2600</v>
      </c>
      <c r="BM111" s="1">
        <f>SUM($AT111,$AA111:AQ111)-SUM($AV$5:BM$5)*$J111-SUM($AV$6:BM$6)*$K111</f>
        <v>-2800</v>
      </c>
      <c r="BN111" s="1">
        <f>SUM($AT111,$AA111:AR111)-SUM($AV$5:BN$5)*$J111-SUM($AV$6:BN$6)*$K111</f>
        <v>-2910</v>
      </c>
    </row>
    <row r="112" spans="1:66">
      <c r="A112" s="1">
        <v>130</v>
      </c>
      <c r="B112" s="28" t="s">
        <v>431</v>
      </c>
      <c r="C112" s="1" t="s">
        <v>40</v>
      </c>
      <c r="D112" s="2">
        <v>400713754</v>
      </c>
      <c r="E112" s="3" t="s">
        <v>432</v>
      </c>
      <c r="F112" s="1">
        <v>400481229</v>
      </c>
      <c r="G112" s="1" t="s">
        <v>42</v>
      </c>
      <c r="H112" s="1">
        <v>2</v>
      </c>
      <c r="I112" s="1">
        <v>51</v>
      </c>
      <c r="J112" s="1">
        <v>51</v>
      </c>
      <c r="K112" s="1">
        <v>0</v>
      </c>
      <c r="L112" s="1">
        <v>0</v>
      </c>
      <c r="M112" s="1">
        <f t="shared" si="6"/>
        <v>29682</v>
      </c>
      <c r="N112" s="1">
        <f t="shared" si="7"/>
        <v>29682</v>
      </c>
      <c r="O112" s="2" t="s">
        <v>401</v>
      </c>
      <c r="P112" s="1"/>
      <c r="Q112" s="1">
        <v>0.01</v>
      </c>
      <c r="R112" s="1" t="s">
        <v>44</v>
      </c>
      <c r="S112" s="30" t="s">
        <v>303</v>
      </c>
      <c r="T112" s="31" t="s">
        <v>402</v>
      </c>
      <c r="U112" s="1"/>
      <c r="V112" s="1">
        <v>4000</v>
      </c>
      <c r="W112" s="1" t="s">
        <v>403</v>
      </c>
      <c r="X112" s="32" t="s">
        <v>404</v>
      </c>
      <c r="Y112" s="1" t="s">
        <v>405</v>
      </c>
      <c r="Z112" s="2" t="s">
        <v>401</v>
      </c>
      <c r="AA112" s="1"/>
      <c r="AB112" s="1"/>
      <c r="AC112" s="1"/>
      <c r="AD112" s="1"/>
      <c r="AE112" s="1"/>
      <c r="AF112" s="1"/>
      <c r="AG112" s="1"/>
      <c r="AH112" s="1"/>
      <c r="AI112" s="1"/>
      <c r="AJ112" s="1"/>
      <c r="AK112" s="1"/>
      <c r="AL112" s="1"/>
      <c r="AM112" s="1"/>
      <c r="AN112" s="1"/>
      <c r="AO112" s="1"/>
      <c r="AP112" s="1"/>
      <c r="AQ112" s="1"/>
      <c r="AR112" s="1"/>
      <c r="AS112" s="1"/>
      <c r="AT112" s="1"/>
      <c r="AU112" s="1"/>
      <c r="AV112" s="1">
        <f>SUM($AT112,Z112:$AA112)-SUM($AV$5:AV$5)*$J112-SUM($AV$6:AV$6)*$K112</f>
        <v>0</v>
      </c>
      <c r="AW112" s="1">
        <f>SUM($AT112,$AA112:AA112)-SUM($AV$5:AW$5)*$J112-SUM($AV$6:AW$6)*$K112</f>
        <v>0</v>
      </c>
      <c r="AX112" s="1">
        <f>SUM($AT112,$AA112:AB112)-SUM($AV$5:AX$5)*$J112-SUM($AV$6:AX$6)*$K112</f>
        <v>0</v>
      </c>
      <c r="AY112" s="1">
        <f>SUM($AT112,$AA112:AC112)-SUM($AV$5:AY$5)*$J112-SUM($AV$6:AY$6)*$K112</f>
        <v>0</v>
      </c>
      <c r="AZ112" s="1">
        <f>SUM($AT112,$AA112:AD112)-SUM($AV$5:AZ$5)*$J112-SUM($AV$6:AZ$6)*$K112</f>
        <v>-2040</v>
      </c>
      <c r="BA112" s="1">
        <f>SUM($AT112,$AA112:AE112)-SUM($AV$5:BA$5)*$J112-SUM($AV$6:BA$6)*$K112</f>
        <v>-4080</v>
      </c>
      <c r="BB112" s="1">
        <f>SUM($AT112,$AA112:AF112)-SUM($AV$5:BB$5)*$J112-SUM($AV$6:BB$6)*$K112</f>
        <v>-6120</v>
      </c>
      <c r="BC112" s="1">
        <f>SUM($AT112,$AA112:AG112)-SUM($AV$5:BC$5)*$J112-SUM($AV$6:BC$6)*$K112</f>
        <v>-8160</v>
      </c>
      <c r="BD112" s="1">
        <f>SUM($AT112,$AA112:AH112)-SUM($AV$5:BD$5)*$J112-SUM($AV$6:BD$6)*$K112</f>
        <v>-10200</v>
      </c>
      <c r="BE112" s="1">
        <f>SUM($AT112,$AA112:AI112)-SUM($AV$5:BE$5)*$J112-SUM($AV$6:BE$6)*$K112</f>
        <v>-12240</v>
      </c>
      <c r="BF112" s="1">
        <f>SUM($AT112,$AA112:AJ112)-SUM($AV$5:BF$5)*$J112-SUM($AV$6:BF$6)*$K112</f>
        <v>-14280</v>
      </c>
      <c r="BG112" s="1">
        <f>SUM($AT112,$AA112:AK112)-SUM($AV$5:BG$5)*$J112-SUM($AV$6:BG$6)*$K112</f>
        <v>-16320</v>
      </c>
      <c r="BH112" s="1">
        <f>SUM($AT112,$AA112:AL112)-SUM($AV$5:BH$5)*$J112-SUM($AV$6:BH$6)*$K112</f>
        <v>-18360</v>
      </c>
      <c r="BI112" s="1">
        <f>SUM($AT112,$AA112:AM112)-SUM($AV$5:BI$5)*$J112-SUM($AV$6:BI$6)*$K112</f>
        <v>-20400</v>
      </c>
      <c r="BJ112" s="1">
        <f>SUM($AT112,$AA112:AN112)-SUM($AV$5:BJ$5)*$J112-SUM($AV$6:BJ$6)*$K112</f>
        <v>-22440</v>
      </c>
      <c r="BK112" s="1">
        <f>SUM($AT112,$AA112:AO112)-SUM($AV$5:BK$5)*$J112-SUM($AV$6:BK$6)*$K112</f>
        <v>-24480</v>
      </c>
      <c r="BL112" s="1">
        <f>SUM($AT112,$AA112:AP112)-SUM($AV$5:BL$5)*$J112-SUM($AV$6:BL$6)*$K112</f>
        <v>-26520</v>
      </c>
      <c r="BM112" s="1">
        <f>SUM($AT112,$AA112:AQ112)-SUM($AV$5:BM$5)*$J112-SUM($AV$6:BM$6)*$K112</f>
        <v>-28560</v>
      </c>
      <c r="BN112" s="1">
        <f>SUM($AT112,$AA112:AR112)-SUM($AV$5:BN$5)*$J112-SUM($AV$6:BN$6)*$K112</f>
        <v>-29682</v>
      </c>
    </row>
    <row r="113" spans="1:66">
      <c r="A113" s="1">
        <v>132</v>
      </c>
      <c r="B113" s="28" t="s">
        <v>433</v>
      </c>
      <c r="C113" s="1" t="s">
        <v>40</v>
      </c>
      <c r="D113" s="2">
        <v>400539544</v>
      </c>
      <c r="E113" s="3" t="s">
        <v>434</v>
      </c>
      <c r="F113" s="1">
        <v>400011241</v>
      </c>
      <c r="G113" s="1" t="s">
        <v>42</v>
      </c>
      <c r="H113" s="1">
        <v>2</v>
      </c>
      <c r="I113" s="1">
        <v>2</v>
      </c>
      <c r="J113" s="1">
        <v>2</v>
      </c>
      <c r="K113" s="1">
        <v>0</v>
      </c>
      <c r="L113" s="1">
        <v>0</v>
      </c>
      <c r="M113" s="1">
        <f t="shared" si="6"/>
        <v>1164</v>
      </c>
      <c r="N113" s="1">
        <f t="shared" si="7"/>
        <v>1164</v>
      </c>
      <c r="O113" s="2" t="s">
        <v>401</v>
      </c>
      <c r="P113" s="1"/>
      <c r="Q113" s="1">
        <v>8.0000000000000002E-3</v>
      </c>
      <c r="R113" s="1" t="s">
        <v>44</v>
      </c>
      <c r="S113" s="30" t="s">
        <v>62</v>
      </c>
      <c r="T113" s="31" t="s">
        <v>402</v>
      </c>
      <c r="U113" s="1"/>
      <c r="V113" s="1">
        <v>4000</v>
      </c>
      <c r="W113" s="1" t="s">
        <v>403</v>
      </c>
      <c r="X113" s="32" t="s">
        <v>404</v>
      </c>
      <c r="Y113" s="1" t="s">
        <v>405</v>
      </c>
      <c r="Z113" s="2" t="s">
        <v>401</v>
      </c>
      <c r="AA113" s="1"/>
      <c r="AB113" s="1"/>
      <c r="AC113" s="1"/>
      <c r="AD113" s="1"/>
      <c r="AE113" s="1"/>
      <c r="AF113" s="1"/>
      <c r="AG113" s="1"/>
      <c r="AH113" s="1"/>
      <c r="AI113" s="1"/>
      <c r="AJ113" s="1"/>
      <c r="AK113" s="1"/>
      <c r="AL113" s="1"/>
      <c r="AM113" s="1"/>
      <c r="AN113" s="1"/>
      <c r="AO113" s="1"/>
      <c r="AP113" s="1"/>
      <c r="AQ113" s="1"/>
      <c r="AR113" s="1"/>
      <c r="AS113" s="1"/>
      <c r="AT113" s="1"/>
      <c r="AU113" s="1"/>
      <c r="AV113" s="1">
        <f>SUM($AT113,Z113:$AA113)-SUM($AV$5:AV$5)*$J113-SUM($AV$6:AV$6)*$K113</f>
        <v>0</v>
      </c>
      <c r="AW113" s="1">
        <f>SUM($AT113,$AA113:AA113)-SUM($AV$5:AW$5)*$J113-SUM($AV$6:AW$6)*$K113</f>
        <v>0</v>
      </c>
      <c r="AX113" s="1">
        <f>SUM($AT113,$AA113:AB113)-SUM($AV$5:AX$5)*$J113-SUM($AV$6:AX$6)*$K113</f>
        <v>0</v>
      </c>
      <c r="AY113" s="1">
        <f>SUM($AT113,$AA113:AC113)-SUM($AV$5:AY$5)*$J113-SUM($AV$6:AY$6)*$K113</f>
        <v>0</v>
      </c>
      <c r="AZ113" s="1">
        <f>SUM($AT113,$AA113:AD113)-SUM($AV$5:AZ$5)*$J113-SUM($AV$6:AZ$6)*$K113</f>
        <v>-80</v>
      </c>
      <c r="BA113" s="1">
        <f>SUM($AT113,$AA113:AE113)-SUM($AV$5:BA$5)*$J113-SUM($AV$6:BA$6)*$K113</f>
        <v>-160</v>
      </c>
      <c r="BB113" s="1">
        <f>SUM($AT113,$AA113:AF113)-SUM($AV$5:BB$5)*$J113-SUM($AV$6:BB$6)*$K113</f>
        <v>-240</v>
      </c>
      <c r="BC113" s="1">
        <f>SUM($AT113,$AA113:AG113)-SUM($AV$5:BC$5)*$J113-SUM($AV$6:BC$6)*$K113</f>
        <v>-320</v>
      </c>
      <c r="BD113" s="1">
        <f>SUM($AT113,$AA113:AH113)-SUM($AV$5:BD$5)*$J113-SUM($AV$6:BD$6)*$K113</f>
        <v>-400</v>
      </c>
      <c r="BE113" s="1">
        <f>SUM($AT113,$AA113:AI113)-SUM($AV$5:BE$5)*$J113-SUM($AV$6:BE$6)*$K113</f>
        <v>-480</v>
      </c>
      <c r="BF113" s="1">
        <f>SUM($AT113,$AA113:AJ113)-SUM($AV$5:BF$5)*$J113-SUM($AV$6:BF$6)*$K113</f>
        <v>-560</v>
      </c>
      <c r="BG113" s="1">
        <f>SUM($AT113,$AA113:AK113)-SUM($AV$5:BG$5)*$J113-SUM($AV$6:BG$6)*$K113</f>
        <v>-640</v>
      </c>
      <c r="BH113" s="1">
        <f>SUM($AT113,$AA113:AL113)-SUM($AV$5:BH$5)*$J113-SUM($AV$6:BH$6)*$K113</f>
        <v>-720</v>
      </c>
      <c r="BI113" s="1">
        <f>SUM($AT113,$AA113:AM113)-SUM($AV$5:BI$5)*$J113-SUM($AV$6:BI$6)*$K113</f>
        <v>-800</v>
      </c>
      <c r="BJ113" s="1">
        <f>SUM($AT113,$AA113:AN113)-SUM($AV$5:BJ$5)*$J113-SUM($AV$6:BJ$6)*$K113</f>
        <v>-880</v>
      </c>
      <c r="BK113" s="1">
        <f>SUM($AT113,$AA113:AO113)-SUM($AV$5:BK$5)*$J113-SUM($AV$6:BK$6)*$K113</f>
        <v>-960</v>
      </c>
      <c r="BL113" s="1">
        <f>SUM($AT113,$AA113:AP113)-SUM($AV$5:BL$5)*$J113-SUM($AV$6:BL$6)*$K113</f>
        <v>-1040</v>
      </c>
      <c r="BM113" s="1">
        <f>SUM($AT113,$AA113:AQ113)-SUM($AV$5:BM$5)*$J113-SUM($AV$6:BM$6)*$K113</f>
        <v>-1120</v>
      </c>
      <c r="BN113" s="1">
        <f>SUM($AT113,$AA113:AR113)-SUM($AV$5:BN$5)*$J113-SUM($AV$6:BN$6)*$K113</f>
        <v>-1164</v>
      </c>
    </row>
    <row r="114" spans="1:66">
      <c r="A114" s="1">
        <v>133</v>
      </c>
      <c r="B114" s="28" t="s">
        <v>435</v>
      </c>
      <c r="C114" s="1" t="s">
        <v>40</v>
      </c>
      <c r="D114" s="2">
        <v>400538384</v>
      </c>
      <c r="E114" s="3" t="s">
        <v>436</v>
      </c>
      <c r="F114" s="1">
        <v>400326607</v>
      </c>
      <c r="G114" s="1" t="s">
        <v>42</v>
      </c>
      <c r="H114" s="1">
        <v>2</v>
      </c>
      <c r="I114" s="1">
        <v>1</v>
      </c>
      <c r="J114" s="1">
        <v>1</v>
      </c>
      <c r="K114" s="1">
        <v>0</v>
      </c>
      <c r="L114" s="1">
        <v>0</v>
      </c>
      <c r="M114" s="1">
        <f t="shared" si="6"/>
        <v>582</v>
      </c>
      <c r="N114" s="1">
        <f t="shared" si="7"/>
        <v>582</v>
      </c>
      <c r="O114" s="2" t="s">
        <v>401</v>
      </c>
      <c r="P114" s="1"/>
      <c r="Q114" s="1">
        <v>8.0000000000000002E-3</v>
      </c>
      <c r="R114" s="1" t="s">
        <v>44</v>
      </c>
      <c r="S114" s="30" t="s">
        <v>62</v>
      </c>
      <c r="T114" s="31" t="s">
        <v>402</v>
      </c>
      <c r="U114" s="1"/>
      <c r="V114" s="1">
        <v>4000</v>
      </c>
      <c r="W114" s="1" t="s">
        <v>403</v>
      </c>
      <c r="X114" s="32" t="s">
        <v>404</v>
      </c>
      <c r="Y114" s="1" t="s">
        <v>405</v>
      </c>
      <c r="Z114" s="2" t="s">
        <v>401</v>
      </c>
      <c r="AA114" s="1"/>
      <c r="AB114" s="1"/>
      <c r="AC114" s="1"/>
      <c r="AD114" s="1"/>
      <c r="AE114" s="1"/>
      <c r="AF114" s="1"/>
      <c r="AG114" s="1"/>
      <c r="AH114" s="1"/>
      <c r="AI114" s="1"/>
      <c r="AJ114" s="1"/>
      <c r="AK114" s="1"/>
      <c r="AL114" s="1"/>
      <c r="AM114" s="1"/>
      <c r="AN114" s="1"/>
      <c r="AO114" s="1"/>
      <c r="AP114" s="1"/>
      <c r="AQ114" s="1"/>
      <c r="AR114" s="1"/>
      <c r="AS114" s="1"/>
      <c r="AT114" s="1"/>
      <c r="AU114" s="1"/>
      <c r="AV114" s="1">
        <f>SUM($AT114,Z114:$AA114)-SUM($AV$5:AV$5)*$J114-SUM($AV$6:AV$6)*$K114</f>
        <v>0</v>
      </c>
      <c r="AW114" s="1">
        <f>SUM($AT114,$AA114:AA114)-SUM($AV$5:AW$5)*$J114-SUM($AV$6:AW$6)*$K114</f>
        <v>0</v>
      </c>
      <c r="AX114" s="1">
        <f>SUM($AT114,$AA114:AB114)-SUM($AV$5:AX$5)*$J114-SUM($AV$6:AX$6)*$K114</f>
        <v>0</v>
      </c>
      <c r="AY114" s="1">
        <f>SUM($AT114,$AA114:AC114)-SUM($AV$5:AY$5)*$J114-SUM($AV$6:AY$6)*$K114</f>
        <v>0</v>
      </c>
      <c r="AZ114" s="1">
        <f>SUM($AT114,$AA114:AD114)-SUM($AV$5:AZ$5)*$J114-SUM($AV$6:AZ$6)*$K114</f>
        <v>-40</v>
      </c>
      <c r="BA114" s="1">
        <f>SUM($AT114,$AA114:AE114)-SUM($AV$5:BA$5)*$J114-SUM($AV$6:BA$6)*$K114</f>
        <v>-80</v>
      </c>
      <c r="BB114" s="1">
        <f>SUM($AT114,$AA114:AF114)-SUM($AV$5:BB$5)*$J114-SUM($AV$6:BB$6)*$K114</f>
        <v>-120</v>
      </c>
      <c r="BC114" s="1">
        <f>SUM($AT114,$AA114:AG114)-SUM($AV$5:BC$5)*$J114-SUM($AV$6:BC$6)*$K114</f>
        <v>-160</v>
      </c>
      <c r="BD114" s="1">
        <f>SUM($AT114,$AA114:AH114)-SUM($AV$5:BD$5)*$J114-SUM($AV$6:BD$6)*$K114</f>
        <v>-200</v>
      </c>
      <c r="BE114" s="1">
        <f>SUM($AT114,$AA114:AI114)-SUM($AV$5:BE$5)*$J114-SUM($AV$6:BE$6)*$K114</f>
        <v>-240</v>
      </c>
      <c r="BF114" s="1">
        <f>SUM($AT114,$AA114:AJ114)-SUM($AV$5:BF$5)*$J114-SUM($AV$6:BF$6)*$K114</f>
        <v>-280</v>
      </c>
      <c r="BG114" s="1">
        <f>SUM($AT114,$AA114:AK114)-SUM($AV$5:BG$5)*$J114-SUM($AV$6:BG$6)*$K114</f>
        <v>-320</v>
      </c>
      <c r="BH114" s="1">
        <f>SUM($AT114,$AA114:AL114)-SUM($AV$5:BH$5)*$J114-SUM($AV$6:BH$6)*$K114</f>
        <v>-360</v>
      </c>
      <c r="BI114" s="1">
        <f>SUM($AT114,$AA114:AM114)-SUM($AV$5:BI$5)*$J114-SUM($AV$6:BI$6)*$K114</f>
        <v>-400</v>
      </c>
      <c r="BJ114" s="1">
        <f>SUM($AT114,$AA114:AN114)-SUM($AV$5:BJ$5)*$J114-SUM($AV$6:BJ$6)*$K114</f>
        <v>-440</v>
      </c>
      <c r="BK114" s="1">
        <f>SUM($AT114,$AA114:AO114)-SUM($AV$5:BK$5)*$J114-SUM($AV$6:BK$6)*$K114</f>
        <v>-480</v>
      </c>
      <c r="BL114" s="1">
        <f>SUM($AT114,$AA114:AP114)-SUM($AV$5:BL$5)*$J114-SUM($AV$6:BL$6)*$K114</f>
        <v>-520</v>
      </c>
      <c r="BM114" s="1">
        <f>SUM($AT114,$AA114:AQ114)-SUM($AV$5:BM$5)*$J114-SUM($AV$6:BM$6)*$K114</f>
        <v>-560</v>
      </c>
      <c r="BN114" s="1">
        <f>SUM($AT114,$AA114:AR114)-SUM($AV$5:BN$5)*$J114-SUM($AV$6:BN$6)*$K114</f>
        <v>-582</v>
      </c>
    </row>
    <row r="115" spans="1:66">
      <c r="A115" s="1">
        <v>134</v>
      </c>
      <c r="B115" s="28" t="s">
        <v>437</v>
      </c>
      <c r="C115" s="1" t="s">
        <v>40</v>
      </c>
      <c r="D115" s="2">
        <v>400326307</v>
      </c>
      <c r="E115" s="3" t="s">
        <v>438</v>
      </c>
      <c r="F115" s="1">
        <v>400326588</v>
      </c>
      <c r="G115" s="1" t="s">
        <v>42</v>
      </c>
      <c r="H115" s="1">
        <v>2</v>
      </c>
      <c r="I115" s="1">
        <v>33</v>
      </c>
      <c r="J115" s="1">
        <v>33</v>
      </c>
      <c r="K115" s="1">
        <v>0</v>
      </c>
      <c r="L115" s="1">
        <v>0</v>
      </c>
      <c r="M115" s="1">
        <f t="shared" si="6"/>
        <v>19206</v>
      </c>
      <c r="N115" s="1">
        <f t="shared" si="7"/>
        <v>19206</v>
      </c>
      <c r="O115" s="2" t="s">
        <v>401</v>
      </c>
      <c r="P115" s="1"/>
      <c r="Q115" s="1">
        <v>0.19500000000000001</v>
      </c>
      <c r="R115" s="1" t="s">
        <v>44</v>
      </c>
      <c r="S115" s="30" t="s">
        <v>62</v>
      </c>
      <c r="T115" s="31" t="s">
        <v>402</v>
      </c>
      <c r="U115" s="1">
        <v>4000</v>
      </c>
      <c r="V115" s="1">
        <v>4000</v>
      </c>
      <c r="W115" s="1" t="s">
        <v>403</v>
      </c>
      <c r="X115" s="32" t="s">
        <v>404</v>
      </c>
      <c r="Y115" s="1" t="s">
        <v>405</v>
      </c>
      <c r="Z115" s="2" t="s">
        <v>401</v>
      </c>
      <c r="AA115" s="1"/>
      <c r="AB115" s="1"/>
      <c r="AC115" s="1"/>
      <c r="AD115" s="1"/>
      <c r="AE115" s="1"/>
      <c r="AF115" s="1"/>
      <c r="AG115" s="1"/>
      <c r="AH115" s="1"/>
      <c r="AI115" s="1"/>
      <c r="AJ115" s="1"/>
      <c r="AK115" s="1"/>
      <c r="AL115" s="1"/>
      <c r="AM115" s="1"/>
      <c r="AN115" s="1"/>
      <c r="AO115" s="1"/>
      <c r="AP115" s="1"/>
      <c r="AQ115" s="1"/>
      <c r="AR115" s="1"/>
      <c r="AS115" s="1"/>
      <c r="AT115" s="1"/>
      <c r="AU115" s="1"/>
      <c r="AV115" s="1">
        <f>SUM($AT115,Z115:$AA115)-SUM($AV$5:AV$5)*$J115-SUM($AV$6:AV$6)*$K115</f>
        <v>0</v>
      </c>
      <c r="AW115" s="1">
        <f>SUM($AT115,$AA115:AA115)-SUM($AV$5:AW$5)*$J115-SUM($AV$6:AW$6)*$K115</f>
        <v>0</v>
      </c>
      <c r="AX115" s="1">
        <f>SUM($AT115,$AA115:AB115)-SUM($AV$5:AX$5)*$J115-SUM($AV$6:AX$6)*$K115</f>
        <v>0</v>
      </c>
      <c r="AY115" s="1">
        <f>SUM($AT115,$AA115:AC115)-SUM($AV$5:AY$5)*$J115-SUM($AV$6:AY$6)*$K115</f>
        <v>0</v>
      </c>
      <c r="AZ115" s="1">
        <f>SUM($AT115,$AA115:AD115)-SUM($AV$5:AZ$5)*$J115-SUM($AV$6:AZ$6)*$K115</f>
        <v>-1320</v>
      </c>
      <c r="BA115" s="1">
        <f>SUM($AT115,$AA115:AE115)-SUM($AV$5:BA$5)*$J115-SUM($AV$6:BA$6)*$K115</f>
        <v>-2640</v>
      </c>
      <c r="BB115" s="1">
        <f>SUM($AT115,$AA115:AF115)-SUM($AV$5:BB$5)*$J115-SUM($AV$6:BB$6)*$K115</f>
        <v>-3960</v>
      </c>
      <c r="BC115" s="1">
        <f>SUM($AT115,$AA115:AG115)-SUM($AV$5:BC$5)*$J115-SUM($AV$6:BC$6)*$K115</f>
        <v>-5280</v>
      </c>
      <c r="BD115" s="1">
        <f>SUM($AT115,$AA115:AH115)-SUM($AV$5:BD$5)*$J115-SUM($AV$6:BD$6)*$K115</f>
        <v>-6600</v>
      </c>
      <c r="BE115" s="1">
        <f>SUM($AT115,$AA115:AI115)-SUM($AV$5:BE$5)*$J115-SUM($AV$6:BE$6)*$K115</f>
        <v>-7920</v>
      </c>
      <c r="BF115" s="1">
        <f>SUM($AT115,$AA115:AJ115)-SUM($AV$5:BF$5)*$J115-SUM($AV$6:BF$6)*$K115</f>
        <v>-9240</v>
      </c>
      <c r="BG115" s="1">
        <f>SUM($AT115,$AA115:AK115)-SUM($AV$5:BG$5)*$J115-SUM($AV$6:BG$6)*$K115</f>
        <v>-10560</v>
      </c>
      <c r="BH115" s="1">
        <f>SUM($AT115,$AA115:AL115)-SUM($AV$5:BH$5)*$J115-SUM($AV$6:BH$6)*$K115</f>
        <v>-11880</v>
      </c>
      <c r="BI115" s="1">
        <f>SUM($AT115,$AA115:AM115)-SUM($AV$5:BI$5)*$J115-SUM($AV$6:BI$6)*$K115</f>
        <v>-13200</v>
      </c>
      <c r="BJ115" s="1">
        <f>SUM($AT115,$AA115:AN115)-SUM($AV$5:BJ$5)*$J115-SUM($AV$6:BJ$6)*$K115</f>
        <v>-14520</v>
      </c>
      <c r="BK115" s="1">
        <f>SUM($AT115,$AA115:AO115)-SUM($AV$5:BK$5)*$J115-SUM($AV$6:BK$6)*$K115</f>
        <v>-15840</v>
      </c>
      <c r="BL115" s="1">
        <f>SUM($AT115,$AA115:AP115)-SUM($AV$5:BL$5)*$J115-SUM($AV$6:BL$6)*$K115</f>
        <v>-17160</v>
      </c>
      <c r="BM115" s="1">
        <f>SUM($AT115,$AA115:AQ115)-SUM($AV$5:BM$5)*$J115-SUM($AV$6:BM$6)*$K115</f>
        <v>-18480</v>
      </c>
      <c r="BN115" s="1">
        <f>SUM($AT115,$AA115:AR115)-SUM($AV$5:BN$5)*$J115-SUM($AV$6:BN$6)*$K115</f>
        <v>-19206</v>
      </c>
    </row>
    <row r="116" spans="1:66">
      <c r="A116" s="1">
        <v>135</v>
      </c>
      <c r="B116" s="28" t="s">
        <v>439</v>
      </c>
      <c r="C116" s="1" t="s">
        <v>40</v>
      </c>
      <c r="D116" s="2">
        <v>400737813</v>
      </c>
      <c r="E116" s="3" t="s">
        <v>440</v>
      </c>
      <c r="F116" s="1">
        <v>400326608</v>
      </c>
      <c r="G116" s="1" t="s">
        <v>42</v>
      </c>
      <c r="H116" s="1">
        <v>2</v>
      </c>
      <c r="I116" s="1">
        <v>2</v>
      </c>
      <c r="J116" s="1">
        <v>2</v>
      </c>
      <c r="K116" s="1">
        <v>0</v>
      </c>
      <c r="L116" s="1">
        <v>0</v>
      </c>
      <c r="M116" s="1">
        <f t="shared" si="6"/>
        <v>1164</v>
      </c>
      <c r="N116" s="1">
        <f t="shared" si="7"/>
        <v>1164</v>
      </c>
      <c r="O116" s="2" t="s">
        <v>401</v>
      </c>
      <c r="P116" s="1"/>
      <c r="Q116" s="1">
        <v>7.0000000000000001E-3</v>
      </c>
      <c r="R116" s="1" t="s">
        <v>44</v>
      </c>
      <c r="S116" s="30" t="s">
        <v>83</v>
      </c>
      <c r="T116" s="31" t="s">
        <v>402</v>
      </c>
      <c r="U116" s="1"/>
      <c r="V116" s="1">
        <v>4000</v>
      </c>
      <c r="W116" s="1" t="s">
        <v>403</v>
      </c>
      <c r="X116" s="32" t="s">
        <v>404</v>
      </c>
      <c r="Y116" s="1" t="s">
        <v>405</v>
      </c>
      <c r="Z116" s="2" t="s">
        <v>401</v>
      </c>
      <c r="AA116" s="1"/>
      <c r="AB116" s="1"/>
      <c r="AC116" s="1"/>
      <c r="AD116" s="1"/>
      <c r="AE116" s="1"/>
      <c r="AF116" s="1"/>
      <c r="AG116" s="1"/>
      <c r="AH116" s="1"/>
      <c r="AI116" s="1"/>
      <c r="AJ116" s="1"/>
      <c r="AK116" s="1"/>
      <c r="AL116" s="1"/>
      <c r="AM116" s="1"/>
      <c r="AN116" s="1"/>
      <c r="AO116" s="1"/>
      <c r="AP116" s="1"/>
      <c r="AQ116" s="1"/>
      <c r="AR116" s="1"/>
      <c r="AS116" s="1"/>
      <c r="AT116" s="1"/>
      <c r="AU116" s="1"/>
      <c r="AV116" s="1">
        <f>SUM($AT116,Z116:$AA116)-SUM($AV$5:AV$5)*$J116-SUM($AV$6:AV$6)*$K116</f>
        <v>0</v>
      </c>
      <c r="AW116" s="1">
        <f>SUM($AT116,$AA116:AA116)-SUM($AV$5:AW$5)*$J116-SUM($AV$6:AW$6)*$K116</f>
        <v>0</v>
      </c>
      <c r="AX116" s="1">
        <f>SUM($AT116,$AA116:AB116)-SUM($AV$5:AX$5)*$J116-SUM($AV$6:AX$6)*$K116</f>
        <v>0</v>
      </c>
      <c r="AY116" s="1">
        <f>SUM($AT116,$AA116:AC116)-SUM($AV$5:AY$5)*$J116-SUM($AV$6:AY$6)*$K116</f>
        <v>0</v>
      </c>
      <c r="AZ116" s="1">
        <f>SUM($AT116,$AA116:AD116)-SUM($AV$5:AZ$5)*$J116-SUM($AV$6:AZ$6)*$K116</f>
        <v>-80</v>
      </c>
      <c r="BA116" s="1">
        <f>SUM($AT116,$AA116:AE116)-SUM($AV$5:BA$5)*$J116-SUM($AV$6:BA$6)*$K116</f>
        <v>-160</v>
      </c>
      <c r="BB116" s="1">
        <f>SUM($AT116,$AA116:AF116)-SUM($AV$5:BB$5)*$J116-SUM($AV$6:BB$6)*$K116</f>
        <v>-240</v>
      </c>
      <c r="BC116" s="1">
        <f>SUM($AT116,$AA116:AG116)-SUM($AV$5:BC$5)*$J116-SUM($AV$6:BC$6)*$K116</f>
        <v>-320</v>
      </c>
      <c r="BD116" s="1">
        <f>SUM($AT116,$AA116:AH116)-SUM($AV$5:BD$5)*$J116-SUM($AV$6:BD$6)*$K116</f>
        <v>-400</v>
      </c>
      <c r="BE116" s="1">
        <f>SUM($AT116,$AA116:AI116)-SUM($AV$5:BE$5)*$J116-SUM($AV$6:BE$6)*$K116</f>
        <v>-480</v>
      </c>
      <c r="BF116" s="1">
        <f>SUM($AT116,$AA116:AJ116)-SUM($AV$5:BF$5)*$J116-SUM($AV$6:BF$6)*$K116</f>
        <v>-560</v>
      </c>
      <c r="BG116" s="1">
        <f>SUM($AT116,$AA116:AK116)-SUM($AV$5:BG$5)*$J116-SUM($AV$6:BG$6)*$K116</f>
        <v>-640</v>
      </c>
      <c r="BH116" s="1">
        <f>SUM($AT116,$AA116:AL116)-SUM($AV$5:BH$5)*$J116-SUM($AV$6:BH$6)*$K116</f>
        <v>-720</v>
      </c>
      <c r="BI116" s="1">
        <f>SUM($AT116,$AA116:AM116)-SUM($AV$5:BI$5)*$J116-SUM($AV$6:BI$6)*$K116</f>
        <v>-800</v>
      </c>
      <c r="BJ116" s="1">
        <f>SUM($AT116,$AA116:AN116)-SUM($AV$5:BJ$5)*$J116-SUM($AV$6:BJ$6)*$K116</f>
        <v>-880</v>
      </c>
      <c r="BK116" s="1">
        <f>SUM($AT116,$AA116:AO116)-SUM($AV$5:BK$5)*$J116-SUM($AV$6:BK$6)*$K116</f>
        <v>-960</v>
      </c>
      <c r="BL116" s="1">
        <f>SUM($AT116,$AA116:AP116)-SUM($AV$5:BL$5)*$J116-SUM($AV$6:BL$6)*$K116</f>
        <v>-1040</v>
      </c>
      <c r="BM116" s="1">
        <f>SUM($AT116,$AA116:AQ116)-SUM($AV$5:BM$5)*$J116-SUM($AV$6:BM$6)*$K116</f>
        <v>-1120</v>
      </c>
      <c r="BN116" s="1">
        <f>SUM($AT116,$AA116:AR116)-SUM($AV$5:BN$5)*$J116-SUM($AV$6:BN$6)*$K116</f>
        <v>-1164</v>
      </c>
    </row>
    <row r="117" spans="1:66">
      <c r="A117" s="1">
        <v>136</v>
      </c>
      <c r="B117" s="28" t="s">
        <v>441</v>
      </c>
      <c r="C117" s="1" t="s">
        <v>40</v>
      </c>
      <c r="D117" s="2">
        <v>400538385</v>
      </c>
      <c r="E117" s="3" t="s">
        <v>442</v>
      </c>
      <c r="F117" s="1">
        <v>400326613</v>
      </c>
      <c r="G117" s="1" t="s">
        <v>42</v>
      </c>
      <c r="H117" s="1">
        <v>2</v>
      </c>
      <c r="I117" s="1">
        <v>17</v>
      </c>
      <c r="J117" s="1">
        <v>17</v>
      </c>
      <c r="K117" s="1">
        <v>0</v>
      </c>
      <c r="L117" s="1">
        <v>0</v>
      </c>
      <c r="M117" s="1">
        <f t="shared" si="6"/>
        <v>9894</v>
      </c>
      <c r="N117" s="1">
        <f t="shared" si="7"/>
        <v>9894</v>
      </c>
      <c r="O117" s="2" t="s">
        <v>401</v>
      </c>
      <c r="P117" s="1"/>
      <c r="Q117" s="1">
        <v>1.2E-2</v>
      </c>
      <c r="R117" s="1" t="s">
        <v>44</v>
      </c>
      <c r="S117" s="30" t="s">
        <v>303</v>
      </c>
      <c r="T117" s="31" t="s">
        <v>402</v>
      </c>
      <c r="U117" s="1"/>
      <c r="V117" s="1">
        <v>4000</v>
      </c>
      <c r="W117" s="1" t="s">
        <v>403</v>
      </c>
      <c r="X117" s="32" t="s">
        <v>404</v>
      </c>
      <c r="Y117" s="1" t="s">
        <v>405</v>
      </c>
      <c r="Z117" s="2" t="s">
        <v>401</v>
      </c>
      <c r="AA117" s="1"/>
      <c r="AB117" s="1"/>
      <c r="AC117" s="1"/>
      <c r="AD117" s="1"/>
      <c r="AE117" s="1"/>
      <c r="AF117" s="1"/>
      <c r="AG117" s="1"/>
      <c r="AH117" s="1"/>
      <c r="AI117" s="1"/>
      <c r="AJ117" s="1"/>
      <c r="AK117" s="1"/>
      <c r="AL117" s="1"/>
      <c r="AM117" s="1"/>
      <c r="AN117" s="1"/>
      <c r="AO117" s="1"/>
      <c r="AP117" s="1"/>
      <c r="AQ117" s="1"/>
      <c r="AR117" s="1"/>
      <c r="AS117" s="1"/>
      <c r="AT117" s="1"/>
      <c r="AU117" s="1"/>
      <c r="AV117" s="1">
        <f>SUM($AT117,Z117:$AA117)-SUM($AV$5:AV$5)*$J117-SUM($AV$6:AV$6)*$K117</f>
        <v>0</v>
      </c>
      <c r="AW117" s="1">
        <f>SUM($AT117,$AA117:AA117)-SUM($AV$5:AW$5)*$J117-SUM($AV$6:AW$6)*$K117</f>
        <v>0</v>
      </c>
      <c r="AX117" s="1">
        <f>SUM($AT117,$AA117:AB117)-SUM($AV$5:AX$5)*$J117-SUM($AV$6:AX$6)*$K117</f>
        <v>0</v>
      </c>
      <c r="AY117" s="1">
        <f>SUM($AT117,$AA117:AC117)-SUM($AV$5:AY$5)*$J117-SUM($AV$6:AY$6)*$K117</f>
        <v>0</v>
      </c>
      <c r="AZ117" s="1">
        <f>SUM($AT117,$AA117:AD117)-SUM($AV$5:AZ$5)*$J117-SUM($AV$6:AZ$6)*$K117</f>
        <v>-680</v>
      </c>
      <c r="BA117" s="1">
        <f>SUM($AT117,$AA117:AE117)-SUM($AV$5:BA$5)*$J117-SUM($AV$6:BA$6)*$K117</f>
        <v>-1360</v>
      </c>
      <c r="BB117" s="1">
        <f>SUM($AT117,$AA117:AF117)-SUM($AV$5:BB$5)*$J117-SUM($AV$6:BB$6)*$K117</f>
        <v>-2040</v>
      </c>
      <c r="BC117" s="1">
        <f>SUM($AT117,$AA117:AG117)-SUM($AV$5:BC$5)*$J117-SUM($AV$6:BC$6)*$K117</f>
        <v>-2720</v>
      </c>
      <c r="BD117" s="1">
        <f>SUM($AT117,$AA117:AH117)-SUM($AV$5:BD$5)*$J117-SUM($AV$6:BD$6)*$K117</f>
        <v>-3400</v>
      </c>
      <c r="BE117" s="1">
        <f>SUM($AT117,$AA117:AI117)-SUM($AV$5:BE$5)*$J117-SUM($AV$6:BE$6)*$K117</f>
        <v>-4080</v>
      </c>
      <c r="BF117" s="1">
        <f>SUM($AT117,$AA117:AJ117)-SUM($AV$5:BF$5)*$J117-SUM($AV$6:BF$6)*$K117</f>
        <v>-4760</v>
      </c>
      <c r="BG117" s="1">
        <f>SUM($AT117,$AA117:AK117)-SUM($AV$5:BG$5)*$J117-SUM($AV$6:BG$6)*$K117</f>
        <v>-5440</v>
      </c>
      <c r="BH117" s="1">
        <f>SUM($AT117,$AA117:AL117)-SUM($AV$5:BH$5)*$J117-SUM($AV$6:BH$6)*$K117</f>
        <v>-6120</v>
      </c>
      <c r="BI117" s="1">
        <f>SUM($AT117,$AA117:AM117)-SUM($AV$5:BI$5)*$J117-SUM($AV$6:BI$6)*$K117</f>
        <v>-6800</v>
      </c>
      <c r="BJ117" s="1">
        <f>SUM($AT117,$AA117:AN117)-SUM($AV$5:BJ$5)*$J117-SUM($AV$6:BJ$6)*$K117</f>
        <v>-7480</v>
      </c>
      <c r="BK117" s="1">
        <f>SUM($AT117,$AA117:AO117)-SUM($AV$5:BK$5)*$J117-SUM($AV$6:BK$6)*$K117</f>
        <v>-8160</v>
      </c>
      <c r="BL117" s="1">
        <f>SUM($AT117,$AA117:AP117)-SUM($AV$5:BL$5)*$J117-SUM($AV$6:BL$6)*$K117</f>
        <v>-8840</v>
      </c>
      <c r="BM117" s="1">
        <f>SUM($AT117,$AA117:AQ117)-SUM($AV$5:BM$5)*$J117-SUM($AV$6:BM$6)*$K117</f>
        <v>-9520</v>
      </c>
      <c r="BN117" s="1">
        <f>SUM($AT117,$AA117:AR117)-SUM($AV$5:BN$5)*$J117-SUM($AV$6:BN$6)*$K117</f>
        <v>-9894</v>
      </c>
    </row>
    <row r="118" spans="1:66">
      <c r="A118" s="1">
        <v>139</v>
      </c>
      <c r="B118" s="28" t="s">
        <v>443</v>
      </c>
      <c r="C118" s="1" t="s">
        <v>40</v>
      </c>
      <c r="D118" s="2">
        <v>400468493</v>
      </c>
      <c r="E118" s="3" t="s">
        <v>444</v>
      </c>
      <c r="F118" s="1">
        <v>400481466</v>
      </c>
      <c r="G118" s="1" t="s">
        <v>42</v>
      </c>
      <c r="H118" s="1">
        <v>2</v>
      </c>
      <c r="I118" s="1">
        <v>32</v>
      </c>
      <c r="J118" s="1">
        <v>32</v>
      </c>
      <c r="K118" s="1">
        <v>0</v>
      </c>
      <c r="L118" s="1">
        <v>0</v>
      </c>
      <c r="M118" s="1">
        <f t="shared" si="6"/>
        <v>18624</v>
      </c>
      <c r="N118" s="1">
        <f t="shared" si="7"/>
        <v>18624</v>
      </c>
      <c r="O118" s="2" t="s">
        <v>401</v>
      </c>
      <c r="P118" s="1"/>
      <c r="Q118" s="1">
        <v>7.0000000000000007E-2</v>
      </c>
      <c r="R118" s="1" t="s">
        <v>44</v>
      </c>
      <c r="S118" s="30" t="s">
        <v>303</v>
      </c>
      <c r="T118" s="31" t="s">
        <v>402</v>
      </c>
      <c r="U118" s="1"/>
      <c r="V118" s="1">
        <v>4000</v>
      </c>
      <c r="W118" s="1" t="s">
        <v>403</v>
      </c>
      <c r="X118" s="32" t="s">
        <v>404</v>
      </c>
      <c r="Y118" s="1" t="s">
        <v>405</v>
      </c>
      <c r="Z118" s="2" t="s">
        <v>401</v>
      </c>
      <c r="AA118" s="1"/>
      <c r="AB118" s="1"/>
      <c r="AC118" s="1"/>
      <c r="AD118" s="1"/>
      <c r="AE118" s="1"/>
      <c r="AF118" s="1"/>
      <c r="AG118" s="1"/>
      <c r="AH118" s="1"/>
      <c r="AI118" s="1"/>
      <c r="AJ118" s="1"/>
      <c r="AK118" s="1"/>
      <c r="AL118" s="1"/>
      <c r="AM118" s="1"/>
      <c r="AN118" s="1"/>
      <c r="AO118" s="1"/>
      <c r="AP118" s="1"/>
      <c r="AQ118" s="1"/>
      <c r="AR118" s="1"/>
      <c r="AS118" s="1"/>
      <c r="AT118" s="1"/>
      <c r="AU118" s="1"/>
      <c r="AV118" s="1">
        <f>SUM($AT118,Z118:$AA118)-SUM($AV$5:AV$5)*$J118-SUM($AV$6:AV$6)*$K118</f>
        <v>0</v>
      </c>
      <c r="AW118" s="1">
        <f>SUM($AT118,$AA118:AA118)-SUM($AV$5:AW$5)*$J118-SUM($AV$6:AW$6)*$K118</f>
        <v>0</v>
      </c>
      <c r="AX118" s="1">
        <f>SUM($AT118,$AA118:AB118)-SUM($AV$5:AX$5)*$J118-SUM($AV$6:AX$6)*$K118</f>
        <v>0</v>
      </c>
      <c r="AY118" s="1">
        <f>SUM($AT118,$AA118:AC118)-SUM($AV$5:AY$5)*$J118-SUM($AV$6:AY$6)*$K118</f>
        <v>0</v>
      </c>
      <c r="AZ118" s="1">
        <f>SUM($AT118,$AA118:AD118)-SUM($AV$5:AZ$5)*$J118-SUM($AV$6:AZ$6)*$K118</f>
        <v>-1280</v>
      </c>
      <c r="BA118" s="1">
        <f>SUM($AT118,$AA118:AE118)-SUM($AV$5:BA$5)*$J118-SUM($AV$6:BA$6)*$K118</f>
        <v>-2560</v>
      </c>
      <c r="BB118" s="1">
        <f>SUM($AT118,$AA118:AF118)-SUM($AV$5:BB$5)*$J118-SUM($AV$6:BB$6)*$K118</f>
        <v>-3840</v>
      </c>
      <c r="BC118" s="1">
        <f>SUM($AT118,$AA118:AG118)-SUM($AV$5:BC$5)*$J118-SUM($AV$6:BC$6)*$K118</f>
        <v>-5120</v>
      </c>
      <c r="BD118" s="1">
        <f>SUM($AT118,$AA118:AH118)-SUM($AV$5:BD$5)*$J118-SUM($AV$6:BD$6)*$K118</f>
        <v>-6400</v>
      </c>
      <c r="BE118" s="1">
        <f>SUM($AT118,$AA118:AI118)-SUM($AV$5:BE$5)*$J118-SUM($AV$6:BE$6)*$K118</f>
        <v>-7680</v>
      </c>
      <c r="BF118" s="1">
        <f>SUM($AT118,$AA118:AJ118)-SUM($AV$5:BF$5)*$J118-SUM($AV$6:BF$6)*$K118</f>
        <v>-8960</v>
      </c>
      <c r="BG118" s="1">
        <f>SUM($AT118,$AA118:AK118)-SUM($AV$5:BG$5)*$J118-SUM($AV$6:BG$6)*$K118</f>
        <v>-10240</v>
      </c>
      <c r="BH118" s="1">
        <f>SUM($AT118,$AA118:AL118)-SUM($AV$5:BH$5)*$J118-SUM($AV$6:BH$6)*$K118</f>
        <v>-11520</v>
      </c>
      <c r="BI118" s="1">
        <f>SUM($AT118,$AA118:AM118)-SUM($AV$5:BI$5)*$J118-SUM($AV$6:BI$6)*$K118</f>
        <v>-12800</v>
      </c>
      <c r="BJ118" s="1">
        <f>SUM($AT118,$AA118:AN118)-SUM($AV$5:BJ$5)*$J118-SUM($AV$6:BJ$6)*$K118</f>
        <v>-14080</v>
      </c>
      <c r="BK118" s="1">
        <f>SUM($AT118,$AA118:AO118)-SUM($AV$5:BK$5)*$J118-SUM($AV$6:BK$6)*$K118</f>
        <v>-15360</v>
      </c>
      <c r="BL118" s="1">
        <f>SUM($AT118,$AA118:AP118)-SUM($AV$5:BL$5)*$J118-SUM($AV$6:BL$6)*$K118</f>
        <v>-16640</v>
      </c>
      <c r="BM118" s="1">
        <f>SUM($AT118,$AA118:AQ118)-SUM($AV$5:BM$5)*$J118-SUM($AV$6:BM$6)*$K118</f>
        <v>-17920</v>
      </c>
      <c r="BN118" s="1">
        <f>SUM($AT118,$AA118:AR118)-SUM($AV$5:BN$5)*$J118-SUM($AV$6:BN$6)*$K118</f>
        <v>-18624</v>
      </c>
    </row>
    <row r="119" spans="1:66">
      <c r="A119" s="1">
        <v>140</v>
      </c>
      <c r="B119" s="28" t="s">
        <v>445</v>
      </c>
      <c r="C119" s="1" t="s">
        <v>40</v>
      </c>
      <c r="D119" s="2">
        <v>400668884</v>
      </c>
      <c r="E119" s="3" t="s">
        <v>446</v>
      </c>
      <c r="F119" s="1">
        <v>400481321</v>
      </c>
      <c r="G119" s="1" t="s">
        <v>42</v>
      </c>
      <c r="H119" s="1">
        <v>2</v>
      </c>
      <c r="I119" s="1">
        <v>15</v>
      </c>
      <c r="J119" s="1">
        <v>15</v>
      </c>
      <c r="K119" s="1">
        <v>0</v>
      </c>
      <c r="L119" s="1">
        <v>0</v>
      </c>
      <c r="M119" s="1">
        <f t="shared" si="6"/>
        <v>8730</v>
      </c>
      <c r="N119" s="1">
        <f t="shared" si="7"/>
        <v>8730</v>
      </c>
      <c r="O119" s="2" t="s">
        <v>401</v>
      </c>
      <c r="P119" s="1"/>
      <c r="Q119" s="1">
        <v>0.08</v>
      </c>
      <c r="R119" s="1" t="s">
        <v>44</v>
      </c>
      <c r="S119" s="30" t="s">
        <v>303</v>
      </c>
      <c r="T119" s="31" t="s">
        <v>402</v>
      </c>
      <c r="U119" s="1"/>
      <c r="V119" s="1">
        <v>2500</v>
      </c>
      <c r="W119" s="1" t="s">
        <v>403</v>
      </c>
      <c r="X119" s="32" t="s">
        <v>404</v>
      </c>
      <c r="Y119" s="1" t="s">
        <v>405</v>
      </c>
      <c r="Z119" s="2" t="s">
        <v>401</v>
      </c>
      <c r="AA119" s="1"/>
      <c r="AB119" s="1"/>
      <c r="AC119" s="1"/>
      <c r="AD119" s="1"/>
      <c r="AE119" s="1"/>
      <c r="AF119" s="1"/>
      <c r="AG119" s="1"/>
      <c r="AH119" s="1"/>
      <c r="AI119" s="1"/>
      <c r="AJ119" s="1"/>
      <c r="AK119" s="1"/>
      <c r="AL119" s="1"/>
      <c r="AM119" s="1"/>
      <c r="AN119" s="1"/>
      <c r="AO119" s="1"/>
      <c r="AP119" s="1"/>
      <c r="AQ119" s="1"/>
      <c r="AR119" s="1"/>
      <c r="AS119" s="1"/>
      <c r="AT119" s="1"/>
      <c r="AU119" s="1"/>
      <c r="AV119" s="1">
        <f>SUM($AT119,Z119:$AA119)-SUM($AV$5:AV$5)*$J119-SUM($AV$6:AV$6)*$K119</f>
        <v>0</v>
      </c>
      <c r="AW119" s="1">
        <f>SUM($AT119,$AA119:AA119)-SUM($AV$5:AW$5)*$J119-SUM($AV$6:AW$6)*$K119</f>
        <v>0</v>
      </c>
      <c r="AX119" s="1">
        <f>SUM($AT119,$AA119:AB119)-SUM($AV$5:AX$5)*$J119-SUM($AV$6:AX$6)*$K119</f>
        <v>0</v>
      </c>
      <c r="AY119" s="1">
        <f>SUM($AT119,$AA119:AC119)-SUM($AV$5:AY$5)*$J119-SUM($AV$6:AY$6)*$K119</f>
        <v>0</v>
      </c>
      <c r="AZ119" s="1">
        <f>SUM($AT119,$AA119:AD119)-SUM($AV$5:AZ$5)*$J119-SUM($AV$6:AZ$6)*$K119</f>
        <v>-600</v>
      </c>
      <c r="BA119" s="1">
        <f>SUM($AT119,$AA119:AE119)-SUM($AV$5:BA$5)*$J119-SUM($AV$6:BA$6)*$K119</f>
        <v>-1200</v>
      </c>
      <c r="BB119" s="1">
        <f>SUM($AT119,$AA119:AF119)-SUM($AV$5:BB$5)*$J119-SUM($AV$6:BB$6)*$K119</f>
        <v>-1800</v>
      </c>
      <c r="BC119" s="1">
        <f>SUM($AT119,$AA119:AG119)-SUM($AV$5:BC$5)*$J119-SUM($AV$6:BC$6)*$K119</f>
        <v>-2400</v>
      </c>
      <c r="BD119" s="1">
        <f>SUM($AT119,$AA119:AH119)-SUM($AV$5:BD$5)*$J119-SUM($AV$6:BD$6)*$K119</f>
        <v>-3000</v>
      </c>
      <c r="BE119" s="1">
        <f>SUM($AT119,$AA119:AI119)-SUM($AV$5:BE$5)*$J119-SUM($AV$6:BE$6)*$K119</f>
        <v>-3600</v>
      </c>
      <c r="BF119" s="1">
        <f>SUM($AT119,$AA119:AJ119)-SUM($AV$5:BF$5)*$J119-SUM($AV$6:BF$6)*$K119</f>
        <v>-4200</v>
      </c>
      <c r="BG119" s="1">
        <f>SUM($AT119,$AA119:AK119)-SUM($AV$5:BG$5)*$J119-SUM($AV$6:BG$6)*$K119</f>
        <v>-4800</v>
      </c>
      <c r="BH119" s="1">
        <f>SUM($AT119,$AA119:AL119)-SUM($AV$5:BH$5)*$J119-SUM($AV$6:BH$6)*$K119</f>
        <v>-5400</v>
      </c>
      <c r="BI119" s="1">
        <f>SUM($AT119,$AA119:AM119)-SUM($AV$5:BI$5)*$J119-SUM($AV$6:BI$6)*$K119</f>
        <v>-6000</v>
      </c>
      <c r="BJ119" s="1">
        <f>SUM($AT119,$AA119:AN119)-SUM($AV$5:BJ$5)*$J119-SUM($AV$6:BJ$6)*$K119</f>
        <v>-6600</v>
      </c>
      <c r="BK119" s="1">
        <f>SUM($AT119,$AA119:AO119)-SUM($AV$5:BK$5)*$J119-SUM($AV$6:BK$6)*$K119</f>
        <v>-7200</v>
      </c>
      <c r="BL119" s="1">
        <f>SUM($AT119,$AA119:AP119)-SUM($AV$5:BL$5)*$J119-SUM($AV$6:BL$6)*$K119</f>
        <v>-7800</v>
      </c>
      <c r="BM119" s="1">
        <f>SUM($AT119,$AA119:AQ119)-SUM($AV$5:BM$5)*$J119-SUM($AV$6:BM$6)*$K119</f>
        <v>-8400</v>
      </c>
      <c r="BN119" s="1">
        <f>SUM($AT119,$AA119:AR119)-SUM($AV$5:BN$5)*$J119-SUM($AV$6:BN$6)*$K119</f>
        <v>-8730</v>
      </c>
    </row>
    <row r="120" spans="1:66">
      <c r="A120" s="1">
        <v>141</v>
      </c>
      <c r="B120" s="28" t="s">
        <v>447</v>
      </c>
      <c r="C120" s="1" t="s">
        <v>40</v>
      </c>
      <c r="D120" s="2">
        <v>401554938</v>
      </c>
      <c r="E120" s="3" t="s">
        <v>448</v>
      </c>
      <c r="F120" s="1">
        <v>401502404</v>
      </c>
      <c r="G120" s="1" t="s">
        <v>42</v>
      </c>
      <c r="H120" s="1">
        <v>2</v>
      </c>
      <c r="I120" s="1">
        <v>17</v>
      </c>
      <c r="J120" s="1">
        <v>13</v>
      </c>
      <c r="K120" s="1">
        <v>0</v>
      </c>
      <c r="L120" s="1">
        <v>4</v>
      </c>
      <c r="M120" s="1">
        <f t="shared" si="6"/>
        <v>8670</v>
      </c>
      <c r="N120" s="1">
        <f t="shared" si="7"/>
        <v>8670</v>
      </c>
      <c r="O120" s="2" t="s">
        <v>401</v>
      </c>
      <c r="P120" s="1"/>
      <c r="Q120" s="1">
        <v>1.7999999999999999E-2</v>
      </c>
      <c r="R120" s="1" t="s">
        <v>44</v>
      </c>
      <c r="S120" s="30" t="s">
        <v>303</v>
      </c>
      <c r="T120" s="31" t="s">
        <v>304</v>
      </c>
      <c r="U120" s="1"/>
      <c r="V120" s="1">
        <v>2500</v>
      </c>
      <c r="W120" s="1" t="s">
        <v>305</v>
      </c>
      <c r="X120" s="32" t="s">
        <v>306</v>
      </c>
      <c r="Y120" s="1" t="s">
        <v>307</v>
      </c>
      <c r="Z120" s="2" t="s">
        <v>401</v>
      </c>
      <c r="AA120" s="1"/>
      <c r="AB120" s="1"/>
      <c r="AC120" s="1"/>
      <c r="AD120" s="1"/>
      <c r="AE120" s="1"/>
      <c r="AF120" s="1"/>
      <c r="AG120" s="1"/>
      <c r="AH120" s="1"/>
      <c r="AI120" s="1"/>
      <c r="AJ120" s="1"/>
      <c r="AK120" s="1"/>
      <c r="AL120" s="1"/>
      <c r="AM120" s="1"/>
      <c r="AN120" s="1"/>
      <c r="AO120" s="1"/>
      <c r="AP120" s="1"/>
      <c r="AQ120" s="1"/>
      <c r="AR120" s="1"/>
      <c r="AS120" s="1"/>
      <c r="AT120" s="1"/>
      <c r="AU120" s="1"/>
      <c r="AV120" s="1">
        <f>SUM($AT120,Z120:$AA120)-SUM($AV$5:AV$5)*$J120-SUM($AV$6:AV$6)*$K120</f>
        <v>0</v>
      </c>
      <c r="AW120" s="1">
        <f>SUM($AT120,$AA120:AA120)-SUM($AV$5:AW$5)*$J120-SUM($AV$6:AW$6)*$K120</f>
        <v>0</v>
      </c>
      <c r="AX120" s="1">
        <f>SUM($AT120,$AA120:AB120)-SUM($AV$5:AX$5)*$J120-SUM($AV$6:AX$6)*$K120</f>
        <v>0</v>
      </c>
      <c r="AY120" s="1">
        <f>SUM($AT120,$AA120:AC120)-SUM($AV$5:AY$5)*$J120-SUM($AV$6:AY$6)*$K120</f>
        <v>0</v>
      </c>
      <c r="AZ120" s="1">
        <f>SUM($AT120,$AA120:AD120)-SUM($AV$5:AZ$5)*$J120-SUM($AV$6:AZ$6)*$K120</f>
        <v>-520</v>
      </c>
      <c r="BA120" s="1">
        <f>SUM($AT120,$AA120:AE120)-SUM($AV$5:BA$5)*$J120-SUM($AV$6:BA$6)*$K120</f>
        <v>-1040</v>
      </c>
      <c r="BB120" s="1">
        <f>SUM($AT120,$AA120:AF120)-SUM($AV$5:BB$5)*$J120-SUM($AV$6:BB$6)*$K120</f>
        <v>-1560</v>
      </c>
      <c r="BC120" s="1">
        <f>SUM($AT120,$AA120:AG120)-SUM($AV$5:BC$5)*$J120-SUM($AV$6:BC$6)*$K120</f>
        <v>-2080</v>
      </c>
      <c r="BD120" s="1">
        <f>SUM($AT120,$AA120:AH120)-SUM($AV$5:BD$5)*$J120-SUM($AV$6:BD$6)*$K120</f>
        <v>-2600</v>
      </c>
      <c r="BE120" s="1">
        <f>SUM($AT120,$AA120:AI120)-SUM($AV$5:BE$5)*$J120-SUM($AV$6:BE$6)*$K120</f>
        <v>-3120</v>
      </c>
      <c r="BF120" s="1">
        <f>SUM($AT120,$AA120:AJ120)-SUM($AV$5:BF$5)*$J120-SUM($AV$6:BF$6)*$K120</f>
        <v>-3640</v>
      </c>
      <c r="BG120" s="1">
        <f>SUM($AT120,$AA120:AK120)-SUM($AV$5:BG$5)*$J120-SUM($AV$6:BG$6)*$K120</f>
        <v>-4160</v>
      </c>
      <c r="BH120" s="1">
        <f>SUM($AT120,$AA120:AL120)-SUM($AV$5:BH$5)*$J120-SUM($AV$6:BH$6)*$K120</f>
        <v>-4680</v>
      </c>
      <c r="BI120" s="1">
        <f>SUM($AT120,$AA120:AM120)-SUM($AV$5:BI$5)*$J120-SUM($AV$6:BI$6)*$K120</f>
        <v>-5200</v>
      </c>
      <c r="BJ120" s="1">
        <f>SUM($AT120,$AA120:AN120)-SUM($AV$5:BJ$5)*$J120-SUM($AV$6:BJ$6)*$K120</f>
        <v>-5720</v>
      </c>
      <c r="BK120" s="1">
        <f>SUM($AT120,$AA120:AO120)-SUM($AV$5:BK$5)*$J120-SUM($AV$6:BK$6)*$K120</f>
        <v>-6240</v>
      </c>
      <c r="BL120" s="1">
        <f>SUM($AT120,$AA120:AP120)-SUM($AV$5:BL$5)*$J120-SUM($AV$6:BL$6)*$K120</f>
        <v>-6760</v>
      </c>
      <c r="BM120" s="1">
        <f>SUM($AT120,$AA120:AQ120)-SUM($AV$5:BM$5)*$J120-SUM($AV$6:BM$6)*$K120</f>
        <v>-7280</v>
      </c>
      <c r="BN120" s="1">
        <f>SUM($AT120,$AA120:AR120)-SUM($AV$5:BN$5)*$J120-SUM($AV$6:BN$6)*$K120</f>
        <v>-7566</v>
      </c>
    </row>
    <row r="121" spans="1:66">
      <c r="A121" s="1">
        <v>143</v>
      </c>
      <c r="B121" s="28" t="s">
        <v>449</v>
      </c>
      <c r="C121" s="1" t="s">
        <v>40</v>
      </c>
      <c r="D121" s="2">
        <v>403515526</v>
      </c>
      <c r="E121" s="3" t="s">
        <v>450</v>
      </c>
      <c r="F121" s="1">
        <v>403174859</v>
      </c>
      <c r="G121" s="1" t="s">
        <v>42</v>
      </c>
      <c r="H121" s="1">
        <v>2</v>
      </c>
      <c r="I121" s="1">
        <v>32</v>
      </c>
      <c r="J121" s="1">
        <v>32</v>
      </c>
      <c r="K121" s="1">
        <v>0</v>
      </c>
      <c r="L121" s="1">
        <v>0</v>
      </c>
      <c r="M121" s="1">
        <f t="shared" si="6"/>
        <v>18624</v>
      </c>
      <c r="N121" s="1">
        <f t="shared" si="7"/>
        <v>18624</v>
      </c>
      <c r="O121" s="2" t="s">
        <v>451</v>
      </c>
      <c r="P121" s="1"/>
      <c r="Q121" s="1">
        <v>8.6999999999999994E-3</v>
      </c>
      <c r="R121" s="1" t="s">
        <v>44</v>
      </c>
      <c r="S121" s="30" t="s">
        <v>452</v>
      </c>
      <c r="T121" s="31" t="s">
        <v>417</v>
      </c>
      <c r="U121" s="1"/>
      <c r="V121" s="1">
        <v>10000</v>
      </c>
      <c r="W121" s="1" t="s">
        <v>418</v>
      </c>
      <c r="X121" s="32" t="s">
        <v>419</v>
      </c>
      <c r="Y121" s="1" t="s">
        <v>420</v>
      </c>
      <c r="Z121" s="2" t="s">
        <v>451</v>
      </c>
      <c r="AA121" s="1"/>
      <c r="AB121" s="1"/>
      <c r="AC121" s="1"/>
      <c r="AD121" s="1"/>
      <c r="AE121" s="1"/>
      <c r="AF121" s="1"/>
      <c r="AG121" s="1"/>
      <c r="AH121" s="1"/>
      <c r="AI121" s="1"/>
      <c r="AJ121" s="1"/>
      <c r="AK121" s="1"/>
      <c r="AL121" s="1"/>
      <c r="AM121" s="1"/>
      <c r="AN121" s="1"/>
      <c r="AO121" s="1"/>
      <c r="AP121" s="1"/>
      <c r="AQ121" s="1"/>
      <c r="AR121" s="1"/>
      <c r="AS121" s="1"/>
      <c r="AT121" s="1"/>
      <c r="AU121" s="1"/>
      <c r="AV121" s="1">
        <f>SUM($AT121,Z121:$AA121)-SUM($AV$5:AV$5)*$J121-SUM($AV$6:AV$6)*$K121</f>
        <v>0</v>
      </c>
      <c r="AW121" s="1">
        <f>SUM($AT121,$AA121:AA121)-SUM($AV$5:AW$5)*$J121-SUM($AV$6:AW$6)*$K121</f>
        <v>0</v>
      </c>
      <c r="AX121" s="1">
        <f>SUM($AT121,$AA121:AB121)-SUM($AV$5:AX$5)*$J121-SUM($AV$6:AX$6)*$K121</f>
        <v>0</v>
      </c>
      <c r="AY121" s="1">
        <f>SUM($AT121,$AA121:AC121)-SUM($AV$5:AY$5)*$J121-SUM($AV$6:AY$6)*$K121</f>
        <v>0</v>
      </c>
      <c r="AZ121" s="1">
        <f>SUM($AT121,$AA121:AD121)-SUM($AV$5:AZ$5)*$J121-SUM($AV$6:AZ$6)*$K121</f>
        <v>-1280</v>
      </c>
      <c r="BA121" s="1">
        <f>SUM($AT121,$AA121:AE121)-SUM($AV$5:BA$5)*$J121-SUM($AV$6:BA$6)*$K121</f>
        <v>-2560</v>
      </c>
      <c r="BB121" s="1">
        <f>SUM($AT121,$AA121:AF121)-SUM($AV$5:BB$5)*$J121-SUM($AV$6:BB$6)*$K121</f>
        <v>-3840</v>
      </c>
      <c r="BC121" s="1">
        <f>SUM($AT121,$AA121:AG121)-SUM($AV$5:BC$5)*$J121-SUM($AV$6:BC$6)*$K121</f>
        <v>-5120</v>
      </c>
      <c r="BD121" s="1">
        <f>SUM($AT121,$AA121:AH121)-SUM($AV$5:BD$5)*$J121-SUM($AV$6:BD$6)*$K121</f>
        <v>-6400</v>
      </c>
      <c r="BE121" s="1">
        <f>SUM($AT121,$AA121:AI121)-SUM($AV$5:BE$5)*$J121-SUM($AV$6:BE$6)*$K121</f>
        <v>-7680</v>
      </c>
      <c r="BF121" s="1">
        <f>SUM($AT121,$AA121:AJ121)-SUM($AV$5:BF$5)*$J121-SUM($AV$6:BF$6)*$K121</f>
        <v>-8960</v>
      </c>
      <c r="BG121" s="1">
        <f>SUM($AT121,$AA121:AK121)-SUM($AV$5:BG$5)*$J121-SUM($AV$6:BG$6)*$K121</f>
        <v>-10240</v>
      </c>
      <c r="BH121" s="1">
        <f>SUM($AT121,$AA121:AL121)-SUM($AV$5:BH$5)*$J121-SUM($AV$6:BH$6)*$K121</f>
        <v>-11520</v>
      </c>
      <c r="BI121" s="1">
        <f>SUM($AT121,$AA121:AM121)-SUM($AV$5:BI$5)*$J121-SUM($AV$6:BI$6)*$K121</f>
        <v>-12800</v>
      </c>
      <c r="BJ121" s="1">
        <f>SUM($AT121,$AA121:AN121)-SUM($AV$5:BJ$5)*$J121-SUM($AV$6:BJ$6)*$K121</f>
        <v>-14080</v>
      </c>
      <c r="BK121" s="1">
        <f>SUM($AT121,$AA121:AO121)-SUM($AV$5:BK$5)*$J121-SUM($AV$6:BK$6)*$K121</f>
        <v>-15360</v>
      </c>
      <c r="BL121" s="1">
        <f>SUM($AT121,$AA121:AP121)-SUM($AV$5:BL$5)*$J121-SUM($AV$6:BL$6)*$K121</f>
        <v>-16640</v>
      </c>
      <c r="BM121" s="1">
        <f>SUM($AT121,$AA121:AQ121)-SUM($AV$5:BM$5)*$J121-SUM($AV$6:BM$6)*$K121</f>
        <v>-17920</v>
      </c>
      <c r="BN121" s="1">
        <f>SUM($AT121,$AA121:AR121)-SUM($AV$5:BN$5)*$J121-SUM($AV$6:BN$6)*$K121</f>
        <v>-18624</v>
      </c>
    </row>
    <row r="122" spans="1:66">
      <c r="A122" s="1">
        <v>144</v>
      </c>
      <c r="B122" s="28" t="s">
        <v>453</v>
      </c>
      <c r="C122" s="1" t="s">
        <v>40</v>
      </c>
      <c r="D122" s="2">
        <v>401571697</v>
      </c>
      <c r="E122" s="3" t="s">
        <v>454</v>
      </c>
      <c r="F122" s="1">
        <v>416023177</v>
      </c>
      <c r="G122" s="1" t="s">
        <v>42</v>
      </c>
      <c r="H122" s="1">
        <v>2</v>
      </c>
      <c r="I122" s="1">
        <v>72</v>
      </c>
      <c r="J122" s="1">
        <v>72</v>
      </c>
      <c r="K122" s="1">
        <v>0</v>
      </c>
      <c r="L122" s="1">
        <v>0</v>
      </c>
      <c r="M122" s="1">
        <f t="shared" si="6"/>
        <v>41904</v>
      </c>
      <c r="N122" s="1">
        <f t="shared" si="7"/>
        <v>41904</v>
      </c>
      <c r="O122" s="2" t="s">
        <v>451</v>
      </c>
      <c r="P122" s="1"/>
      <c r="Q122" s="1">
        <v>3.2000000000000001E-2</v>
      </c>
      <c r="R122" s="1" t="s">
        <v>44</v>
      </c>
      <c r="S122" s="30" t="s">
        <v>452</v>
      </c>
      <c r="T122" s="31" t="s">
        <v>417</v>
      </c>
      <c r="U122" s="1"/>
      <c r="V122" s="1">
        <v>10000</v>
      </c>
      <c r="W122" s="1" t="s">
        <v>418</v>
      </c>
      <c r="X122" s="32" t="s">
        <v>419</v>
      </c>
      <c r="Y122" s="1" t="s">
        <v>420</v>
      </c>
      <c r="Z122" s="2" t="s">
        <v>451</v>
      </c>
      <c r="AA122" s="1"/>
      <c r="AB122" s="1"/>
      <c r="AC122" s="1"/>
      <c r="AD122" s="1"/>
      <c r="AE122" s="1"/>
      <c r="AF122" s="1"/>
      <c r="AG122" s="1"/>
      <c r="AH122" s="1"/>
      <c r="AI122" s="1"/>
      <c r="AJ122" s="1"/>
      <c r="AK122" s="1">
        <v>50000</v>
      </c>
      <c r="AL122" s="1"/>
      <c r="AM122" s="1"/>
      <c r="AN122" s="1"/>
      <c r="AO122" s="1"/>
      <c r="AP122" s="1"/>
      <c r="AQ122" s="1"/>
      <c r="AR122" s="1"/>
      <c r="AS122" s="1"/>
      <c r="AT122" s="1"/>
      <c r="AU122" s="1"/>
      <c r="AV122" s="1">
        <f>SUM($AT122,Z122:$AA122)-SUM($AV$5:AV$5)*$J122-SUM($AV$6:AV$6)*$K122</f>
        <v>0</v>
      </c>
      <c r="AW122" s="1">
        <f>SUM($AT122,$AA122:AA122)-SUM($AV$5:AW$5)*$J122-SUM($AV$6:AW$6)*$K122</f>
        <v>0</v>
      </c>
      <c r="AX122" s="1">
        <f>SUM($AT122,$AA122:AB122)-SUM($AV$5:AX$5)*$J122-SUM($AV$6:AX$6)*$K122</f>
        <v>0</v>
      </c>
      <c r="AY122" s="1">
        <f>SUM($AT122,$AA122:AC122)-SUM($AV$5:AY$5)*$J122-SUM($AV$6:AY$6)*$K122</f>
        <v>0</v>
      </c>
      <c r="AZ122" s="1">
        <f>SUM($AT122,$AA122:AD122)-SUM($AV$5:AZ$5)*$J122-SUM($AV$6:AZ$6)*$K122</f>
        <v>-2880</v>
      </c>
      <c r="BA122" s="1">
        <f>SUM($AT122,$AA122:AE122)-SUM($AV$5:BA$5)*$J122-SUM($AV$6:BA$6)*$K122</f>
        <v>-5760</v>
      </c>
      <c r="BB122" s="1">
        <f>SUM($AT122,$AA122:AF122)-SUM($AV$5:BB$5)*$J122-SUM($AV$6:BB$6)*$K122</f>
        <v>-8640</v>
      </c>
      <c r="BC122" s="1">
        <f>SUM($AT122,$AA122:AG122)-SUM($AV$5:BC$5)*$J122-SUM($AV$6:BC$6)*$K122</f>
        <v>-11520</v>
      </c>
      <c r="BD122" s="1">
        <f>SUM($AT122,$AA122:AH122)-SUM($AV$5:BD$5)*$J122-SUM($AV$6:BD$6)*$K122</f>
        <v>-14400</v>
      </c>
      <c r="BE122" s="1">
        <f>SUM($AT122,$AA122:AI122)-SUM($AV$5:BE$5)*$J122-SUM($AV$6:BE$6)*$K122</f>
        <v>-17280</v>
      </c>
      <c r="BF122" s="1">
        <f>SUM($AT122,$AA122:AJ122)-SUM($AV$5:BF$5)*$J122-SUM($AV$6:BF$6)*$K122</f>
        <v>-20160</v>
      </c>
      <c r="BG122" s="1">
        <f>SUM($AT122,$AA122:AK122)-SUM($AV$5:BG$5)*$J122-SUM($AV$6:BG$6)*$K122</f>
        <v>26960</v>
      </c>
      <c r="BH122" s="1">
        <f>SUM($AT122,$AA122:AL122)-SUM($AV$5:BH$5)*$J122-SUM($AV$6:BH$6)*$K122</f>
        <v>24080</v>
      </c>
      <c r="BI122" s="1">
        <f>SUM($AT122,$AA122:AM122)-SUM($AV$5:BI$5)*$J122-SUM($AV$6:BI$6)*$K122</f>
        <v>21200</v>
      </c>
      <c r="BJ122" s="1">
        <f>SUM($AT122,$AA122:AN122)-SUM($AV$5:BJ$5)*$J122-SUM($AV$6:BJ$6)*$K122</f>
        <v>18320</v>
      </c>
      <c r="BK122" s="1">
        <f>SUM($AT122,$AA122:AO122)-SUM($AV$5:BK$5)*$J122-SUM($AV$6:BK$6)*$K122</f>
        <v>15440</v>
      </c>
      <c r="BL122" s="1">
        <f>SUM($AT122,$AA122:AP122)-SUM($AV$5:BL$5)*$J122-SUM($AV$6:BL$6)*$K122</f>
        <v>12560</v>
      </c>
      <c r="BM122" s="1">
        <f>SUM($AT122,$AA122:AQ122)-SUM($AV$5:BM$5)*$J122-SUM($AV$6:BM$6)*$K122</f>
        <v>9680</v>
      </c>
      <c r="BN122" s="1">
        <f>SUM($AT122,$AA122:AR122)-SUM($AV$5:BN$5)*$J122-SUM($AV$6:BN$6)*$K122</f>
        <v>8096</v>
      </c>
    </row>
    <row r="123" spans="1:66">
      <c r="A123" s="1">
        <v>145</v>
      </c>
      <c r="B123" s="28" t="s">
        <v>455</v>
      </c>
      <c r="C123" s="1" t="s">
        <v>40</v>
      </c>
      <c r="D123" s="2">
        <v>400617087</v>
      </c>
      <c r="E123" s="3" t="s">
        <v>456</v>
      </c>
      <c r="F123" s="1" t="s">
        <v>457</v>
      </c>
      <c r="G123" s="1" t="s">
        <v>42</v>
      </c>
      <c r="H123" s="1">
        <v>2</v>
      </c>
      <c r="I123" s="1">
        <v>2</v>
      </c>
      <c r="J123" s="1">
        <v>2</v>
      </c>
      <c r="K123" s="1">
        <v>0</v>
      </c>
      <c r="L123" s="1">
        <v>0</v>
      </c>
      <c r="M123" s="1">
        <f t="shared" si="6"/>
        <v>1164</v>
      </c>
      <c r="N123" s="1">
        <f t="shared" si="7"/>
        <v>1164</v>
      </c>
      <c r="O123" s="2" t="s">
        <v>401</v>
      </c>
      <c r="P123" s="1"/>
      <c r="Q123" s="1">
        <v>2.4E-2</v>
      </c>
      <c r="R123" s="1" t="s">
        <v>44</v>
      </c>
      <c r="S123" s="30" t="s">
        <v>458</v>
      </c>
      <c r="T123" s="31" t="s">
        <v>402</v>
      </c>
      <c r="U123" s="1"/>
      <c r="V123" s="1">
        <v>4000</v>
      </c>
      <c r="W123" s="1" t="s">
        <v>403</v>
      </c>
      <c r="X123" s="32" t="s">
        <v>404</v>
      </c>
      <c r="Y123" s="1" t="s">
        <v>405</v>
      </c>
      <c r="Z123" s="2" t="s">
        <v>401</v>
      </c>
      <c r="AA123" s="1"/>
      <c r="AB123" s="1"/>
      <c r="AC123" s="1"/>
      <c r="AD123" s="1"/>
      <c r="AE123" s="1"/>
      <c r="AF123" s="1"/>
      <c r="AG123" s="1"/>
      <c r="AH123" s="1"/>
      <c r="AI123" s="1"/>
      <c r="AJ123" s="1"/>
      <c r="AK123" s="1"/>
      <c r="AL123" s="1"/>
      <c r="AM123" s="1"/>
      <c r="AN123" s="1"/>
      <c r="AO123" s="1"/>
      <c r="AP123" s="1"/>
      <c r="AQ123" s="1"/>
      <c r="AR123" s="1"/>
      <c r="AS123" s="1"/>
      <c r="AT123" s="1"/>
      <c r="AU123" s="1"/>
      <c r="AV123" s="1">
        <f>SUM($AT123,Z123:$AA123)-SUM($AV$5:AV$5)*$J123-SUM($AV$6:AV$6)*$K123</f>
        <v>0</v>
      </c>
      <c r="AW123" s="1">
        <f>SUM($AT123,$AA123:AA123)-SUM($AV$5:AW$5)*$J123-SUM($AV$6:AW$6)*$K123</f>
        <v>0</v>
      </c>
      <c r="AX123" s="1">
        <f>SUM($AT123,$AA123:AB123)-SUM($AV$5:AX$5)*$J123-SUM($AV$6:AX$6)*$K123</f>
        <v>0</v>
      </c>
      <c r="AY123" s="1">
        <f>SUM($AT123,$AA123:AC123)-SUM($AV$5:AY$5)*$J123-SUM($AV$6:AY$6)*$K123</f>
        <v>0</v>
      </c>
      <c r="AZ123" s="1">
        <f>SUM($AT123,$AA123:AD123)-SUM($AV$5:AZ$5)*$J123-SUM($AV$6:AZ$6)*$K123</f>
        <v>-80</v>
      </c>
      <c r="BA123" s="1">
        <f>SUM($AT123,$AA123:AE123)-SUM($AV$5:BA$5)*$J123-SUM($AV$6:BA$6)*$K123</f>
        <v>-160</v>
      </c>
      <c r="BB123" s="1">
        <f>SUM($AT123,$AA123:AF123)-SUM($AV$5:BB$5)*$J123-SUM($AV$6:BB$6)*$K123</f>
        <v>-240</v>
      </c>
      <c r="BC123" s="1">
        <f>SUM($AT123,$AA123:AG123)-SUM($AV$5:BC$5)*$J123-SUM($AV$6:BC$6)*$K123</f>
        <v>-320</v>
      </c>
      <c r="BD123" s="1">
        <f>SUM($AT123,$AA123:AH123)-SUM($AV$5:BD$5)*$J123-SUM($AV$6:BD$6)*$K123</f>
        <v>-400</v>
      </c>
      <c r="BE123" s="1">
        <f>SUM($AT123,$AA123:AI123)-SUM($AV$5:BE$5)*$J123-SUM($AV$6:BE$6)*$K123</f>
        <v>-480</v>
      </c>
      <c r="BF123" s="1">
        <f>SUM($AT123,$AA123:AJ123)-SUM($AV$5:BF$5)*$J123-SUM($AV$6:BF$6)*$K123</f>
        <v>-560</v>
      </c>
      <c r="BG123" s="1">
        <f>SUM($AT123,$AA123:AK123)-SUM($AV$5:BG$5)*$J123-SUM($AV$6:BG$6)*$K123</f>
        <v>-640</v>
      </c>
      <c r="BH123" s="1">
        <f>SUM($AT123,$AA123:AL123)-SUM($AV$5:BH$5)*$J123-SUM($AV$6:BH$6)*$K123</f>
        <v>-720</v>
      </c>
      <c r="BI123" s="1">
        <f>SUM($AT123,$AA123:AM123)-SUM($AV$5:BI$5)*$J123-SUM($AV$6:BI$6)*$K123</f>
        <v>-800</v>
      </c>
      <c r="BJ123" s="1">
        <f>SUM($AT123,$AA123:AN123)-SUM($AV$5:BJ$5)*$J123-SUM($AV$6:BJ$6)*$K123</f>
        <v>-880</v>
      </c>
      <c r="BK123" s="1">
        <f>SUM($AT123,$AA123:AO123)-SUM($AV$5:BK$5)*$J123-SUM($AV$6:BK$6)*$K123</f>
        <v>-960</v>
      </c>
      <c r="BL123" s="1">
        <f>SUM($AT123,$AA123:AP123)-SUM($AV$5:BL$5)*$J123-SUM($AV$6:BL$6)*$K123</f>
        <v>-1040</v>
      </c>
      <c r="BM123" s="1">
        <f>SUM($AT123,$AA123:AQ123)-SUM($AV$5:BM$5)*$J123-SUM($AV$6:BM$6)*$K123</f>
        <v>-1120</v>
      </c>
      <c r="BN123" s="1">
        <f>SUM($AT123,$AA123:AR123)-SUM($AV$5:BN$5)*$J123-SUM($AV$6:BN$6)*$K123</f>
        <v>-1164</v>
      </c>
    </row>
    <row r="124" spans="1:66">
      <c r="A124" s="1">
        <v>128</v>
      </c>
      <c r="B124" s="28" t="s">
        <v>459</v>
      </c>
      <c r="C124" s="1" t="s">
        <v>40</v>
      </c>
      <c r="D124" s="2">
        <v>408432233</v>
      </c>
      <c r="E124" s="3" t="s">
        <v>460</v>
      </c>
      <c r="F124" s="1">
        <v>400481358</v>
      </c>
      <c r="G124" s="1" t="s">
        <v>42</v>
      </c>
      <c r="H124" s="1">
        <v>2</v>
      </c>
      <c r="I124" s="1">
        <v>11</v>
      </c>
      <c r="J124" s="1">
        <v>0</v>
      </c>
      <c r="K124" s="1">
        <v>0</v>
      </c>
      <c r="L124" s="1">
        <v>11</v>
      </c>
      <c r="M124" s="1">
        <f t="shared" si="6"/>
        <v>3036</v>
      </c>
      <c r="N124" s="1">
        <f t="shared" si="7"/>
        <v>3036</v>
      </c>
      <c r="O124" s="2" t="s">
        <v>401</v>
      </c>
      <c r="P124" s="1"/>
      <c r="Q124" s="1">
        <v>8.0000000000000002E-3</v>
      </c>
      <c r="R124" s="1" t="s">
        <v>44</v>
      </c>
      <c r="S124" s="30" t="s">
        <v>285</v>
      </c>
      <c r="T124" s="31" t="s">
        <v>402</v>
      </c>
      <c r="U124" s="1">
        <v>20000</v>
      </c>
      <c r="V124" s="1">
        <v>4000</v>
      </c>
      <c r="W124" s="1" t="s">
        <v>403</v>
      </c>
      <c r="X124" s="33" t="s">
        <v>404</v>
      </c>
      <c r="Y124" s="1" t="s">
        <v>405</v>
      </c>
      <c r="Z124" s="2" t="s">
        <v>401</v>
      </c>
      <c r="AA124" s="1"/>
      <c r="AB124" s="1"/>
      <c r="AC124" s="1"/>
      <c r="AD124" s="1"/>
      <c r="AE124" s="1"/>
      <c r="AF124" s="1"/>
      <c r="AG124" s="1"/>
      <c r="AH124" s="1"/>
      <c r="AI124" s="1"/>
      <c r="AJ124" s="1"/>
      <c r="AK124" s="1"/>
      <c r="AL124" s="1"/>
      <c r="AM124" s="1"/>
      <c r="AN124" s="1"/>
      <c r="AO124" s="1"/>
      <c r="AP124" s="1"/>
      <c r="AQ124" s="1"/>
      <c r="AR124" s="1"/>
      <c r="AS124" s="1"/>
      <c r="AT124" s="1"/>
      <c r="AU124" s="1"/>
      <c r="AV124" s="1">
        <f>SUM($AT124,Z124:$AA124)-SUM($AV$5:AV$5)*$J124-SUM($AV$6:AV$6)*$K124</f>
        <v>0</v>
      </c>
      <c r="AW124" s="1">
        <f>SUM($AT124,$AA124:AA124)-SUM($AV$5:AW$5)*$J124-SUM($AV$6:AW$6)*$K124</f>
        <v>0</v>
      </c>
      <c r="AX124" s="1">
        <f>SUM($AT124,$AA124:AB124)-SUM($AV$5:AX$5)*$J124-SUM($AV$6:AX$6)*$K124</f>
        <v>0</v>
      </c>
      <c r="AY124" s="1">
        <f>SUM($AT124,$AA124:AC124)-SUM($AV$5:AY$5)*$J124-SUM($AV$6:AY$6)*$K124</f>
        <v>0</v>
      </c>
      <c r="AZ124" s="1">
        <f>SUM($AT124,$AA124:AD124)-SUM($AV$5:AZ$5)*$J124-SUM($AV$6:AZ$6)*$K124</f>
        <v>0</v>
      </c>
      <c r="BA124" s="1">
        <f>SUM($AT124,$AA124:AE124)-SUM($AV$5:BA$5)*$J124-SUM($AV$6:BA$6)*$K124</f>
        <v>0</v>
      </c>
      <c r="BB124" s="1">
        <f>SUM($AT124,$AA124:AF124)-SUM($AV$5:BB$5)*$J124-SUM($AV$6:BB$6)*$K124</f>
        <v>0</v>
      </c>
      <c r="BC124" s="1">
        <f>SUM($AT124,$AA124:AG124)-SUM($AV$5:BC$5)*$J124-SUM($AV$6:BC$6)*$K124</f>
        <v>0</v>
      </c>
      <c r="BD124" s="1">
        <f>SUM($AT124,$AA124:AH124)-SUM($AV$5:BD$5)*$J124-SUM($AV$6:BD$6)*$K124</f>
        <v>0</v>
      </c>
      <c r="BE124" s="1">
        <f>SUM($AT124,$AA124:AI124)-SUM($AV$5:BE$5)*$J124-SUM($AV$6:BE$6)*$K124</f>
        <v>0</v>
      </c>
      <c r="BF124" s="1">
        <f>SUM($AT124,$AA124:AJ124)-SUM($AV$5:BF$5)*$J124-SUM($AV$6:BF$6)*$K124</f>
        <v>0</v>
      </c>
      <c r="BG124" s="1">
        <f>SUM($AT124,$AA124:AK124)-SUM($AV$5:BG$5)*$J124-SUM($AV$6:BG$6)*$K124</f>
        <v>0</v>
      </c>
      <c r="BH124" s="1">
        <f>SUM($AT124,$AA124:AL124)-SUM($AV$5:BH$5)*$J124-SUM($AV$6:BH$6)*$K124</f>
        <v>0</v>
      </c>
      <c r="BI124" s="1">
        <f>SUM($AT124,$AA124:AM124)-SUM($AV$5:BI$5)*$J124-SUM($AV$6:BI$6)*$K124</f>
        <v>0</v>
      </c>
      <c r="BJ124" s="1">
        <f>SUM($AT124,$AA124:AN124)-SUM($AV$5:BJ$5)*$J124-SUM($AV$6:BJ$6)*$K124</f>
        <v>0</v>
      </c>
      <c r="BK124" s="1">
        <f>SUM($AT124,$AA124:AO124)-SUM($AV$5:BK$5)*$J124-SUM($AV$6:BK$6)*$K124</f>
        <v>0</v>
      </c>
      <c r="BL124" s="1">
        <f>SUM($AT124,$AA124:AP124)-SUM($AV$5:BL$5)*$J124-SUM($AV$6:BL$6)*$K124</f>
        <v>0</v>
      </c>
      <c r="BM124" s="1">
        <f>SUM($AT124,$AA124:AQ124)-SUM($AV$5:BM$5)*$J124-SUM($AV$6:BM$6)*$K124</f>
        <v>0</v>
      </c>
      <c r="BN124" s="1">
        <f>SUM($AT124,$AA124:AR124)-SUM($AV$5:BN$5)*$J124-SUM($AV$6:BN$6)*$K124</f>
        <v>0</v>
      </c>
    </row>
    <row r="125" spans="1:66">
      <c r="A125" s="1">
        <v>146</v>
      </c>
      <c r="B125" s="28" t="s">
        <v>461</v>
      </c>
      <c r="C125" s="1" t="s">
        <v>40</v>
      </c>
      <c r="D125" s="2">
        <v>405656805</v>
      </c>
      <c r="E125" s="3" t="s">
        <v>462</v>
      </c>
      <c r="F125" s="1">
        <v>403175049</v>
      </c>
      <c r="G125" s="1" t="s">
        <v>42</v>
      </c>
      <c r="H125" s="1">
        <v>2</v>
      </c>
      <c r="I125" s="1">
        <v>16</v>
      </c>
      <c r="J125" s="1">
        <v>16</v>
      </c>
      <c r="K125" s="1">
        <v>0</v>
      </c>
      <c r="L125" s="1">
        <v>0</v>
      </c>
      <c r="M125" s="1">
        <f t="shared" si="6"/>
        <v>9312</v>
      </c>
      <c r="N125" s="1">
        <f t="shared" si="7"/>
        <v>9312</v>
      </c>
      <c r="O125" s="2" t="s">
        <v>401</v>
      </c>
      <c r="P125" s="1"/>
      <c r="Q125" s="1">
        <v>0.71</v>
      </c>
      <c r="R125" s="1" t="s">
        <v>44</v>
      </c>
      <c r="S125" s="30" t="s">
        <v>62</v>
      </c>
      <c r="T125" s="31" t="s">
        <v>402</v>
      </c>
      <c r="U125" s="1">
        <v>1000</v>
      </c>
      <c r="V125" s="1">
        <v>1000</v>
      </c>
      <c r="W125" s="1" t="s">
        <v>403</v>
      </c>
      <c r="X125" s="32" t="s">
        <v>404</v>
      </c>
      <c r="Y125" s="1" t="s">
        <v>405</v>
      </c>
      <c r="Z125" s="2" t="s">
        <v>401</v>
      </c>
      <c r="AA125" s="1"/>
      <c r="AB125" s="1"/>
      <c r="AC125" s="1"/>
      <c r="AD125" s="1"/>
      <c r="AE125" s="1"/>
      <c r="AF125" s="1"/>
      <c r="AG125" s="1"/>
      <c r="AH125" s="1"/>
      <c r="AI125" s="1"/>
      <c r="AJ125" s="1"/>
      <c r="AK125" s="1"/>
      <c r="AL125" s="1"/>
      <c r="AM125" s="1"/>
      <c r="AN125" s="1"/>
      <c r="AO125" s="1"/>
      <c r="AP125" s="1"/>
      <c r="AQ125" s="1"/>
      <c r="AR125" s="1"/>
      <c r="AS125" s="1"/>
      <c r="AT125" s="1"/>
      <c r="AU125" s="1"/>
      <c r="AV125" s="1">
        <f>SUM($AT125,Z125:$AA125)-SUM($AV$5:AV$5)*$J125-SUM($AV$6:AV$6)*$K125</f>
        <v>0</v>
      </c>
      <c r="AW125" s="1">
        <f>SUM($AT125,$AA125:AA125)-SUM($AV$5:AW$5)*$J125-SUM($AV$6:AW$6)*$K125</f>
        <v>0</v>
      </c>
      <c r="AX125" s="1">
        <f>SUM($AT125,$AA125:AB125)-SUM($AV$5:AX$5)*$J125-SUM($AV$6:AX$6)*$K125</f>
        <v>0</v>
      </c>
      <c r="AY125" s="1">
        <f>SUM($AT125,$AA125:AC125)-SUM($AV$5:AY$5)*$J125-SUM($AV$6:AY$6)*$K125</f>
        <v>0</v>
      </c>
      <c r="AZ125" s="1">
        <f>SUM($AT125,$AA125:AD125)-SUM($AV$5:AZ$5)*$J125-SUM($AV$6:AZ$6)*$K125</f>
        <v>-640</v>
      </c>
      <c r="BA125" s="1">
        <f>SUM($AT125,$AA125:AE125)-SUM($AV$5:BA$5)*$J125-SUM($AV$6:BA$6)*$K125</f>
        <v>-1280</v>
      </c>
      <c r="BB125" s="1">
        <f>SUM($AT125,$AA125:AF125)-SUM($AV$5:BB$5)*$J125-SUM($AV$6:BB$6)*$K125</f>
        <v>-1920</v>
      </c>
      <c r="BC125" s="1">
        <f>SUM($AT125,$AA125:AG125)-SUM($AV$5:BC$5)*$J125-SUM($AV$6:BC$6)*$K125</f>
        <v>-2560</v>
      </c>
      <c r="BD125" s="1">
        <f>SUM($AT125,$AA125:AH125)-SUM($AV$5:BD$5)*$J125-SUM($AV$6:BD$6)*$K125</f>
        <v>-3200</v>
      </c>
      <c r="BE125" s="1">
        <f>SUM($AT125,$AA125:AI125)-SUM($AV$5:BE$5)*$J125-SUM($AV$6:BE$6)*$K125</f>
        <v>-3840</v>
      </c>
      <c r="BF125" s="1">
        <f>SUM($AT125,$AA125:AJ125)-SUM($AV$5:BF$5)*$J125-SUM($AV$6:BF$6)*$K125</f>
        <v>-4480</v>
      </c>
      <c r="BG125" s="1">
        <f>SUM($AT125,$AA125:AK125)-SUM($AV$5:BG$5)*$J125-SUM($AV$6:BG$6)*$K125</f>
        <v>-5120</v>
      </c>
      <c r="BH125" s="1">
        <f>SUM($AT125,$AA125:AL125)-SUM($AV$5:BH$5)*$J125-SUM($AV$6:BH$6)*$K125</f>
        <v>-5760</v>
      </c>
      <c r="BI125" s="1">
        <f>SUM($AT125,$AA125:AM125)-SUM($AV$5:BI$5)*$J125-SUM($AV$6:BI$6)*$K125</f>
        <v>-6400</v>
      </c>
      <c r="BJ125" s="1">
        <f>SUM($AT125,$AA125:AN125)-SUM($AV$5:BJ$5)*$J125-SUM($AV$6:BJ$6)*$K125</f>
        <v>-7040</v>
      </c>
      <c r="BK125" s="1">
        <f>SUM($AT125,$AA125:AO125)-SUM($AV$5:BK$5)*$J125-SUM($AV$6:BK$6)*$K125</f>
        <v>-7680</v>
      </c>
      <c r="BL125" s="1">
        <f>SUM($AT125,$AA125:AP125)-SUM($AV$5:BL$5)*$J125-SUM($AV$6:BL$6)*$K125</f>
        <v>-8320</v>
      </c>
      <c r="BM125" s="1">
        <f>SUM($AT125,$AA125:AQ125)-SUM($AV$5:BM$5)*$J125-SUM($AV$6:BM$6)*$K125</f>
        <v>-8960</v>
      </c>
      <c r="BN125" s="1">
        <f>SUM($AT125,$AA125:AR125)-SUM($AV$5:BN$5)*$J125-SUM($AV$6:BN$6)*$K125</f>
        <v>-9312</v>
      </c>
    </row>
    <row r="126" spans="1:66">
      <c r="A126" s="1">
        <v>147</v>
      </c>
      <c r="B126" s="28" t="s">
        <v>463</v>
      </c>
      <c r="C126" s="1" t="s">
        <v>40</v>
      </c>
      <c r="D126" s="2">
        <v>401551290</v>
      </c>
      <c r="E126" s="3" t="s">
        <v>464</v>
      </c>
      <c r="F126" s="1">
        <v>401502549</v>
      </c>
      <c r="G126" s="1" t="s">
        <v>42</v>
      </c>
      <c r="H126" s="1">
        <v>2</v>
      </c>
      <c r="I126" s="1">
        <v>8</v>
      </c>
      <c r="J126" s="1">
        <v>8</v>
      </c>
      <c r="K126" s="1">
        <v>0</v>
      </c>
      <c r="L126" s="1">
        <v>0</v>
      </c>
      <c r="M126" s="1">
        <f t="shared" si="6"/>
        <v>4656</v>
      </c>
      <c r="N126" s="1">
        <f t="shared" si="7"/>
        <v>4656</v>
      </c>
      <c r="O126" s="2" t="s">
        <v>451</v>
      </c>
      <c r="P126" s="1"/>
      <c r="Q126" s="1">
        <v>0.28000000000000003</v>
      </c>
      <c r="R126" s="1" t="s">
        <v>44</v>
      </c>
      <c r="S126" s="30" t="s">
        <v>452</v>
      </c>
      <c r="T126" s="31" t="s">
        <v>417</v>
      </c>
      <c r="U126" s="1"/>
      <c r="V126" s="1">
        <v>500</v>
      </c>
      <c r="W126" s="1" t="s">
        <v>418</v>
      </c>
      <c r="X126" s="32" t="s">
        <v>419</v>
      </c>
      <c r="Y126" s="1" t="s">
        <v>420</v>
      </c>
      <c r="Z126" s="2" t="s">
        <v>451</v>
      </c>
      <c r="AA126" s="1"/>
      <c r="AB126" s="1"/>
      <c r="AC126" s="1"/>
      <c r="AD126" s="1"/>
      <c r="AE126" s="1"/>
      <c r="AF126" s="1"/>
      <c r="AG126" s="1"/>
      <c r="AH126" s="1"/>
      <c r="AI126" s="1"/>
      <c r="AJ126" s="1"/>
      <c r="AK126" s="1"/>
      <c r="AL126" s="1"/>
      <c r="AM126" s="1"/>
      <c r="AN126" s="1"/>
      <c r="AO126" s="1"/>
      <c r="AP126" s="1"/>
      <c r="AQ126" s="1"/>
      <c r="AR126" s="1"/>
      <c r="AS126" s="1"/>
      <c r="AT126" s="1"/>
      <c r="AU126" s="1"/>
      <c r="AV126" s="1">
        <f>SUM($AT126,Z126:$AA126)-SUM($AV$5:AV$5)*$J126-SUM($AV$6:AV$6)*$K126</f>
        <v>0</v>
      </c>
      <c r="AW126" s="1">
        <f>SUM($AT126,$AA126:AA126)-SUM($AV$5:AW$5)*$J126-SUM($AV$6:AW$6)*$K126</f>
        <v>0</v>
      </c>
      <c r="AX126" s="1">
        <f>SUM($AT126,$AA126:AB126)-SUM($AV$5:AX$5)*$J126-SUM($AV$6:AX$6)*$K126</f>
        <v>0</v>
      </c>
      <c r="AY126" s="1">
        <f>SUM($AT126,$AA126:AC126)-SUM($AV$5:AY$5)*$J126-SUM($AV$6:AY$6)*$K126</f>
        <v>0</v>
      </c>
      <c r="AZ126" s="1">
        <f>SUM($AT126,$AA126:AD126)-SUM($AV$5:AZ$5)*$J126-SUM($AV$6:AZ$6)*$K126</f>
        <v>-320</v>
      </c>
      <c r="BA126" s="1">
        <f>SUM($AT126,$AA126:AE126)-SUM($AV$5:BA$5)*$J126-SUM($AV$6:BA$6)*$K126</f>
        <v>-640</v>
      </c>
      <c r="BB126" s="1">
        <f>SUM($AT126,$AA126:AF126)-SUM($AV$5:BB$5)*$J126-SUM($AV$6:BB$6)*$K126</f>
        <v>-960</v>
      </c>
      <c r="BC126" s="1">
        <f>SUM($AT126,$AA126:AG126)-SUM($AV$5:BC$5)*$J126-SUM($AV$6:BC$6)*$K126</f>
        <v>-1280</v>
      </c>
      <c r="BD126" s="1">
        <f>SUM($AT126,$AA126:AH126)-SUM($AV$5:BD$5)*$J126-SUM($AV$6:BD$6)*$K126</f>
        <v>-1600</v>
      </c>
      <c r="BE126" s="1">
        <f>SUM($AT126,$AA126:AI126)-SUM($AV$5:BE$5)*$J126-SUM($AV$6:BE$6)*$K126</f>
        <v>-1920</v>
      </c>
      <c r="BF126" s="1">
        <f>SUM($AT126,$AA126:AJ126)-SUM($AV$5:BF$5)*$J126-SUM($AV$6:BF$6)*$K126</f>
        <v>-2240</v>
      </c>
      <c r="BG126" s="1">
        <f>SUM($AT126,$AA126:AK126)-SUM($AV$5:BG$5)*$J126-SUM($AV$6:BG$6)*$K126</f>
        <v>-2560</v>
      </c>
      <c r="BH126" s="1">
        <f>SUM($AT126,$AA126:AL126)-SUM($AV$5:BH$5)*$J126-SUM($AV$6:BH$6)*$K126</f>
        <v>-2880</v>
      </c>
      <c r="BI126" s="1">
        <f>SUM($AT126,$AA126:AM126)-SUM($AV$5:BI$5)*$J126-SUM($AV$6:BI$6)*$K126</f>
        <v>-3200</v>
      </c>
      <c r="BJ126" s="1">
        <f>SUM($AT126,$AA126:AN126)-SUM($AV$5:BJ$5)*$J126-SUM($AV$6:BJ$6)*$K126</f>
        <v>-3520</v>
      </c>
      <c r="BK126" s="1">
        <f>SUM($AT126,$AA126:AO126)-SUM($AV$5:BK$5)*$J126-SUM($AV$6:BK$6)*$K126</f>
        <v>-3840</v>
      </c>
      <c r="BL126" s="1">
        <f>SUM($AT126,$AA126:AP126)-SUM($AV$5:BL$5)*$J126-SUM($AV$6:BL$6)*$K126</f>
        <v>-4160</v>
      </c>
      <c r="BM126" s="1">
        <f>SUM($AT126,$AA126:AQ126)-SUM($AV$5:BM$5)*$J126-SUM($AV$6:BM$6)*$K126</f>
        <v>-4480</v>
      </c>
      <c r="BN126" s="1">
        <f>SUM($AT126,$AA126:AR126)-SUM($AV$5:BN$5)*$J126-SUM($AV$6:BN$6)*$K126</f>
        <v>-4656</v>
      </c>
    </row>
    <row r="127" spans="1:66">
      <c r="A127" s="1">
        <v>131</v>
      </c>
      <c r="B127" s="28" t="s">
        <v>465</v>
      </c>
      <c r="C127" s="1" t="s">
        <v>40</v>
      </c>
      <c r="D127" s="2">
        <v>401504556</v>
      </c>
      <c r="E127" s="3" t="s">
        <v>466</v>
      </c>
      <c r="F127" s="1">
        <v>401502386</v>
      </c>
      <c r="G127" s="1" t="s">
        <v>42</v>
      </c>
      <c r="H127" s="1">
        <v>2</v>
      </c>
      <c r="I127" s="1">
        <v>4</v>
      </c>
      <c r="J127" s="1">
        <v>0</v>
      </c>
      <c r="K127" s="1">
        <v>0</v>
      </c>
      <c r="L127" s="1">
        <v>4</v>
      </c>
      <c r="M127" s="1">
        <f t="shared" si="6"/>
        <v>1104</v>
      </c>
      <c r="N127" s="1">
        <f t="shared" si="7"/>
        <v>1104</v>
      </c>
      <c r="O127" s="2" t="s">
        <v>401</v>
      </c>
      <c r="P127" s="1"/>
      <c r="Q127" s="1">
        <v>7.8E-2</v>
      </c>
      <c r="R127" s="1" t="s">
        <v>44</v>
      </c>
      <c r="S127" s="30" t="s">
        <v>96</v>
      </c>
      <c r="T127" s="31" t="s">
        <v>402</v>
      </c>
      <c r="U127" s="1">
        <v>4000</v>
      </c>
      <c r="V127" s="1">
        <v>4000</v>
      </c>
      <c r="W127" s="1" t="s">
        <v>403</v>
      </c>
      <c r="X127" s="33" t="s">
        <v>404</v>
      </c>
      <c r="Y127" s="1" t="s">
        <v>405</v>
      </c>
      <c r="Z127" s="2" t="s">
        <v>401</v>
      </c>
      <c r="AA127" s="1"/>
      <c r="AB127" s="1"/>
      <c r="AC127" s="1"/>
      <c r="AD127" s="1"/>
      <c r="AE127" s="1"/>
      <c r="AF127" s="1"/>
      <c r="AG127" s="1"/>
      <c r="AH127" s="1"/>
      <c r="AI127" s="1"/>
      <c r="AJ127" s="1"/>
      <c r="AK127" s="1"/>
      <c r="AL127" s="1"/>
      <c r="AM127" s="1"/>
      <c r="AN127" s="1"/>
      <c r="AO127" s="1"/>
      <c r="AP127" s="1"/>
      <c r="AQ127" s="1"/>
      <c r="AR127" s="1"/>
      <c r="AS127" s="1"/>
      <c r="AT127" s="1"/>
      <c r="AU127" s="1"/>
      <c r="AV127" s="1">
        <f>SUM($AT127,Z127:$AA127)-SUM($AV$5:AV$5)*$J127-SUM($AV$6:AV$6)*$K127</f>
        <v>0</v>
      </c>
      <c r="AW127" s="1">
        <f>SUM($AT127,$AA127:AA127)-SUM($AV$5:AW$5)*$J127-SUM($AV$6:AW$6)*$K127</f>
        <v>0</v>
      </c>
      <c r="AX127" s="1">
        <f>SUM($AT127,$AA127:AB127)-SUM($AV$5:AX$5)*$J127-SUM($AV$6:AX$6)*$K127</f>
        <v>0</v>
      </c>
      <c r="AY127" s="1">
        <f>SUM($AT127,$AA127:AC127)-SUM($AV$5:AY$5)*$J127-SUM($AV$6:AY$6)*$K127</f>
        <v>0</v>
      </c>
      <c r="AZ127" s="1">
        <f>SUM($AT127,$AA127:AD127)-SUM($AV$5:AZ$5)*$J127-SUM($AV$6:AZ$6)*$K127</f>
        <v>0</v>
      </c>
      <c r="BA127" s="1">
        <f>SUM($AT127,$AA127:AE127)-SUM($AV$5:BA$5)*$J127-SUM($AV$6:BA$6)*$K127</f>
        <v>0</v>
      </c>
      <c r="BB127" s="1">
        <f>SUM($AT127,$AA127:AF127)-SUM($AV$5:BB$5)*$J127-SUM($AV$6:BB$6)*$K127</f>
        <v>0</v>
      </c>
      <c r="BC127" s="1">
        <f>SUM($AT127,$AA127:AG127)-SUM($AV$5:BC$5)*$J127-SUM($AV$6:BC$6)*$K127</f>
        <v>0</v>
      </c>
      <c r="BD127" s="1">
        <f>SUM($AT127,$AA127:AH127)-SUM($AV$5:BD$5)*$J127-SUM($AV$6:BD$6)*$K127</f>
        <v>0</v>
      </c>
      <c r="BE127" s="1">
        <f>SUM($AT127,$AA127:AI127)-SUM($AV$5:BE$5)*$J127-SUM($AV$6:BE$6)*$K127</f>
        <v>0</v>
      </c>
      <c r="BF127" s="1">
        <f>SUM($AT127,$AA127:AJ127)-SUM($AV$5:BF$5)*$J127-SUM($AV$6:BF$6)*$K127</f>
        <v>0</v>
      </c>
      <c r="BG127" s="1">
        <f>SUM($AT127,$AA127:AK127)-SUM($AV$5:BG$5)*$J127-SUM($AV$6:BG$6)*$K127</f>
        <v>0</v>
      </c>
      <c r="BH127" s="1">
        <f>SUM($AT127,$AA127:AL127)-SUM($AV$5:BH$5)*$J127-SUM($AV$6:BH$6)*$K127</f>
        <v>0</v>
      </c>
      <c r="BI127" s="1">
        <f>SUM($AT127,$AA127:AM127)-SUM($AV$5:BI$5)*$J127-SUM($AV$6:BI$6)*$K127</f>
        <v>0</v>
      </c>
      <c r="BJ127" s="1">
        <f>SUM($AT127,$AA127:AN127)-SUM($AV$5:BJ$5)*$J127-SUM($AV$6:BJ$6)*$K127</f>
        <v>0</v>
      </c>
      <c r="BK127" s="1">
        <f>SUM($AT127,$AA127:AO127)-SUM($AV$5:BK$5)*$J127-SUM($AV$6:BK$6)*$K127</f>
        <v>0</v>
      </c>
      <c r="BL127" s="1">
        <f>SUM($AT127,$AA127:AP127)-SUM($AV$5:BL$5)*$J127-SUM($AV$6:BL$6)*$K127</f>
        <v>0</v>
      </c>
      <c r="BM127" s="1">
        <f>SUM($AT127,$AA127:AQ127)-SUM($AV$5:BM$5)*$J127-SUM($AV$6:BM$6)*$K127</f>
        <v>0</v>
      </c>
      <c r="BN127" s="1">
        <f>SUM($AT127,$AA127:AR127)-SUM($AV$5:BN$5)*$J127-SUM($AV$6:BN$6)*$K127</f>
        <v>0</v>
      </c>
    </row>
    <row r="128" spans="1:66">
      <c r="A128" s="1">
        <v>148</v>
      </c>
      <c r="B128" s="28" t="s">
        <v>467</v>
      </c>
      <c r="C128" s="1" t="s">
        <v>40</v>
      </c>
      <c r="D128" s="2">
        <v>425288485</v>
      </c>
      <c r="E128" s="3" t="s">
        <v>468</v>
      </c>
      <c r="F128" s="1">
        <v>400326602</v>
      </c>
      <c r="G128" s="1" t="s">
        <v>42</v>
      </c>
      <c r="H128" s="1">
        <v>2</v>
      </c>
      <c r="I128" s="1">
        <v>1</v>
      </c>
      <c r="J128" s="1">
        <v>1</v>
      </c>
      <c r="K128" s="1">
        <v>0</v>
      </c>
      <c r="L128" s="1">
        <v>0</v>
      </c>
      <c r="M128" s="1">
        <f t="shared" si="6"/>
        <v>582</v>
      </c>
      <c r="N128" s="1">
        <f t="shared" si="7"/>
        <v>582</v>
      </c>
      <c r="O128" s="2" t="s">
        <v>469</v>
      </c>
      <c r="P128" s="1"/>
      <c r="Q128" s="1">
        <v>1.2E-2</v>
      </c>
      <c r="R128" s="1" t="s">
        <v>44</v>
      </c>
      <c r="S128" s="30" t="s">
        <v>264</v>
      </c>
      <c r="T128" s="31" t="s">
        <v>304</v>
      </c>
      <c r="U128" s="1">
        <v>4000</v>
      </c>
      <c r="V128" s="1">
        <v>4000</v>
      </c>
      <c r="W128" s="1" t="s">
        <v>305</v>
      </c>
      <c r="X128" s="32" t="s">
        <v>306</v>
      </c>
      <c r="Y128" s="1" t="s">
        <v>307</v>
      </c>
      <c r="Z128" s="2" t="s">
        <v>470</v>
      </c>
      <c r="AA128" s="1"/>
      <c r="AB128" s="1"/>
      <c r="AC128" s="1"/>
      <c r="AD128" s="1"/>
      <c r="AE128" s="1">
        <v>4000</v>
      </c>
      <c r="AF128" s="1"/>
      <c r="AG128" s="1"/>
      <c r="AH128" s="1"/>
      <c r="AI128" s="1"/>
      <c r="AJ128" s="1"/>
      <c r="AK128" s="1"/>
      <c r="AL128" s="1"/>
      <c r="AM128" s="1"/>
      <c r="AN128" s="1"/>
      <c r="AO128" s="1"/>
      <c r="AP128" s="1"/>
      <c r="AQ128" s="1"/>
      <c r="AR128" s="1"/>
      <c r="AS128" s="1"/>
      <c r="AT128" s="1"/>
      <c r="AU128" s="1"/>
      <c r="AV128" s="1">
        <f>SUM($AT128,Z128:$AA128)-SUM($AV$5:AV$5)*$J128-SUM($AV$6:AV$6)*$K128</f>
        <v>0</v>
      </c>
      <c r="AW128" s="1">
        <f>SUM($AT128,$AA128:AA128)-SUM($AV$5:AW$5)*$J128-SUM($AV$6:AW$6)*$K128</f>
        <v>0</v>
      </c>
      <c r="AX128" s="1">
        <f>SUM($AT128,$AA128:AB128)-SUM($AV$5:AX$5)*$J128-SUM($AV$6:AX$6)*$K128</f>
        <v>0</v>
      </c>
      <c r="AY128" s="1">
        <f>SUM($AT128,$AA128:AC128)-SUM($AV$5:AY$5)*$J128-SUM($AV$6:AY$6)*$K128</f>
        <v>0</v>
      </c>
      <c r="AZ128" s="1">
        <f>SUM($AT128,$AA128:AD128)-SUM($AV$5:AZ$5)*$J128-SUM($AV$6:AZ$6)*$K128</f>
        <v>-40</v>
      </c>
      <c r="BA128" s="1">
        <f>SUM($AT128,$AA128:AE128)-SUM($AV$5:BA$5)*$J128-SUM($AV$6:BA$6)*$K128</f>
        <v>3920</v>
      </c>
      <c r="BB128" s="1">
        <f>SUM($AT128,$AA128:AF128)-SUM($AV$5:BB$5)*$J128-SUM($AV$6:BB$6)*$K128</f>
        <v>3880</v>
      </c>
      <c r="BC128" s="1">
        <f>SUM($AT128,$AA128:AG128)-SUM($AV$5:BC$5)*$J128-SUM($AV$6:BC$6)*$K128</f>
        <v>3840</v>
      </c>
      <c r="BD128" s="1">
        <f>SUM($AT128,$AA128:AH128)-SUM($AV$5:BD$5)*$J128-SUM($AV$6:BD$6)*$K128</f>
        <v>3800</v>
      </c>
      <c r="BE128" s="1">
        <f>SUM($AT128,$AA128:AI128)-SUM($AV$5:BE$5)*$J128-SUM($AV$6:BE$6)*$K128</f>
        <v>3760</v>
      </c>
      <c r="BF128" s="1">
        <f>SUM($AT128,$AA128:AJ128)-SUM($AV$5:BF$5)*$J128-SUM($AV$6:BF$6)*$K128</f>
        <v>3720</v>
      </c>
      <c r="BG128" s="1">
        <f>SUM($AT128,$AA128:AK128)-SUM($AV$5:BG$5)*$J128-SUM($AV$6:BG$6)*$K128</f>
        <v>3680</v>
      </c>
      <c r="BH128" s="1">
        <f>SUM($AT128,$AA128:AL128)-SUM($AV$5:BH$5)*$J128-SUM($AV$6:BH$6)*$K128</f>
        <v>3640</v>
      </c>
      <c r="BI128" s="1">
        <f>SUM($AT128,$AA128:AM128)-SUM($AV$5:BI$5)*$J128-SUM($AV$6:BI$6)*$K128</f>
        <v>3600</v>
      </c>
      <c r="BJ128" s="1">
        <f>SUM($AT128,$AA128:AN128)-SUM($AV$5:BJ$5)*$J128-SUM($AV$6:BJ$6)*$K128</f>
        <v>3560</v>
      </c>
      <c r="BK128" s="1">
        <f>SUM($AT128,$AA128:AO128)-SUM($AV$5:BK$5)*$J128-SUM($AV$6:BK$6)*$K128</f>
        <v>3520</v>
      </c>
      <c r="BL128" s="1">
        <f>SUM($AT128,$AA128:AP128)-SUM($AV$5:BL$5)*$J128-SUM($AV$6:BL$6)*$K128</f>
        <v>3480</v>
      </c>
      <c r="BM128" s="1">
        <f>SUM($AT128,$AA128:AQ128)-SUM($AV$5:BM$5)*$J128-SUM($AV$6:BM$6)*$K128</f>
        <v>3440</v>
      </c>
      <c r="BN128" s="1">
        <f>SUM($AT128,$AA128:AR128)-SUM($AV$5:BN$5)*$J128-SUM($AV$6:BN$6)*$K128</f>
        <v>3418</v>
      </c>
    </row>
    <row r="129" spans="1:66">
      <c r="A129" s="1">
        <v>149</v>
      </c>
      <c r="B129" s="28" t="s">
        <v>471</v>
      </c>
      <c r="C129" s="1" t="s">
        <v>40</v>
      </c>
      <c r="D129" s="2">
        <v>417983106</v>
      </c>
      <c r="E129" s="3" t="s">
        <v>472</v>
      </c>
      <c r="F129" s="1">
        <v>400481181</v>
      </c>
      <c r="G129" s="1" t="s">
        <v>42</v>
      </c>
      <c r="H129" s="1">
        <v>2</v>
      </c>
      <c r="I129" s="1">
        <v>186</v>
      </c>
      <c r="J129" s="1">
        <v>186</v>
      </c>
      <c r="K129" s="1">
        <v>0</v>
      </c>
      <c r="L129" s="1">
        <v>0</v>
      </c>
      <c r="M129" s="1">
        <f t="shared" si="6"/>
        <v>108252</v>
      </c>
      <c r="N129" s="1">
        <f t="shared" si="7"/>
        <v>108252</v>
      </c>
      <c r="O129" s="2" t="s">
        <v>470</v>
      </c>
      <c r="P129" s="1"/>
      <c r="Q129" s="1">
        <v>2.5000000000000001E-3</v>
      </c>
      <c r="R129" s="1" t="s">
        <v>44</v>
      </c>
      <c r="S129" s="30" t="s">
        <v>8</v>
      </c>
      <c r="T129" s="31" t="s">
        <v>304</v>
      </c>
      <c r="U129" s="1"/>
      <c r="V129" s="1">
        <v>10000</v>
      </c>
      <c r="W129" s="1" t="s">
        <v>305</v>
      </c>
      <c r="X129" s="32" t="s">
        <v>306</v>
      </c>
      <c r="Y129" s="1" t="s">
        <v>307</v>
      </c>
      <c r="Z129" s="2" t="s">
        <v>470</v>
      </c>
      <c r="AA129" s="1"/>
      <c r="AB129" s="1"/>
      <c r="AC129" s="1"/>
      <c r="AD129" s="1"/>
      <c r="AE129" s="1"/>
      <c r="AF129" s="1"/>
      <c r="AG129" s="1"/>
      <c r="AH129" s="1"/>
      <c r="AI129" s="1"/>
      <c r="AJ129" s="1"/>
      <c r="AK129" s="1"/>
      <c r="AL129" s="1"/>
      <c r="AM129" s="1"/>
      <c r="AN129" s="1"/>
      <c r="AO129" s="1"/>
      <c r="AP129" s="1"/>
      <c r="AQ129" s="1"/>
      <c r="AR129" s="1"/>
      <c r="AS129" s="1"/>
      <c r="AT129" s="1"/>
      <c r="AU129" s="1"/>
      <c r="AV129" s="1">
        <f>SUM($AT129,Z129:$AA129)-SUM($AV$5:AV$5)*$J129-SUM($AV$6:AV$6)*$K129</f>
        <v>0</v>
      </c>
      <c r="AW129" s="1">
        <f>SUM($AT129,$AA129:AA129)-SUM($AV$5:AW$5)*$J129-SUM($AV$6:AW$6)*$K129</f>
        <v>0</v>
      </c>
      <c r="AX129" s="1">
        <f>SUM($AT129,$AA129:AB129)-SUM($AV$5:AX$5)*$J129-SUM($AV$6:AX$6)*$K129</f>
        <v>0</v>
      </c>
      <c r="AY129" s="1">
        <f>SUM($AT129,$AA129:AC129)-SUM($AV$5:AY$5)*$J129-SUM($AV$6:AY$6)*$K129</f>
        <v>0</v>
      </c>
      <c r="AZ129" s="1">
        <f>SUM($AT129,$AA129:AD129)-SUM($AV$5:AZ$5)*$J129-SUM($AV$6:AZ$6)*$K129</f>
        <v>-7440</v>
      </c>
      <c r="BA129" s="1">
        <f>SUM($AT129,$AA129:AE129)-SUM($AV$5:BA$5)*$J129-SUM($AV$6:BA$6)*$K129</f>
        <v>-14880</v>
      </c>
      <c r="BB129" s="1">
        <f>SUM($AT129,$AA129:AF129)-SUM($AV$5:BB$5)*$J129-SUM($AV$6:BB$6)*$K129</f>
        <v>-22320</v>
      </c>
      <c r="BC129" s="1">
        <f>SUM($AT129,$AA129:AG129)-SUM($AV$5:BC$5)*$J129-SUM($AV$6:BC$6)*$K129</f>
        <v>-29760</v>
      </c>
      <c r="BD129" s="1">
        <f>SUM($AT129,$AA129:AH129)-SUM($AV$5:BD$5)*$J129-SUM($AV$6:BD$6)*$K129</f>
        <v>-37200</v>
      </c>
      <c r="BE129" s="1">
        <f>SUM($AT129,$AA129:AI129)-SUM($AV$5:BE$5)*$J129-SUM($AV$6:BE$6)*$K129</f>
        <v>-44640</v>
      </c>
      <c r="BF129" s="1">
        <f>SUM($AT129,$AA129:AJ129)-SUM($AV$5:BF$5)*$J129-SUM($AV$6:BF$6)*$K129</f>
        <v>-52080</v>
      </c>
      <c r="BG129" s="1">
        <f>SUM($AT129,$AA129:AK129)-SUM($AV$5:BG$5)*$J129-SUM($AV$6:BG$6)*$K129</f>
        <v>-59520</v>
      </c>
      <c r="BH129" s="1">
        <f>SUM($AT129,$AA129:AL129)-SUM($AV$5:BH$5)*$J129-SUM($AV$6:BH$6)*$K129</f>
        <v>-66960</v>
      </c>
      <c r="BI129" s="1">
        <f>SUM($AT129,$AA129:AM129)-SUM($AV$5:BI$5)*$J129-SUM($AV$6:BI$6)*$K129</f>
        <v>-74400</v>
      </c>
      <c r="BJ129" s="1">
        <f>SUM($AT129,$AA129:AN129)-SUM($AV$5:BJ$5)*$J129-SUM($AV$6:BJ$6)*$K129</f>
        <v>-81840</v>
      </c>
      <c r="BK129" s="1">
        <f>SUM($AT129,$AA129:AO129)-SUM($AV$5:BK$5)*$J129-SUM($AV$6:BK$6)*$K129</f>
        <v>-89280</v>
      </c>
      <c r="BL129" s="1">
        <f>SUM($AT129,$AA129:AP129)-SUM($AV$5:BL$5)*$J129-SUM($AV$6:BL$6)*$K129</f>
        <v>-96720</v>
      </c>
      <c r="BM129" s="1">
        <f>SUM($AT129,$AA129:AQ129)-SUM($AV$5:BM$5)*$J129-SUM($AV$6:BM$6)*$K129</f>
        <v>-104160</v>
      </c>
      <c r="BN129" s="1">
        <f>SUM($AT129,$AA129:AR129)-SUM($AV$5:BN$5)*$J129-SUM($AV$6:BN$6)*$K129</f>
        <v>-108252</v>
      </c>
    </row>
    <row r="130" spans="1:66">
      <c r="A130" s="1">
        <v>150</v>
      </c>
      <c r="B130" s="28" t="s">
        <v>473</v>
      </c>
      <c r="C130" s="1" t="s">
        <v>40</v>
      </c>
      <c r="D130" s="2">
        <v>417983107</v>
      </c>
      <c r="E130" s="3" t="s">
        <v>474</v>
      </c>
      <c r="F130" s="1">
        <v>400481196</v>
      </c>
      <c r="G130" s="1" t="s">
        <v>42</v>
      </c>
      <c r="H130" s="1">
        <v>2</v>
      </c>
      <c r="I130" s="1">
        <v>167</v>
      </c>
      <c r="J130" s="1">
        <v>167</v>
      </c>
      <c r="K130" s="1">
        <v>0</v>
      </c>
      <c r="L130" s="1">
        <v>0</v>
      </c>
      <c r="M130" s="1">
        <f t="shared" si="6"/>
        <v>97194</v>
      </c>
      <c r="N130" s="1">
        <f t="shared" si="7"/>
        <v>97194</v>
      </c>
      <c r="O130" s="2" t="s">
        <v>470</v>
      </c>
      <c r="P130" s="1"/>
      <c r="Q130" s="1">
        <v>2.8E-3</v>
      </c>
      <c r="R130" s="1" t="s">
        <v>44</v>
      </c>
      <c r="S130" s="30" t="s">
        <v>8</v>
      </c>
      <c r="T130" s="31" t="s">
        <v>304</v>
      </c>
      <c r="U130" s="1"/>
      <c r="V130" s="1">
        <v>10000</v>
      </c>
      <c r="W130" s="1" t="s">
        <v>305</v>
      </c>
      <c r="X130" s="32" t="s">
        <v>306</v>
      </c>
      <c r="Y130" s="1" t="s">
        <v>307</v>
      </c>
      <c r="Z130" s="2" t="s">
        <v>470</v>
      </c>
      <c r="AA130" s="1"/>
      <c r="AB130" s="1"/>
      <c r="AC130" s="1"/>
      <c r="AD130" s="1"/>
      <c r="AE130" s="1"/>
      <c r="AF130" s="1"/>
      <c r="AG130" s="1"/>
      <c r="AH130" s="1"/>
      <c r="AI130" s="1"/>
      <c r="AJ130" s="1"/>
      <c r="AK130" s="1"/>
      <c r="AL130" s="1"/>
      <c r="AM130" s="1"/>
      <c r="AN130" s="1"/>
      <c r="AO130" s="1"/>
      <c r="AP130" s="1"/>
      <c r="AQ130" s="1"/>
      <c r="AR130" s="1"/>
      <c r="AS130" s="1"/>
      <c r="AT130" s="1"/>
      <c r="AU130" s="1"/>
      <c r="AV130" s="1">
        <f>SUM($AT130,Z130:$AA130)-SUM($AV$5:AV$5)*$J130-SUM($AV$6:AV$6)*$K130</f>
        <v>0</v>
      </c>
      <c r="AW130" s="1">
        <f>SUM($AT130,$AA130:AA130)-SUM($AV$5:AW$5)*$J130-SUM($AV$6:AW$6)*$K130</f>
        <v>0</v>
      </c>
      <c r="AX130" s="1">
        <f>SUM($AT130,$AA130:AB130)-SUM($AV$5:AX$5)*$J130-SUM($AV$6:AX$6)*$K130</f>
        <v>0</v>
      </c>
      <c r="AY130" s="1">
        <f>SUM($AT130,$AA130:AC130)-SUM($AV$5:AY$5)*$J130-SUM($AV$6:AY$6)*$K130</f>
        <v>0</v>
      </c>
      <c r="AZ130" s="1">
        <f>SUM($AT130,$AA130:AD130)-SUM($AV$5:AZ$5)*$J130-SUM($AV$6:AZ$6)*$K130</f>
        <v>-6680</v>
      </c>
      <c r="BA130" s="1">
        <f>SUM($AT130,$AA130:AE130)-SUM($AV$5:BA$5)*$J130-SUM($AV$6:BA$6)*$K130</f>
        <v>-13360</v>
      </c>
      <c r="BB130" s="1">
        <f>SUM($AT130,$AA130:AF130)-SUM($AV$5:BB$5)*$J130-SUM($AV$6:BB$6)*$K130</f>
        <v>-20040</v>
      </c>
      <c r="BC130" s="1">
        <f>SUM($AT130,$AA130:AG130)-SUM($AV$5:BC$5)*$J130-SUM($AV$6:BC$6)*$K130</f>
        <v>-26720</v>
      </c>
      <c r="BD130" s="1">
        <f>SUM($AT130,$AA130:AH130)-SUM($AV$5:BD$5)*$J130-SUM($AV$6:BD$6)*$K130</f>
        <v>-33400</v>
      </c>
      <c r="BE130" s="1">
        <f>SUM($AT130,$AA130:AI130)-SUM($AV$5:BE$5)*$J130-SUM($AV$6:BE$6)*$K130</f>
        <v>-40080</v>
      </c>
      <c r="BF130" s="1">
        <f>SUM($AT130,$AA130:AJ130)-SUM($AV$5:BF$5)*$J130-SUM($AV$6:BF$6)*$K130</f>
        <v>-46760</v>
      </c>
      <c r="BG130" s="1">
        <f>SUM($AT130,$AA130:AK130)-SUM($AV$5:BG$5)*$J130-SUM($AV$6:BG$6)*$K130</f>
        <v>-53440</v>
      </c>
      <c r="BH130" s="1">
        <f>SUM($AT130,$AA130:AL130)-SUM($AV$5:BH$5)*$J130-SUM($AV$6:BH$6)*$K130</f>
        <v>-60120</v>
      </c>
      <c r="BI130" s="1">
        <f>SUM($AT130,$AA130:AM130)-SUM($AV$5:BI$5)*$J130-SUM($AV$6:BI$6)*$K130</f>
        <v>-66800</v>
      </c>
      <c r="BJ130" s="1">
        <f>SUM($AT130,$AA130:AN130)-SUM($AV$5:BJ$5)*$J130-SUM($AV$6:BJ$6)*$K130</f>
        <v>-73480</v>
      </c>
      <c r="BK130" s="1">
        <f>SUM($AT130,$AA130:AO130)-SUM($AV$5:BK$5)*$J130-SUM($AV$6:BK$6)*$K130</f>
        <v>-80160</v>
      </c>
      <c r="BL130" s="1">
        <f>SUM($AT130,$AA130:AP130)-SUM($AV$5:BL$5)*$J130-SUM($AV$6:BL$6)*$K130</f>
        <v>-86840</v>
      </c>
      <c r="BM130" s="1">
        <f>SUM($AT130,$AA130:AQ130)-SUM($AV$5:BM$5)*$J130-SUM($AV$6:BM$6)*$K130</f>
        <v>-93520</v>
      </c>
      <c r="BN130" s="1">
        <f>SUM($AT130,$AA130:AR130)-SUM($AV$5:BN$5)*$J130-SUM($AV$6:BN$6)*$K130</f>
        <v>-97194</v>
      </c>
    </row>
    <row r="131" spans="1:66">
      <c r="A131" s="1">
        <v>153</v>
      </c>
      <c r="B131" s="28" t="s">
        <v>475</v>
      </c>
      <c r="C131" s="1" t="s">
        <v>40</v>
      </c>
      <c r="D131" s="2">
        <v>417983119</v>
      </c>
      <c r="E131" s="3" t="s">
        <v>476</v>
      </c>
      <c r="F131" s="1">
        <v>400481228</v>
      </c>
      <c r="G131" s="1" t="s">
        <v>42</v>
      </c>
      <c r="H131" s="1">
        <v>2</v>
      </c>
      <c r="I131" s="1">
        <v>6</v>
      </c>
      <c r="J131" s="1">
        <v>6</v>
      </c>
      <c r="K131" s="1">
        <v>0</v>
      </c>
      <c r="L131" s="1">
        <v>0</v>
      </c>
      <c r="M131" s="1">
        <f t="shared" si="6"/>
        <v>3492</v>
      </c>
      <c r="N131" s="1">
        <f t="shared" si="7"/>
        <v>3492</v>
      </c>
      <c r="O131" s="2" t="s">
        <v>470</v>
      </c>
      <c r="P131" s="1"/>
      <c r="Q131" s="1">
        <v>2.5000000000000001E-3</v>
      </c>
      <c r="R131" s="1" t="s">
        <v>44</v>
      </c>
      <c r="S131" s="30" t="s">
        <v>264</v>
      </c>
      <c r="T131" s="31" t="s">
        <v>304</v>
      </c>
      <c r="U131" s="1"/>
      <c r="V131" s="1">
        <v>10000</v>
      </c>
      <c r="W131" s="1" t="s">
        <v>305</v>
      </c>
      <c r="X131" s="32" t="s">
        <v>306</v>
      </c>
      <c r="Y131" s="1" t="s">
        <v>307</v>
      </c>
      <c r="Z131" s="2" t="s">
        <v>470</v>
      </c>
      <c r="AA131" s="1"/>
      <c r="AB131" s="1"/>
      <c r="AC131" s="1"/>
      <c r="AD131" s="1"/>
      <c r="AE131" s="1"/>
      <c r="AF131" s="1"/>
      <c r="AG131" s="1"/>
      <c r="AH131" s="1"/>
      <c r="AI131" s="1"/>
      <c r="AJ131" s="1"/>
      <c r="AK131" s="1"/>
      <c r="AL131" s="1"/>
      <c r="AM131" s="1"/>
      <c r="AN131" s="1"/>
      <c r="AO131" s="1"/>
      <c r="AP131" s="1"/>
      <c r="AQ131" s="1"/>
      <c r="AR131" s="1"/>
      <c r="AS131" s="1"/>
      <c r="AT131" s="1"/>
      <c r="AU131" s="1"/>
      <c r="AV131" s="1">
        <f>SUM($AT131,Z131:$AA131)-SUM($AV$5:AV$5)*$J131-SUM($AV$6:AV$6)*$K131</f>
        <v>0</v>
      </c>
      <c r="AW131" s="1">
        <f>SUM($AT131,$AA131:AA131)-SUM($AV$5:AW$5)*$J131-SUM($AV$6:AW$6)*$K131</f>
        <v>0</v>
      </c>
      <c r="AX131" s="1">
        <f>SUM($AT131,$AA131:AB131)-SUM($AV$5:AX$5)*$J131-SUM($AV$6:AX$6)*$K131</f>
        <v>0</v>
      </c>
      <c r="AY131" s="1">
        <f>SUM($AT131,$AA131:AC131)-SUM($AV$5:AY$5)*$J131-SUM($AV$6:AY$6)*$K131</f>
        <v>0</v>
      </c>
      <c r="AZ131" s="1">
        <f>SUM($AT131,$AA131:AD131)-SUM($AV$5:AZ$5)*$J131-SUM($AV$6:AZ$6)*$K131</f>
        <v>-240</v>
      </c>
      <c r="BA131" s="1">
        <f>SUM($AT131,$AA131:AE131)-SUM($AV$5:BA$5)*$J131-SUM($AV$6:BA$6)*$K131</f>
        <v>-480</v>
      </c>
      <c r="BB131" s="1">
        <f>SUM($AT131,$AA131:AF131)-SUM($AV$5:BB$5)*$J131-SUM($AV$6:BB$6)*$K131</f>
        <v>-720</v>
      </c>
      <c r="BC131" s="1">
        <f>SUM($AT131,$AA131:AG131)-SUM($AV$5:BC$5)*$J131-SUM($AV$6:BC$6)*$K131</f>
        <v>-960</v>
      </c>
      <c r="BD131" s="1">
        <f>SUM($AT131,$AA131:AH131)-SUM($AV$5:BD$5)*$J131-SUM($AV$6:BD$6)*$K131</f>
        <v>-1200</v>
      </c>
      <c r="BE131" s="1">
        <f>SUM($AT131,$AA131:AI131)-SUM($AV$5:BE$5)*$J131-SUM($AV$6:BE$6)*$K131</f>
        <v>-1440</v>
      </c>
      <c r="BF131" s="1">
        <f>SUM($AT131,$AA131:AJ131)-SUM($AV$5:BF$5)*$J131-SUM($AV$6:BF$6)*$K131</f>
        <v>-1680</v>
      </c>
      <c r="BG131" s="1">
        <f>SUM($AT131,$AA131:AK131)-SUM($AV$5:BG$5)*$J131-SUM($AV$6:BG$6)*$K131</f>
        <v>-1920</v>
      </c>
      <c r="BH131" s="1">
        <f>SUM($AT131,$AA131:AL131)-SUM($AV$5:BH$5)*$J131-SUM($AV$6:BH$6)*$K131</f>
        <v>-2160</v>
      </c>
      <c r="BI131" s="1">
        <f>SUM($AT131,$AA131:AM131)-SUM($AV$5:BI$5)*$J131-SUM($AV$6:BI$6)*$K131</f>
        <v>-2400</v>
      </c>
      <c r="BJ131" s="1">
        <f>SUM($AT131,$AA131:AN131)-SUM($AV$5:BJ$5)*$J131-SUM($AV$6:BJ$6)*$K131</f>
        <v>-2640</v>
      </c>
      <c r="BK131" s="1">
        <f>SUM($AT131,$AA131:AO131)-SUM($AV$5:BK$5)*$J131-SUM($AV$6:BK$6)*$K131</f>
        <v>-2880</v>
      </c>
      <c r="BL131" s="1">
        <f>SUM($AT131,$AA131:AP131)-SUM($AV$5:BL$5)*$J131-SUM($AV$6:BL$6)*$K131</f>
        <v>-3120</v>
      </c>
      <c r="BM131" s="1">
        <f>SUM($AT131,$AA131:AQ131)-SUM($AV$5:BM$5)*$J131-SUM($AV$6:BM$6)*$K131</f>
        <v>-3360</v>
      </c>
      <c r="BN131" s="1">
        <f>SUM($AT131,$AA131:AR131)-SUM($AV$5:BN$5)*$J131-SUM($AV$6:BN$6)*$K131</f>
        <v>-3492</v>
      </c>
    </row>
    <row r="132" spans="1:66">
      <c r="A132" s="1">
        <v>154</v>
      </c>
      <c r="B132" s="28" t="s">
        <v>477</v>
      </c>
      <c r="C132" s="1" t="s">
        <v>40</v>
      </c>
      <c r="D132" s="2">
        <v>417983120</v>
      </c>
      <c r="E132" s="3" t="s">
        <v>478</v>
      </c>
      <c r="F132" s="1" t="s">
        <v>479</v>
      </c>
      <c r="G132" s="1" t="s">
        <v>42</v>
      </c>
      <c r="H132" s="1">
        <v>2</v>
      </c>
      <c r="I132" s="1">
        <v>41</v>
      </c>
      <c r="J132" s="1">
        <v>41</v>
      </c>
      <c r="K132" s="1">
        <v>0</v>
      </c>
      <c r="L132" s="1">
        <v>0</v>
      </c>
      <c r="M132" s="1">
        <f t="shared" si="6"/>
        <v>23862</v>
      </c>
      <c r="N132" s="1">
        <f t="shared" si="7"/>
        <v>23862</v>
      </c>
      <c r="O132" s="2" t="s">
        <v>470</v>
      </c>
      <c r="P132" s="1"/>
      <c r="Q132" s="1">
        <v>2.5000000000000001E-3</v>
      </c>
      <c r="R132" s="1" t="s">
        <v>44</v>
      </c>
      <c r="S132" s="30" t="s">
        <v>264</v>
      </c>
      <c r="T132" s="31" t="s">
        <v>304</v>
      </c>
      <c r="U132" s="1"/>
      <c r="V132" s="1">
        <v>4000</v>
      </c>
      <c r="W132" s="1" t="s">
        <v>305</v>
      </c>
      <c r="X132" s="32" t="s">
        <v>306</v>
      </c>
      <c r="Y132" s="1" t="s">
        <v>307</v>
      </c>
      <c r="Z132" s="2" t="s">
        <v>470</v>
      </c>
      <c r="AA132" s="1"/>
      <c r="AB132" s="1"/>
      <c r="AC132" s="1"/>
      <c r="AD132" s="1"/>
      <c r="AE132" s="1"/>
      <c r="AF132" s="1"/>
      <c r="AG132" s="1"/>
      <c r="AH132" s="1"/>
      <c r="AI132" s="1"/>
      <c r="AJ132" s="1"/>
      <c r="AK132" s="1"/>
      <c r="AL132" s="1"/>
      <c r="AM132" s="1"/>
      <c r="AN132" s="1"/>
      <c r="AO132" s="1"/>
      <c r="AP132" s="1"/>
      <c r="AQ132" s="1"/>
      <c r="AR132" s="1"/>
      <c r="AS132" s="1"/>
      <c r="AT132" s="1"/>
      <c r="AU132" s="1"/>
      <c r="AV132" s="1">
        <f>SUM($AT132,Z132:$AA132)-SUM($AV$5:AV$5)*$J132-SUM($AV$6:AV$6)*$K132</f>
        <v>0</v>
      </c>
      <c r="AW132" s="1">
        <f>SUM($AT132,$AA132:AA132)-SUM($AV$5:AW$5)*$J132-SUM($AV$6:AW$6)*$K132</f>
        <v>0</v>
      </c>
      <c r="AX132" s="1">
        <f>SUM($AT132,$AA132:AB132)-SUM($AV$5:AX$5)*$J132-SUM($AV$6:AX$6)*$K132</f>
        <v>0</v>
      </c>
      <c r="AY132" s="1">
        <f>SUM($AT132,$AA132:AC132)-SUM($AV$5:AY$5)*$J132-SUM($AV$6:AY$6)*$K132</f>
        <v>0</v>
      </c>
      <c r="AZ132" s="1">
        <f>SUM($AT132,$AA132:AD132)-SUM($AV$5:AZ$5)*$J132-SUM($AV$6:AZ$6)*$K132</f>
        <v>-1640</v>
      </c>
      <c r="BA132" s="1">
        <f>SUM($AT132,$AA132:AE132)-SUM($AV$5:BA$5)*$J132-SUM($AV$6:BA$6)*$K132</f>
        <v>-3280</v>
      </c>
      <c r="BB132" s="1">
        <f>SUM($AT132,$AA132:AF132)-SUM($AV$5:BB$5)*$J132-SUM($AV$6:BB$6)*$K132</f>
        <v>-4920</v>
      </c>
      <c r="BC132" s="1">
        <f>SUM($AT132,$AA132:AG132)-SUM($AV$5:BC$5)*$J132-SUM($AV$6:BC$6)*$K132</f>
        <v>-6560</v>
      </c>
      <c r="BD132" s="1">
        <f>SUM($AT132,$AA132:AH132)-SUM($AV$5:BD$5)*$J132-SUM($AV$6:BD$6)*$K132</f>
        <v>-8200</v>
      </c>
      <c r="BE132" s="1">
        <f>SUM($AT132,$AA132:AI132)-SUM($AV$5:BE$5)*$J132-SUM($AV$6:BE$6)*$K132</f>
        <v>-9840</v>
      </c>
      <c r="BF132" s="1">
        <f>SUM($AT132,$AA132:AJ132)-SUM($AV$5:BF$5)*$J132-SUM($AV$6:BF$6)*$K132</f>
        <v>-11480</v>
      </c>
      <c r="BG132" s="1">
        <f>SUM($AT132,$AA132:AK132)-SUM($AV$5:BG$5)*$J132-SUM($AV$6:BG$6)*$K132</f>
        <v>-13120</v>
      </c>
      <c r="BH132" s="1">
        <f>SUM($AT132,$AA132:AL132)-SUM($AV$5:BH$5)*$J132-SUM($AV$6:BH$6)*$K132</f>
        <v>-14760</v>
      </c>
      <c r="BI132" s="1">
        <f>SUM($AT132,$AA132:AM132)-SUM($AV$5:BI$5)*$J132-SUM($AV$6:BI$6)*$K132</f>
        <v>-16400</v>
      </c>
      <c r="BJ132" s="1">
        <f>SUM($AT132,$AA132:AN132)-SUM($AV$5:BJ$5)*$J132-SUM($AV$6:BJ$6)*$K132</f>
        <v>-18040</v>
      </c>
      <c r="BK132" s="1">
        <f>SUM($AT132,$AA132:AO132)-SUM($AV$5:BK$5)*$J132-SUM($AV$6:BK$6)*$K132</f>
        <v>-19680</v>
      </c>
      <c r="BL132" s="1">
        <f>SUM($AT132,$AA132:AP132)-SUM($AV$5:BL$5)*$J132-SUM($AV$6:BL$6)*$K132</f>
        <v>-21320</v>
      </c>
      <c r="BM132" s="1">
        <f>SUM($AT132,$AA132:AQ132)-SUM($AV$5:BM$5)*$J132-SUM($AV$6:BM$6)*$K132</f>
        <v>-22960</v>
      </c>
      <c r="BN132" s="1">
        <f>SUM($AT132,$AA132:AR132)-SUM($AV$5:BN$5)*$J132-SUM($AV$6:BN$6)*$K132</f>
        <v>-23862</v>
      </c>
    </row>
    <row r="133" spans="1:66">
      <c r="A133" s="1">
        <v>137</v>
      </c>
      <c r="B133" s="28" t="s">
        <v>480</v>
      </c>
      <c r="C133" s="1" t="s">
        <v>40</v>
      </c>
      <c r="D133" s="2">
        <v>400382484</v>
      </c>
      <c r="E133" s="3" t="s">
        <v>481</v>
      </c>
      <c r="F133" s="1"/>
      <c r="G133" s="1" t="s">
        <v>42</v>
      </c>
      <c r="H133" s="1">
        <v>2</v>
      </c>
      <c r="I133" s="1">
        <v>42</v>
      </c>
      <c r="J133" s="1">
        <v>0</v>
      </c>
      <c r="K133" s="1">
        <v>0</v>
      </c>
      <c r="L133" s="1">
        <v>42</v>
      </c>
      <c r="M133" s="1">
        <f t="shared" si="6"/>
        <v>11592</v>
      </c>
      <c r="N133" s="1">
        <f t="shared" si="7"/>
        <v>11592</v>
      </c>
      <c r="O133" s="2" t="s">
        <v>401</v>
      </c>
      <c r="P133" s="1"/>
      <c r="Q133" s="1">
        <v>3.5000000000000003E-2</v>
      </c>
      <c r="R133" s="1" t="s">
        <v>44</v>
      </c>
      <c r="S133" s="30" t="s">
        <v>96</v>
      </c>
      <c r="T133" s="31" t="s">
        <v>402</v>
      </c>
      <c r="U133" s="1">
        <v>8000</v>
      </c>
      <c r="V133" s="1">
        <v>4000</v>
      </c>
      <c r="W133" s="1" t="s">
        <v>403</v>
      </c>
      <c r="X133" s="33" t="s">
        <v>404</v>
      </c>
      <c r="Y133" s="1" t="s">
        <v>405</v>
      </c>
      <c r="Z133" s="2" t="s">
        <v>401</v>
      </c>
      <c r="AA133" s="1"/>
      <c r="AB133" s="1"/>
      <c r="AC133" s="1"/>
      <c r="AD133" s="1"/>
      <c r="AE133" s="1"/>
      <c r="AF133" s="1"/>
      <c r="AG133" s="1"/>
      <c r="AH133" s="1"/>
      <c r="AI133" s="1"/>
      <c r="AJ133" s="1"/>
      <c r="AK133" s="1"/>
      <c r="AL133" s="1"/>
      <c r="AM133" s="1"/>
      <c r="AN133" s="1"/>
      <c r="AO133" s="1"/>
      <c r="AP133" s="1"/>
      <c r="AQ133" s="1"/>
      <c r="AR133" s="1"/>
      <c r="AS133" s="1"/>
      <c r="AT133" s="1"/>
      <c r="AU133" s="1"/>
      <c r="AV133" s="1">
        <f>SUM($AT133,Z133:$AA133)-SUM($AV$5:AV$5)*$J133-SUM($AV$6:AV$6)*$K133</f>
        <v>0</v>
      </c>
      <c r="AW133" s="1">
        <f>SUM($AT133,$AA133:AA133)-SUM($AV$5:AW$5)*$J133-SUM($AV$6:AW$6)*$K133</f>
        <v>0</v>
      </c>
      <c r="AX133" s="1">
        <f>SUM($AT133,$AA133:AB133)-SUM($AV$5:AX$5)*$J133-SUM($AV$6:AX$6)*$K133</f>
        <v>0</v>
      </c>
      <c r="AY133" s="1">
        <f>SUM($AT133,$AA133:AC133)-SUM($AV$5:AY$5)*$J133-SUM($AV$6:AY$6)*$K133</f>
        <v>0</v>
      </c>
      <c r="AZ133" s="1">
        <f>SUM($AT133,$AA133:AD133)-SUM($AV$5:AZ$5)*$J133-SUM($AV$6:AZ$6)*$K133</f>
        <v>0</v>
      </c>
      <c r="BA133" s="1">
        <f>SUM($AT133,$AA133:AE133)-SUM($AV$5:BA$5)*$J133-SUM($AV$6:BA$6)*$K133</f>
        <v>0</v>
      </c>
      <c r="BB133" s="1">
        <f>SUM($AT133,$AA133:AF133)-SUM($AV$5:BB$5)*$J133-SUM($AV$6:BB$6)*$K133</f>
        <v>0</v>
      </c>
      <c r="BC133" s="1">
        <f>SUM($AT133,$AA133:AG133)-SUM($AV$5:BC$5)*$J133-SUM($AV$6:BC$6)*$K133</f>
        <v>0</v>
      </c>
      <c r="BD133" s="1">
        <f>SUM($AT133,$AA133:AH133)-SUM($AV$5:BD$5)*$J133-SUM($AV$6:BD$6)*$K133</f>
        <v>0</v>
      </c>
      <c r="BE133" s="1">
        <f>SUM($AT133,$AA133:AI133)-SUM($AV$5:BE$5)*$J133-SUM($AV$6:BE$6)*$K133</f>
        <v>0</v>
      </c>
      <c r="BF133" s="1">
        <f>SUM($AT133,$AA133:AJ133)-SUM($AV$5:BF$5)*$J133-SUM($AV$6:BF$6)*$K133</f>
        <v>0</v>
      </c>
      <c r="BG133" s="1">
        <f>SUM($AT133,$AA133:AK133)-SUM($AV$5:BG$5)*$J133-SUM($AV$6:BG$6)*$K133</f>
        <v>0</v>
      </c>
      <c r="BH133" s="1">
        <f>SUM($AT133,$AA133:AL133)-SUM($AV$5:BH$5)*$J133-SUM($AV$6:BH$6)*$K133</f>
        <v>0</v>
      </c>
      <c r="BI133" s="1">
        <f>SUM($AT133,$AA133:AM133)-SUM($AV$5:BI$5)*$J133-SUM($AV$6:BI$6)*$K133</f>
        <v>0</v>
      </c>
      <c r="BJ133" s="1">
        <f>SUM($AT133,$AA133:AN133)-SUM($AV$5:BJ$5)*$J133-SUM($AV$6:BJ$6)*$K133</f>
        <v>0</v>
      </c>
      <c r="BK133" s="1">
        <f>SUM($AT133,$AA133:AO133)-SUM($AV$5:BK$5)*$J133-SUM($AV$6:BK$6)*$K133</f>
        <v>0</v>
      </c>
      <c r="BL133" s="1">
        <f>SUM($AT133,$AA133:AP133)-SUM($AV$5:BL$5)*$J133-SUM($AV$6:BL$6)*$K133</f>
        <v>0</v>
      </c>
      <c r="BM133" s="1">
        <f>SUM($AT133,$AA133:AQ133)-SUM($AV$5:BM$5)*$J133-SUM($AV$6:BM$6)*$K133</f>
        <v>0</v>
      </c>
      <c r="BN133" s="1">
        <f>SUM($AT133,$AA133:AR133)-SUM($AV$5:BN$5)*$J133-SUM($AV$6:BN$6)*$K133</f>
        <v>0</v>
      </c>
    </row>
    <row r="134" spans="1:66">
      <c r="A134" s="1">
        <v>138</v>
      </c>
      <c r="B134" s="28" t="s">
        <v>482</v>
      </c>
      <c r="C134" s="1" t="s">
        <v>40</v>
      </c>
      <c r="D134" s="2">
        <v>400690718</v>
      </c>
      <c r="E134" s="3" t="s">
        <v>466</v>
      </c>
      <c r="F134" s="1">
        <v>400481301</v>
      </c>
      <c r="G134" s="1" t="s">
        <v>42</v>
      </c>
      <c r="H134" s="1">
        <v>2</v>
      </c>
      <c r="I134" s="1">
        <v>13</v>
      </c>
      <c r="J134" s="1">
        <v>0</v>
      </c>
      <c r="K134" s="1">
        <v>0</v>
      </c>
      <c r="L134" s="1">
        <v>13</v>
      </c>
      <c r="M134" s="1">
        <f t="shared" si="6"/>
        <v>3588</v>
      </c>
      <c r="N134" s="1">
        <f t="shared" si="7"/>
        <v>3588</v>
      </c>
      <c r="O134" s="2" t="s">
        <v>401</v>
      </c>
      <c r="P134" s="1"/>
      <c r="Q134" s="1">
        <v>0.57999999999999996</v>
      </c>
      <c r="R134" s="1" t="s">
        <v>44</v>
      </c>
      <c r="S134" s="30" t="s">
        <v>96</v>
      </c>
      <c r="T134" s="31" t="s">
        <v>402</v>
      </c>
      <c r="U134" s="1">
        <v>2500</v>
      </c>
      <c r="V134" s="1">
        <v>2500</v>
      </c>
      <c r="W134" s="1" t="s">
        <v>403</v>
      </c>
      <c r="X134" s="33" t="s">
        <v>404</v>
      </c>
      <c r="Y134" s="1" t="s">
        <v>405</v>
      </c>
      <c r="Z134" s="2" t="s">
        <v>401</v>
      </c>
      <c r="AA134" s="1"/>
      <c r="AB134" s="1"/>
      <c r="AC134" s="1"/>
      <c r="AD134" s="1"/>
      <c r="AE134" s="1"/>
      <c r="AF134" s="1"/>
      <c r="AG134" s="1"/>
      <c r="AH134" s="1"/>
      <c r="AI134" s="1"/>
      <c r="AJ134" s="1"/>
      <c r="AK134" s="1"/>
      <c r="AL134" s="1"/>
      <c r="AM134" s="1"/>
      <c r="AN134" s="1"/>
      <c r="AO134" s="1"/>
      <c r="AP134" s="1"/>
      <c r="AQ134" s="1"/>
      <c r="AR134" s="1"/>
      <c r="AS134" s="1"/>
      <c r="AT134" s="1"/>
      <c r="AU134" s="1"/>
      <c r="AV134" s="1">
        <f>SUM($AT134,Z134:$AA134)-SUM($AV$5:AV$5)*$J134-SUM($AV$6:AV$6)*$K134</f>
        <v>0</v>
      </c>
      <c r="AW134" s="1">
        <f>SUM($AT134,$AA134:AA134)-SUM($AV$5:AW$5)*$J134-SUM($AV$6:AW$6)*$K134</f>
        <v>0</v>
      </c>
      <c r="AX134" s="1">
        <f>SUM($AT134,$AA134:AB134)-SUM($AV$5:AX$5)*$J134-SUM($AV$6:AX$6)*$K134</f>
        <v>0</v>
      </c>
      <c r="AY134" s="1">
        <f>SUM($AT134,$AA134:AC134)-SUM($AV$5:AY$5)*$J134-SUM($AV$6:AY$6)*$K134</f>
        <v>0</v>
      </c>
      <c r="AZ134" s="1">
        <f>SUM($AT134,$AA134:AD134)-SUM($AV$5:AZ$5)*$J134-SUM($AV$6:AZ$6)*$K134</f>
        <v>0</v>
      </c>
      <c r="BA134" s="1">
        <f>SUM($AT134,$AA134:AE134)-SUM($AV$5:BA$5)*$J134-SUM($AV$6:BA$6)*$K134</f>
        <v>0</v>
      </c>
      <c r="BB134" s="1">
        <f>SUM($AT134,$AA134:AF134)-SUM($AV$5:BB$5)*$J134-SUM($AV$6:BB$6)*$K134</f>
        <v>0</v>
      </c>
      <c r="BC134" s="1">
        <f>SUM($AT134,$AA134:AG134)-SUM($AV$5:BC$5)*$J134-SUM($AV$6:BC$6)*$K134</f>
        <v>0</v>
      </c>
      <c r="BD134" s="1">
        <f>SUM($AT134,$AA134:AH134)-SUM($AV$5:BD$5)*$J134-SUM($AV$6:BD$6)*$K134</f>
        <v>0</v>
      </c>
      <c r="BE134" s="1">
        <f>SUM($AT134,$AA134:AI134)-SUM($AV$5:BE$5)*$J134-SUM($AV$6:BE$6)*$K134</f>
        <v>0</v>
      </c>
      <c r="BF134" s="1">
        <f>SUM($AT134,$AA134:AJ134)-SUM($AV$5:BF$5)*$J134-SUM($AV$6:BF$6)*$K134</f>
        <v>0</v>
      </c>
      <c r="BG134" s="1">
        <f>SUM($AT134,$AA134:AK134)-SUM($AV$5:BG$5)*$J134-SUM($AV$6:BG$6)*$K134</f>
        <v>0</v>
      </c>
      <c r="BH134" s="1">
        <f>SUM($AT134,$AA134:AL134)-SUM($AV$5:BH$5)*$J134-SUM($AV$6:BH$6)*$K134</f>
        <v>0</v>
      </c>
      <c r="BI134" s="1">
        <f>SUM($AT134,$AA134:AM134)-SUM($AV$5:BI$5)*$J134-SUM($AV$6:BI$6)*$K134</f>
        <v>0</v>
      </c>
      <c r="BJ134" s="1">
        <f>SUM($AT134,$AA134:AN134)-SUM($AV$5:BJ$5)*$J134-SUM($AV$6:BJ$6)*$K134</f>
        <v>0</v>
      </c>
      <c r="BK134" s="1">
        <f>SUM($AT134,$AA134:AO134)-SUM($AV$5:BK$5)*$J134-SUM($AV$6:BK$6)*$K134</f>
        <v>0</v>
      </c>
      <c r="BL134" s="1">
        <f>SUM($AT134,$AA134:AP134)-SUM($AV$5:BL$5)*$J134-SUM($AV$6:BL$6)*$K134</f>
        <v>0</v>
      </c>
      <c r="BM134" s="1">
        <f>SUM($AT134,$AA134:AQ134)-SUM($AV$5:BM$5)*$J134-SUM($AV$6:BM$6)*$K134</f>
        <v>0</v>
      </c>
      <c r="BN134" s="1">
        <f>SUM($AT134,$AA134:AR134)-SUM($AV$5:BN$5)*$J134-SUM($AV$6:BN$6)*$K134</f>
        <v>0</v>
      </c>
    </row>
    <row r="135" spans="1:66">
      <c r="A135" s="1">
        <v>155</v>
      </c>
      <c r="B135" s="28" t="s">
        <v>483</v>
      </c>
      <c r="C135" s="1" t="s">
        <v>40</v>
      </c>
      <c r="D135" s="2">
        <v>417350122</v>
      </c>
      <c r="E135" s="3" t="s">
        <v>484</v>
      </c>
      <c r="F135" s="1">
        <v>400326643</v>
      </c>
      <c r="G135" s="1" t="s">
        <v>42</v>
      </c>
      <c r="H135" s="1">
        <v>2</v>
      </c>
      <c r="I135" s="1">
        <v>188</v>
      </c>
      <c r="J135" s="1">
        <v>188</v>
      </c>
      <c r="K135" s="1">
        <v>0</v>
      </c>
      <c r="L135" s="1">
        <v>0</v>
      </c>
      <c r="M135" s="1">
        <f t="shared" si="6"/>
        <v>109416</v>
      </c>
      <c r="N135" s="1">
        <f t="shared" si="7"/>
        <v>109416</v>
      </c>
      <c r="O135" s="2" t="s">
        <v>470</v>
      </c>
      <c r="P135" s="1"/>
      <c r="Q135" s="1">
        <v>5.0000000000000001E-3</v>
      </c>
      <c r="R135" s="1" t="s">
        <v>44</v>
      </c>
      <c r="S135" s="30" t="s">
        <v>264</v>
      </c>
      <c r="T135" s="31" t="s">
        <v>304</v>
      </c>
      <c r="U135" s="1">
        <v>4000</v>
      </c>
      <c r="V135" s="1">
        <v>4000</v>
      </c>
      <c r="W135" s="1" t="s">
        <v>305</v>
      </c>
      <c r="X135" s="32" t="s">
        <v>306</v>
      </c>
      <c r="Y135" s="1" t="s">
        <v>307</v>
      </c>
      <c r="Z135" s="2" t="s">
        <v>470</v>
      </c>
      <c r="AA135" s="1"/>
      <c r="AB135" s="1"/>
      <c r="AC135" s="1"/>
      <c r="AD135" s="1"/>
      <c r="AE135" s="1"/>
      <c r="AF135" s="1"/>
      <c r="AG135" s="1"/>
      <c r="AH135" s="1"/>
      <c r="AI135" s="1"/>
      <c r="AJ135" s="1"/>
      <c r="AK135" s="1"/>
      <c r="AL135" s="1"/>
      <c r="AM135" s="1"/>
      <c r="AN135" s="1"/>
      <c r="AO135" s="1"/>
      <c r="AP135" s="1"/>
      <c r="AQ135" s="1"/>
      <c r="AR135" s="1"/>
      <c r="AS135" s="1"/>
      <c r="AT135" s="1"/>
      <c r="AU135" s="1"/>
      <c r="AV135" s="1">
        <f>SUM($AT135,Z135:$AA135)-SUM($AV$5:AV$5)*$J135-SUM($AV$6:AV$6)*$K135</f>
        <v>0</v>
      </c>
      <c r="AW135" s="1">
        <f>SUM($AT135,$AA135:AA135)-SUM($AV$5:AW$5)*$J135-SUM($AV$6:AW$6)*$K135</f>
        <v>0</v>
      </c>
      <c r="AX135" s="1">
        <f>SUM($AT135,$AA135:AB135)-SUM($AV$5:AX$5)*$J135-SUM($AV$6:AX$6)*$K135</f>
        <v>0</v>
      </c>
      <c r="AY135" s="1">
        <f>SUM($AT135,$AA135:AC135)-SUM($AV$5:AY$5)*$J135-SUM($AV$6:AY$6)*$K135</f>
        <v>0</v>
      </c>
      <c r="AZ135" s="1">
        <f>SUM($AT135,$AA135:AD135)-SUM($AV$5:AZ$5)*$J135-SUM($AV$6:AZ$6)*$K135</f>
        <v>-7520</v>
      </c>
      <c r="BA135" s="1">
        <f>SUM($AT135,$AA135:AE135)-SUM($AV$5:BA$5)*$J135-SUM($AV$6:BA$6)*$K135</f>
        <v>-15040</v>
      </c>
      <c r="BB135" s="1">
        <f>SUM($AT135,$AA135:AF135)-SUM($AV$5:BB$5)*$J135-SUM($AV$6:BB$6)*$K135</f>
        <v>-22560</v>
      </c>
      <c r="BC135" s="1">
        <f>SUM($AT135,$AA135:AG135)-SUM($AV$5:BC$5)*$J135-SUM($AV$6:BC$6)*$K135</f>
        <v>-30080</v>
      </c>
      <c r="BD135" s="1">
        <f>SUM($AT135,$AA135:AH135)-SUM($AV$5:BD$5)*$J135-SUM($AV$6:BD$6)*$K135</f>
        <v>-37600</v>
      </c>
      <c r="BE135" s="1">
        <f>SUM($AT135,$AA135:AI135)-SUM($AV$5:BE$5)*$J135-SUM($AV$6:BE$6)*$K135</f>
        <v>-45120</v>
      </c>
      <c r="BF135" s="1">
        <f>SUM($AT135,$AA135:AJ135)-SUM($AV$5:BF$5)*$J135-SUM($AV$6:BF$6)*$K135</f>
        <v>-52640</v>
      </c>
      <c r="BG135" s="1">
        <f>SUM($AT135,$AA135:AK135)-SUM($AV$5:BG$5)*$J135-SUM($AV$6:BG$6)*$K135</f>
        <v>-60160</v>
      </c>
      <c r="BH135" s="1">
        <f>SUM($AT135,$AA135:AL135)-SUM($AV$5:BH$5)*$J135-SUM($AV$6:BH$6)*$K135</f>
        <v>-67680</v>
      </c>
      <c r="BI135" s="1">
        <f>SUM($AT135,$AA135:AM135)-SUM($AV$5:BI$5)*$J135-SUM($AV$6:BI$6)*$K135</f>
        <v>-75200</v>
      </c>
      <c r="BJ135" s="1">
        <f>SUM($AT135,$AA135:AN135)-SUM($AV$5:BJ$5)*$J135-SUM($AV$6:BJ$6)*$K135</f>
        <v>-82720</v>
      </c>
      <c r="BK135" s="1">
        <f>SUM($AT135,$AA135:AO135)-SUM($AV$5:BK$5)*$J135-SUM($AV$6:BK$6)*$K135</f>
        <v>-90240</v>
      </c>
      <c r="BL135" s="1">
        <f>SUM($AT135,$AA135:AP135)-SUM($AV$5:BL$5)*$J135-SUM($AV$6:BL$6)*$K135</f>
        <v>-97760</v>
      </c>
      <c r="BM135" s="1">
        <f>SUM($AT135,$AA135:AQ135)-SUM($AV$5:BM$5)*$J135-SUM($AV$6:BM$6)*$K135</f>
        <v>-105280</v>
      </c>
      <c r="BN135" s="1">
        <f>SUM($AT135,$AA135:AR135)-SUM($AV$5:BN$5)*$J135-SUM($AV$6:BN$6)*$K135</f>
        <v>-109416</v>
      </c>
    </row>
    <row r="136" spans="1:66">
      <c r="A136" s="1">
        <v>156</v>
      </c>
      <c r="B136" s="28" t="s">
        <v>485</v>
      </c>
      <c r="C136" s="1" t="s">
        <v>40</v>
      </c>
      <c r="D136" s="2">
        <v>417983130</v>
      </c>
      <c r="E136" s="3" t="s">
        <v>486</v>
      </c>
      <c r="F136" s="1">
        <v>400326626</v>
      </c>
      <c r="G136" s="1" t="s">
        <v>42</v>
      </c>
      <c r="H136" s="1">
        <v>2</v>
      </c>
      <c r="I136" s="1">
        <v>1</v>
      </c>
      <c r="J136" s="1">
        <v>1</v>
      </c>
      <c r="K136" s="1">
        <v>0</v>
      </c>
      <c r="L136" s="1">
        <v>0</v>
      </c>
      <c r="M136" s="1">
        <f t="shared" si="6"/>
        <v>582</v>
      </c>
      <c r="N136" s="1">
        <f t="shared" si="7"/>
        <v>582</v>
      </c>
      <c r="O136" s="2" t="s">
        <v>470</v>
      </c>
      <c r="P136" s="1"/>
      <c r="Q136" s="1">
        <v>4.4999999999999997E-3</v>
      </c>
      <c r="R136" s="1" t="s">
        <v>44</v>
      </c>
      <c r="S136" s="30" t="s">
        <v>8</v>
      </c>
      <c r="T136" s="31" t="s">
        <v>304</v>
      </c>
      <c r="U136" s="1"/>
      <c r="V136" s="1">
        <v>10000</v>
      </c>
      <c r="W136" s="1" t="s">
        <v>305</v>
      </c>
      <c r="X136" s="32" t="s">
        <v>306</v>
      </c>
      <c r="Y136" s="1" t="s">
        <v>307</v>
      </c>
      <c r="Z136" s="2" t="s">
        <v>470</v>
      </c>
      <c r="AA136" s="1"/>
      <c r="AB136" s="1"/>
      <c r="AC136" s="1"/>
      <c r="AD136" s="1"/>
      <c r="AE136" s="1"/>
      <c r="AF136" s="1"/>
      <c r="AG136" s="1"/>
      <c r="AH136" s="1"/>
      <c r="AI136" s="1"/>
      <c r="AJ136" s="1"/>
      <c r="AK136" s="1"/>
      <c r="AL136" s="1"/>
      <c r="AM136" s="1"/>
      <c r="AN136" s="1"/>
      <c r="AO136" s="1"/>
      <c r="AP136" s="1"/>
      <c r="AQ136" s="1"/>
      <c r="AR136" s="1"/>
      <c r="AS136" s="1"/>
      <c r="AT136" s="1"/>
      <c r="AU136" s="1"/>
      <c r="AV136" s="1">
        <f>SUM($AT136,Z136:$AA136)-SUM($AV$5:AV$5)*$J136-SUM($AV$6:AV$6)*$K136</f>
        <v>0</v>
      </c>
      <c r="AW136" s="1">
        <f>SUM($AT136,$AA136:AA136)-SUM($AV$5:AW$5)*$J136-SUM($AV$6:AW$6)*$K136</f>
        <v>0</v>
      </c>
      <c r="AX136" s="1">
        <f>SUM($AT136,$AA136:AB136)-SUM($AV$5:AX$5)*$J136-SUM($AV$6:AX$6)*$K136</f>
        <v>0</v>
      </c>
      <c r="AY136" s="1">
        <f>SUM($AT136,$AA136:AC136)-SUM($AV$5:AY$5)*$J136-SUM($AV$6:AY$6)*$K136</f>
        <v>0</v>
      </c>
      <c r="AZ136" s="1">
        <f>SUM($AT136,$AA136:AD136)-SUM($AV$5:AZ$5)*$J136-SUM($AV$6:AZ$6)*$K136</f>
        <v>-40</v>
      </c>
      <c r="BA136" s="1">
        <f>SUM($AT136,$AA136:AE136)-SUM($AV$5:BA$5)*$J136-SUM($AV$6:BA$6)*$K136</f>
        <v>-80</v>
      </c>
      <c r="BB136" s="1">
        <f>SUM($AT136,$AA136:AF136)-SUM($AV$5:BB$5)*$J136-SUM($AV$6:BB$6)*$K136</f>
        <v>-120</v>
      </c>
      <c r="BC136" s="1">
        <f>SUM($AT136,$AA136:AG136)-SUM($AV$5:BC$5)*$J136-SUM($AV$6:BC$6)*$K136</f>
        <v>-160</v>
      </c>
      <c r="BD136" s="1">
        <f>SUM($AT136,$AA136:AH136)-SUM($AV$5:BD$5)*$J136-SUM($AV$6:BD$6)*$K136</f>
        <v>-200</v>
      </c>
      <c r="BE136" s="1">
        <f>SUM($AT136,$AA136:AI136)-SUM($AV$5:BE$5)*$J136-SUM($AV$6:BE$6)*$K136</f>
        <v>-240</v>
      </c>
      <c r="BF136" s="1">
        <f>SUM($AT136,$AA136:AJ136)-SUM($AV$5:BF$5)*$J136-SUM($AV$6:BF$6)*$K136</f>
        <v>-280</v>
      </c>
      <c r="BG136" s="1">
        <f>SUM($AT136,$AA136:AK136)-SUM($AV$5:BG$5)*$J136-SUM($AV$6:BG$6)*$K136</f>
        <v>-320</v>
      </c>
      <c r="BH136" s="1">
        <f>SUM($AT136,$AA136:AL136)-SUM($AV$5:BH$5)*$J136-SUM($AV$6:BH$6)*$K136</f>
        <v>-360</v>
      </c>
      <c r="BI136" s="1">
        <f>SUM($AT136,$AA136:AM136)-SUM($AV$5:BI$5)*$J136-SUM($AV$6:BI$6)*$K136</f>
        <v>-400</v>
      </c>
      <c r="BJ136" s="1">
        <f>SUM($AT136,$AA136:AN136)-SUM($AV$5:BJ$5)*$J136-SUM($AV$6:BJ$6)*$K136</f>
        <v>-440</v>
      </c>
      <c r="BK136" s="1">
        <f>SUM($AT136,$AA136:AO136)-SUM($AV$5:BK$5)*$J136-SUM($AV$6:BK$6)*$K136</f>
        <v>-480</v>
      </c>
      <c r="BL136" s="1">
        <f>SUM($AT136,$AA136:AP136)-SUM($AV$5:BL$5)*$J136-SUM($AV$6:BL$6)*$K136</f>
        <v>-520</v>
      </c>
      <c r="BM136" s="1">
        <f>SUM($AT136,$AA136:AQ136)-SUM($AV$5:BM$5)*$J136-SUM($AV$6:BM$6)*$K136</f>
        <v>-560</v>
      </c>
      <c r="BN136" s="1">
        <f>SUM($AT136,$AA136:AR136)-SUM($AV$5:BN$5)*$J136-SUM($AV$6:BN$6)*$K136</f>
        <v>-582</v>
      </c>
    </row>
    <row r="137" spans="1:66">
      <c r="A137" s="1">
        <v>158</v>
      </c>
      <c r="B137" s="28" t="s">
        <v>487</v>
      </c>
      <c r="C137" s="1" t="s">
        <v>40</v>
      </c>
      <c r="D137" s="2">
        <v>417983122</v>
      </c>
      <c r="E137" s="3" t="s">
        <v>488</v>
      </c>
      <c r="F137" s="1">
        <v>400326586</v>
      </c>
      <c r="G137" s="1" t="s">
        <v>42</v>
      </c>
      <c r="H137" s="1">
        <v>2</v>
      </c>
      <c r="I137" s="1">
        <v>4</v>
      </c>
      <c r="J137" s="1">
        <v>4</v>
      </c>
      <c r="K137" s="1">
        <v>0</v>
      </c>
      <c r="L137" s="1">
        <v>0</v>
      </c>
      <c r="M137" s="1">
        <f t="shared" si="6"/>
        <v>2328</v>
      </c>
      <c r="N137" s="1">
        <f t="shared" si="7"/>
        <v>2328</v>
      </c>
      <c r="O137" s="2" t="s">
        <v>470</v>
      </c>
      <c r="P137" s="1"/>
      <c r="Q137" s="1">
        <v>8.0000000000000002E-3</v>
      </c>
      <c r="R137" s="1" t="s">
        <v>44</v>
      </c>
      <c r="S137" s="30" t="s">
        <v>264</v>
      </c>
      <c r="T137" s="31" t="s">
        <v>304</v>
      </c>
      <c r="U137" s="1"/>
      <c r="V137" s="1">
        <v>4000</v>
      </c>
      <c r="W137" s="1" t="s">
        <v>305</v>
      </c>
      <c r="X137" s="32" t="s">
        <v>306</v>
      </c>
      <c r="Y137" s="1" t="s">
        <v>307</v>
      </c>
      <c r="Z137" s="2" t="s">
        <v>470</v>
      </c>
      <c r="AA137" s="1"/>
      <c r="AB137" s="1"/>
      <c r="AC137" s="1"/>
      <c r="AD137" s="1"/>
      <c r="AE137" s="1"/>
      <c r="AF137" s="1"/>
      <c r="AG137" s="1"/>
      <c r="AH137" s="1"/>
      <c r="AI137" s="1"/>
      <c r="AJ137" s="1"/>
      <c r="AK137" s="1"/>
      <c r="AL137" s="1"/>
      <c r="AM137" s="1"/>
      <c r="AN137" s="1"/>
      <c r="AO137" s="1"/>
      <c r="AP137" s="1"/>
      <c r="AQ137" s="1"/>
      <c r="AR137" s="1"/>
      <c r="AS137" s="1"/>
      <c r="AT137" s="1"/>
      <c r="AU137" s="1"/>
      <c r="AV137" s="1">
        <f>SUM($AT137,Z137:$AA137)-SUM($AV$5:AV$5)*$J137-SUM($AV$6:AV$6)*$K137</f>
        <v>0</v>
      </c>
      <c r="AW137" s="1">
        <f>SUM($AT137,$AA137:AA137)-SUM($AV$5:AW$5)*$J137-SUM($AV$6:AW$6)*$K137</f>
        <v>0</v>
      </c>
      <c r="AX137" s="1">
        <f>SUM($AT137,$AA137:AB137)-SUM($AV$5:AX$5)*$J137-SUM($AV$6:AX$6)*$K137</f>
        <v>0</v>
      </c>
      <c r="AY137" s="1">
        <f>SUM($AT137,$AA137:AC137)-SUM($AV$5:AY$5)*$J137-SUM($AV$6:AY$6)*$K137</f>
        <v>0</v>
      </c>
      <c r="AZ137" s="1">
        <f>SUM($AT137,$AA137:AD137)-SUM($AV$5:AZ$5)*$J137-SUM($AV$6:AZ$6)*$K137</f>
        <v>-160</v>
      </c>
      <c r="BA137" s="1">
        <f>SUM($AT137,$AA137:AE137)-SUM($AV$5:BA$5)*$J137-SUM($AV$6:BA$6)*$K137</f>
        <v>-320</v>
      </c>
      <c r="BB137" s="1">
        <f>SUM($AT137,$AA137:AF137)-SUM($AV$5:BB$5)*$J137-SUM($AV$6:BB$6)*$K137</f>
        <v>-480</v>
      </c>
      <c r="BC137" s="1">
        <f>SUM($AT137,$AA137:AG137)-SUM($AV$5:BC$5)*$J137-SUM($AV$6:BC$6)*$K137</f>
        <v>-640</v>
      </c>
      <c r="BD137" s="1">
        <f>SUM($AT137,$AA137:AH137)-SUM($AV$5:BD$5)*$J137-SUM($AV$6:BD$6)*$K137</f>
        <v>-800</v>
      </c>
      <c r="BE137" s="1">
        <f>SUM($AT137,$AA137:AI137)-SUM($AV$5:BE$5)*$J137-SUM($AV$6:BE$6)*$K137</f>
        <v>-960</v>
      </c>
      <c r="BF137" s="1">
        <f>SUM($AT137,$AA137:AJ137)-SUM($AV$5:BF$5)*$J137-SUM($AV$6:BF$6)*$K137</f>
        <v>-1120</v>
      </c>
      <c r="BG137" s="1">
        <f>SUM($AT137,$AA137:AK137)-SUM($AV$5:BG$5)*$J137-SUM($AV$6:BG$6)*$K137</f>
        <v>-1280</v>
      </c>
      <c r="BH137" s="1">
        <f>SUM($AT137,$AA137:AL137)-SUM($AV$5:BH$5)*$J137-SUM($AV$6:BH$6)*$K137</f>
        <v>-1440</v>
      </c>
      <c r="BI137" s="1">
        <f>SUM($AT137,$AA137:AM137)-SUM($AV$5:BI$5)*$J137-SUM($AV$6:BI$6)*$K137</f>
        <v>-1600</v>
      </c>
      <c r="BJ137" s="1">
        <f>SUM($AT137,$AA137:AN137)-SUM($AV$5:BJ$5)*$J137-SUM($AV$6:BJ$6)*$K137</f>
        <v>-1760</v>
      </c>
      <c r="BK137" s="1">
        <f>SUM($AT137,$AA137:AO137)-SUM($AV$5:BK$5)*$J137-SUM($AV$6:BK$6)*$K137</f>
        <v>-1920</v>
      </c>
      <c r="BL137" s="1">
        <f>SUM($AT137,$AA137:AP137)-SUM($AV$5:BL$5)*$J137-SUM($AV$6:BL$6)*$K137</f>
        <v>-2080</v>
      </c>
      <c r="BM137" s="1">
        <f>SUM($AT137,$AA137:AQ137)-SUM($AV$5:BM$5)*$J137-SUM($AV$6:BM$6)*$K137</f>
        <v>-2240</v>
      </c>
      <c r="BN137" s="1">
        <f>SUM($AT137,$AA137:AR137)-SUM($AV$5:BN$5)*$J137-SUM($AV$6:BN$6)*$K137</f>
        <v>-2328</v>
      </c>
    </row>
    <row r="138" spans="1:66">
      <c r="A138" s="1">
        <v>142</v>
      </c>
      <c r="B138" s="28" t="s">
        <v>489</v>
      </c>
      <c r="C138" s="1" t="s">
        <v>40</v>
      </c>
      <c r="D138" s="2">
        <v>584100838</v>
      </c>
      <c r="E138" s="3" t="s">
        <v>490</v>
      </c>
      <c r="F138" s="1"/>
      <c r="G138" s="1" t="s">
        <v>42</v>
      </c>
      <c r="H138" s="1">
        <v>2</v>
      </c>
      <c r="I138" s="1">
        <v>5</v>
      </c>
      <c r="J138" s="1">
        <v>0</v>
      </c>
      <c r="K138" s="1">
        <v>5</v>
      </c>
      <c r="L138" s="1">
        <v>0</v>
      </c>
      <c r="M138" s="1">
        <f t="shared" si="6"/>
        <v>1380</v>
      </c>
      <c r="N138" s="1">
        <f t="shared" si="7"/>
        <v>1380</v>
      </c>
      <c r="O138" s="2" t="s">
        <v>491</v>
      </c>
      <c r="P138" s="1"/>
      <c r="Q138" s="1">
        <v>1.72</v>
      </c>
      <c r="R138" s="1" t="s">
        <v>44</v>
      </c>
      <c r="S138" s="30" t="s">
        <v>492</v>
      </c>
      <c r="T138" s="12" t="s">
        <v>493</v>
      </c>
      <c r="U138" s="1">
        <v>1</v>
      </c>
      <c r="V138" s="1">
        <v>1</v>
      </c>
      <c r="W138" s="1" t="s">
        <v>494</v>
      </c>
      <c r="X138" s="33" t="s">
        <v>495</v>
      </c>
      <c r="Y138" s="1" t="s">
        <v>496</v>
      </c>
      <c r="Z138" s="2" t="s">
        <v>491</v>
      </c>
      <c r="AA138" s="1"/>
      <c r="AB138" s="1"/>
      <c r="AC138" s="1"/>
      <c r="AD138" s="1"/>
      <c r="AE138" s="1"/>
      <c r="AF138" s="1"/>
      <c r="AG138" s="1"/>
      <c r="AH138" s="1"/>
      <c r="AI138" s="1"/>
      <c r="AJ138" s="1"/>
      <c r="AK138" s="1"/>
      <c r="AL138" s="1"/>
      <c r="AM138" s="1"/>
      <c r="AN138" s="1"/>
      <c r="AO138" s="1"/>
      <c r="AP138" s="1"/>
      <c r="AQ138" s="1"/>
      <c r="AR138" s="1"/>
      <c r="AS138" s="1"/>
      <c r="AT138" s="1"/>
      <c r="AU138" s="1"/>
      <c r="AV138" s="1">
        <f>SUM($AT138,Z138:$AA138)-SUM($AV$5:AV$5)*$J138-SUM($AV$6:AV$6)*$K138</f>
        <v>0</v>
      </c>
      <c r="AW138" s="1">
        <f>SUM($AT138,$AA138:AA138)-SUM($AV$5:AW$5)*$J138-SUM($AV$6:AW$6)*$K138</f>
        <v>0</v>
      </c>
      <c r="AX138" s="1">
        <f>SUM($AT138,$AA138:AB138)-SUM($AV$5:AX$5)*$J138-SUM($AV$6:AX$6)*$K138</f>
        <v>0</v>
      </c>
      <c r="AY138" s="1">
        <f>SUM($AT138,$AA138:AC138)-SUM($AV$5:AY$5)*$J138-SUM($AV$6:AY$6)*$K138</f>
        <v>0</v>
      </c>
      <c r="AZ138" s="1">
        <f>SUM($AT138,$AA138:AD138)-SUM($AV$5:AZ$5)*$J138-SUM($AV$6:AZ$6)*$K138</f>
        <v>-50</v>
      </c>
      <c r="BA138" s="1">
        <f>SUM($AT138,$AA138:AE138)-SUM($AV$5:BA$5)*$J138-SUM($AV$6:BA$6)*$K138</f>
        <v>-150</v>
      </c>
      <c r="BB138" s="1">
        <f>SUM($AT138,$AA138:AF138)-SUM($AV$5:BB$5)*$J138-SUM($AV$6:BB$6)*$K138</f>
        <v>-600</v>
      </c>
      <c r="BC138" s="1">
        <f>SUM($AT138,$AA138:AG138)-SUM($AV$5:BC$5)*$J138-SUM($AV$6:BC$6)*$K138</f>
        <v>-1050</v>
      </c>
      <c r="BD138" s="1">
        <f>SUM($AT138,$AA138:AH138)-SUM($AV$5:BD$5)*$J138-SUM($AV$6:BD$6)*$K138</f>
        <v>-1380</v>
      </c>
      <c r="BE138" s="1">
        <f>SUM($AT138,$AA138:AI138)-SUM($AV$5:BE$5)*$J138-SUM($AV$6:BE$6)*$K138</f>
        <v>-1380</v>
      </c>
      <c r="BF138" s="1">
        <f>SUM($AT138,$AA138:AJ138)-SUM($AV$5:BF$5)*$J138-SUM($AV$6:BF$6)*$K138</f>
        <v>-1380</v>
      </c>
      <c r="BG138" s="1">
        <f>SUM($AT138,$AA138:AK138)-SUM($AV$5:BG$5)*$J138-SUM($AV$6:BG$6)*$K138</f>
        <v>-1380</v>
      </c>
      <c r="BH138" s="1">
        <f>SUM($AT138,$AA138:AL138)-SUM($AV$5:BH$5)*$J138-SUM($AV$6:BH$6)*$K138</f>
        <v>-1380</v>
      </c>
      <c r="BI138" s="1">
        <f>SUM($AT138,$AA138:AM138)-SUM($AV$5:BI$5)*$J138-SUM($AV$6:BI$6)*$K138</f>
        <v>-1380</v>
      </c>
      <c r="BJ138" s="1">
        <f>SUM($AT138,$AA138:AN138)-SUM($AV$5:BJ$5)*$J138-SUM($AV$6:BJ$6)*$K138</f>
        <v>-1380</v>
      </c>
      <c r="BK138" s="1">
        <f>SUM($AT138,$AA138:AO138)-SUM($AV$5:BK$5)*$J138-SUM($AV$6:BK$6)*$K138</f>
        <v>-1380</v>
      </c>
      <c r="BL138" s="1">
        <f>SUM($AT138,$AA138:AP138)-SUM($AV$5:BL$5)*$J138-SUM($AV$6:BL$6)*$K138</f>
        <v>-1380</v>
      </c>
      <c r="BM138" s="1">
        <f>SUM($AT138,$AA138:AQ138)-SUM($AV$5:BM$5)*$J138-SUM($AV$6:BM$6)*$K138</f>
        <v>-1380</v>
      </c>
      <c r="BN138" s="1">
        <f>SUM($AT138,$AA138:AR138)-SUM($AV$5:BN$5)*$J138-SUM($AV$6:BN$6)*$K138</f>
        <v>-1380</v>
      </c>
    </row>
    <row r="139" spans="1:66">
      <c r="A139" s="1">
        <v>159</v>
      </c>
      <c r="B139" s="28" t="s">
        <v>497</v>
      </c>
      <c r="C139" s="1" t="s">
        <v>40</v>
      </c>
      <c r="D139" s="2">
        <v>417983131</v>
      </c>
      <c r="E139" s="3" t="s">
        <v>498</v>
      </c>
      <c r="F139" s="1">
        <v>400326597</v>
      </c>
      <c r="G139" s="1" t="s">
        <v>42</v>
      </c>
      <c r="H139" s="1">
        <v>2</v>
      </c>
      <c r="I139" s="1">
        <v>2</v>
      </c>
      <c r="J139" s="1">
        <v>2</v>
      </c>
      <c r="K139" s="1">
        <v>0</v>
      </c>
      <c r="L139" s="1">
        <v>0</v>
      </c>
      <c r="M139" s="1">
        <f t="shared" si="6"/>
        <v>1164</v>
      </c>
      <c r="N139" s="1">
        <f t="shared" si="7"/>
        <v>1164</v>
      </c>
      <c r="O139" s="2" t="s">
        <v>470</v>
      </c>
      <c r="P139" s="1"/>
      <c r="Q139" s="1">
        <v>7.4999999999999997E-3</v>
      </c>
      <c r="R139" s="1" t="s">
        <v>44</v>
      </c>
      <c r="S139" s="30" t="s">
        <v>264</v>
      </c>
      <c r="T139" s="31" t="s">
        <v>304</v>
      </c>
      <c r="U139" s="1"/>
      <c r="V139" s="1">
        <v>4000</v>
      </c>
      <c r="W139" s="1" t="s">
        <v>305</v>
      </c>
      <c r="X139" s="32" t="s">
        <v>306</v>
      </c>
      <c r="Y139" s="1" t="s">
        <v>307</v>
      </c>
      <c r="Z139" s="2" t="s">
        <v>470</v>
      </c>
      <c r="AA139" s="1"/>
      <c r="AB139" s="1"/>
      <c r="AC139" s="1"/>
      <c r="AD139" s="1"/>
      <c r="AE139" s="1"/>
      <c r="AF139" s="1"/>
      <c r="AG139" s="1"/>
      <c r="AH139" s="1"/>
      <c r="AI139" s="1"/>
      <c r="AJ139" s="1"/>
      <c r="AK139" s="1"/>
      <c r="AL139" s="1"/>
      <c r="AM139" s="1"/>
      <c r="AN139" s="1"/>
      <c r="AO139" s="1"/>
      <c r="AP139" s="1"/>
      <c r="AQ139" s="1"/>
      <c r="AR139" s="1"/>
      <c r="AS139" s="1"/>
      <c r="AT139" s="1"/>
      <c r="AU139" s="1"/>
      <c r="AV139" s="1">
        <f>SUM($AT139,Z139:$AA139)-SUM($AV$5:AV$5)*$J139-SUM($AV$6:AV$6)*$K139</f>
        <v>0</v>
      </c>
      <c r="AW139" s="1">
        <f>SUM($AT139,$AA139:AA139)-SUM($AV$5:AW$5)*$J139-SUM($AV$6:AW$6)*$K139</f>
        <v>0</v>
      </c>
      <c r="AX139" s="1">
        <f>SUM($AT139,$AA139:AB139)-SUM($AV$5:AX$5)*$J139-SUM($AV$6:AX$6)*$K139</f>
        <v>0</v>
      </c>
      <c r="AY139" s="1">
        <f>SUM($AT139,$AA139:AC139)-SUM($AV$5:AY$5)*$J139-SUM($AV$6:AY$6)*$K139</f>
        <v>0</v>
      </c>
      <c r="AZ139" s="1">
        <f>SUM($AT139,$AA139:AD139)-SUM($AV$5:AZ$5)*$J139-SUM($AV$6:AZ$6)*$K139</f>
        <v>-80</v>
      </c>
      <c r="BA139" s="1">
        <f>SUM($AT139,$AA139:AE139)-SUM($AV$5:BA$5)*$J139-SUM($AV$6:BA$6)*$K139</f>
        <v>-160</v>
      </c>
      <c r="BB139" s="1">
        <f>SUM($AT139,$AA139:AF139)-SUM($AV$5:BB$5)*$J139-SUM($AV$6:BB$6)*$K139</f>
        <v>-240</v>
      </c>
      <c r="BC139" s="1">
        <f>SUM($AT139,$AA139:AG139)-SUM($AV$5:BC$5)*$J139-SUM($AV$6:BC$6)*$K139</f>
        <v>-320</v>
      </c>
      <c r="BD139" s="1">
        <f>SUM($AT139,$AA139:AH139)-SUM($AV$5:BD$5)*$J139-SUM($AV$6:BD$6)*$K139</f>
        <v>-400</v>
      </c>
      <c r="BE139" s="1">
        <f>SUM($AT139,$AA139:AI139)-SUM($AV$5:BE$5)*$J139-SUM($AV$6:BE$6)*$K139</f>
        <v>-480</v>
      </c>
      <c r="BF139" s="1">
        <f>SUM($AT139,$AA139:AJ139)-SUM($AV$5:BF$5)*$J139-SUM($AV$6:BF$6)*$K139</f>
        <v>-560</v>
      </c>
      <c r="BG139" s="1">
        <f>SUM($AT139,$AA139:AK139)-SUM($AV$5:BG$5)*$J139-SUM($AV$6:BG$6)*$K139</f>
        <v>-640</v>
      </c>
      <c r="BH139" s="1">
        <f>SUM($AT139,$AA139:AL139)-SUM($AV$5:BH$5)*$J139-SUM($AV$6:BH$6)*$K139</f>
        <v>-720</v>
      </c>
      <c r="BI139" s="1">
        <f>SUM($AT139,$AA139:AM139)-SUM($AV$5:BI$5)*$J139-SUM($AV$6:BI$6)*$K139</f>
        <v>-800</v>
      </c>
      <c r="BJ139" s="1">
        <f>SUM($AT139,$AA139:AN139)-SUM($AV$5:BJ$5)*$J139-SUM($AV$6:BJ$6)*$K139</f>
        <v>-880</v>
      </c>
      <c r="BK139" s="1">
        <f>SUM($AT139,$AA139:AO139)-SUM($AV$5:BK$5)*$J139-SUM($AV$6:BK$6)*$K139</f>
        <v>-960</v>
      </c>
      <c r="BL139" s="1">
        <f>SUM($AT139,$AA139:AP139)-SUM($AV$5:BL$5)*$J139-SUM($AV$6:BL$6)*$K139</f>
        <v>-1040</v>
      </c>
      <c r="BM139" s="1">
        <f>SUM($AT139,$AA139:AQ139)-SUM($AV$5:BM$5)*$J139-SUM($AV$6:BM$6)*$K139</f>
        <v>-1120</v>
      </c>
      <c r="BN139" s="1">
        <f>SUM($AT139,$AA139:AR139)-SUM($AV$5:BN$5)*$J139-SUM($AV$6:BN$6)*$K139</f>
        <v>-1164</v>
      </c>
    </row>
    <row r="140" spans="1:66">
      <c r="A140" s="1">
        <v>160</v>
      </c>
      <c r="B140" s="28" t="s">
        <v>499</v>
      </c>
      <c r="C140" s="1" t="s">
        <v>40</v>
      </c>
      <c r="D140" s="2">
        <v>417983135</v>
      </c>
      <c r="E140" s="3" t="s">
        <v>500</v>
      </c>
      <c r="F140" s="1">
        <v>400326599</v>
      </c>
      <c r="G140" s="1" t="s">
        <v>42</v>
      </c>
      <c r="H140" s="1">
        <v>2</v>
      </c>
      <c r="I140" s="1">
        <v>6</v>
      </c>
      <c r="J140" s="1">
        <v>6</v>
      </c>
      <c r="K140" s="1">
        <v>0</v>
      </c>
      <c r="L140" s="1">
        <v>0</v>
      </c>
      <c r="M140" s="1">
        <f t="shared" si="6"/>
        <v>3492</v>
      </c>
      <c r="N140" s="1">
        <f t="shared" si="7"/>
        <v>3492</v>
      </c>
      <c r="O140" s="2" t="s">
        <v>470</v>
      </c>
      <c r="P140" s="1"/>
      <c r="Q140" s="1">
        <v>8.0000000000000002E-3</v>
      </c>
      <c r="R140" s="1" t="s">
        <v>44</v>
      </c>
      <c r="S140" s="30" t="s">
        <v>264</v>
      </c>
      <c r="T140" s="31" t="s">
        <v>304</v>
      </c>
      <c r="U140" s="1"/>
      <c r="V140" s="1">
        <v>4000</v>
      </c>
      <c r="W140" s="1" t="s">
        <v>305</v>
      </c>
      <c r="X140" s="32" t="s">
        <v>306</v>
      </c>
      <c r="Y140" s="1" t="s">
        <v>307</v>
      </c>
      <c r="Z140" s="2" t="s">
        <v>470</v>
      </c>
      <c r="AA140" s="1"/>
      <c r="AB140" s="1"/>
      <c r="AC140" s="1"/>
      <c r="AD140" s="1"/>
      <c r="AE140" s="1"/>
      <c r="AF140" s="1"/>
      <c r="AG140" s="1"/>
      <c r="AH140" s="1"/>
      <c r="AI140" s="1"/>
      <c r="AJ140" s="1"/>
      <c r="AK140" s="1"/>
      <c r="AL140" s="1"/>
      <c r="AM140" s="1"/>
      <c r="AN140" s="1"/>
      <c r="AO140" s="1"/>
      <c r="AP140" s="1"/>
      <c r="AQ140" s="1"/>
      <c r="AR140" s="1"/>
      <c r="AS140" s="1"/>
      <c r="AT140" s="1"/>
      <c r="AU140" s="1"/>
      <c r="AV140" s="1">
        <f>SUM($AT140,Z140:$AA140)-SUM($AV$5:AV$5)*$J140-SUM($AV$6:AV$6)*$K140</f>
        <v>0</v>
      </c>
      <c r="AW140" s="1">
        <f>SUM($AT140,$AA140:AA140)-SUM($AV$5:AW$5)*$J140-SUM($AV$6:AW$6)*$K140</f>
        <v>0</v>
      </c>
      <c r="AX140" s="1">
        <f>SUM($AT140,$AA140:AB140)-SUM($AV$5:AX$5)*$J140-SUM($AV$6:AX$6)*$K140</f>
        <v>0</v>
      </c>
      <c r="AY140" s="1">
        <f>SUM($AT140,$AA140:AC140)-SUM($AV$5:AY$5)*$J140-SUM($AV$6:AY$6)*$K140</f>
        <v>0</v>
      </c>
      <c r="AZ140" s="1">
        <f>SUM($AT140,$AA140:AD140)-SUM($AV$5:AZ$5)*$J140-SUM($AV$6:AZ$6)*$K140</f>
        <v>-240</v>
      </c>
      <c r="BA140" s="1">
        <f>SUM($AT140,$AA140:AE140)-SUM($AV$5:BA$5)*$J140-SUM($AV$6:BA$6)*$K140</f>
        <v>-480</v>
      </c>
      <c r="BB140" s="1">
        <f>SUM($AT140,$AA140:AF140)-SUM($AV$5:BB$5)*$J140-SUM($AV$6:BB$6)*$K140</f>
        <v>-720</v>
      </c>
      <c r="BC140" s="1">
        <f>SUM($AT140,$AA140:AG140)-SUM($AV$5:BC$5)*$J140-SUM($AV$6:BC$6)*$K140</f>
        <v>-960</v>
      </c>
      <c r="BD140" s="1">
        <f>SUM($AT140,$AA140:AH140)-SUM($AV$5:BD$5)*$J140-SUM($AV$6:BD$6)*$K140</f>
        <v>-1200</v>
      </c>
      <c r="BE140" s="1">
        <f>SUM($AT140,$AA140:AI140)-SUM($AV$5:BE$5)*$J140-SUM($AV$6:BE$6)*$K140</f>
        <v>-1440</v>
      </c>
      <c r="BF140" s="1">
        <f>SUM($AT140,$AA140:AJ140)-SUM($AV$5:BF$5)*$J140-SUM($AV$6:BF$6)*$K140</f>
        <v>-1680</v>
      </c>
      <c r="BG140" s="1">
        <f>SUM($AT140,$AA140:AK140)-SUM($AV$5:BG$5)*$J140-SUM($AV$6:BG$6)*$K140</f>
        <v>-1920</v>
      </c>
      <c r="BH140" s="1">
        <f>SUM($AT140,$AA140:AL140)-SUM($AV$5:BH$5)*$J140-SUM($AV$6:BH$6)*$K140</f>
        <v>-2160</v>
      </c>
      <c r="BI140" s="1">
        <f>SUM($AT140,$AA140:AM140)-SUM($AV$5:BI$5)*$J140-SUM($AV$6:BI$6)*$K140</f>
        <v>-2400</v>
      </c>
      <c r="BJ140" s="1">
        <f>SUM($AT140,$AA140:AN140)-SUM($AV$5:BJ$5)*$J140-SUM($AV$6:BJ$6)*$K140</f>
        <v>-2640</v>
      </c>
      <c r="BK140" s="1">
        <f>SUM($AT140,$AA140:AO140)-SUM($AV$5:BK$5)*$J140-SUM($AV$6:BK$6)*$K140</f>
        <v>-2880</v>
      </c>
      <c r="BL140" s="1">
        <f>SUM($AT140,$AA140:AP140)-SUM($AV$5:BL$5)*$J140-SUM($AV$6:BL$6)*$K140</f>
        <v>-3120</v>
      </c>
      <c r="BM140" s="1">
        <f>SUM($AT140,$AA140:AQ140)-SUM($AV$5:BM$5)*$J140-SUM($AV$6:BM$6)*$K140</f>
        <v>-3360</v>
      </c>
      <c r="BN140" s="1">
        <f>SUM($AT140,$AA140:AR140)-SUM($AV$5:BN$5)*$J140-SUM($AV$6:BN$6)*$K140</f>
        <v>-3492</v>
      </c>
    </row>
    <row r="141" spans="1:66">
      <c r="A141" s="1">
        <v>161</v>
      </c>
      <c r="B141" s="28" t="s">
        <v>501</v>
      </c>
      <c r="C141" s="1" t="s">
        <v>40</v>
      </c>
      <c r="D141" s="2">
        <v>417983139</v>
      </c>
      <c r="E141" s="3" t="s">
        <v>502</v>
      </c>
      <c r="F141" s="1">
        <v>400326667</v>
      </c>
      <c r="G141" s="1" t="s">
        <v>42</v>
      </c>
      <c r="H141" s="1">
        <v>2</v>
      </c>
      <c r="I141" s="1">
        <v>28</v>
      </c>
      <c r="J141" s="1">
        <v>4</v>
      </c>
      <c r="K141" s="1">
        <v>0</v>
      </c>
      <c r="L141" s="1">
        <v>24</v>
      </c>
      <c r="M141" s="1">
        <f t="shared" si="6"/>
        <v>8952</v>
      </c>
      <c r="N141" s="1">
        <f t="shared" si="7"/>
        <v>8952</v>
      </c>
      <c r="O141" s="2" t="s">
        <v>470</v>
      </c>
      <c r="P141" s="1"/>
      <c r="Q141" s="1">
        <v>2.5000000000000001E-2</v>
      </c>
      <c r="R141" s="1" t="s">
        <v>44</v>
      </c>
      <c r="S141" s="30" t="s">
        <v>8</v>
      </c>
      <c r="T141" s="31" t="s">
        <v>304</v>
      </c>
      <c r="U141" s="1">
        <v>2000</v>
      </c>
      <c r="V141" s="1">
        <v>2000</v>
      </c>
      <c r="W141" s="1" t="s">
        <v>305</v>
      </c>
      <c r="X141" s="32" t="s">
        <v>306</v>
      </c>
      <c r="Y141" s="1" t="s">
        <v>307</v>
      </c>
      <c r="Z141" s="2" t="s">
        <v>470</v>
      </c>
      <c r="AA141" s="1"/>
      <c r="AB141" s="1"/>
      <c r="AC141" s="1"/>
      <c r="AD141" s="1"/>
      <c r="AE141" s="1"/>
      <c r="AF141" s="1"/>
      <c r="AG141" s="1"/>
      <c r="AH141" s="1"/>
      <c r="AI141" s="1"/>
      <c r="AJ141" s="1"/>
      <c r="AK141" s="1"/>
      <c r="AL141" s="1"/>
      <c r="AM141" s="1"/>
      <c r="AN141" s="1"/>
      <c r="AO141" s="1"/>
      <c r="AP141" s="1"/>
      <c r="AQ141" s="1"/>
      <c r="AR141" s="1"/>
      <c r="AS141" s="1"/>
      <c r="AT141" s="1"/>
      <c r="AU141" s="1"/>
      <c r="AV141" s="1">
        <f>SUM($AT141,Z141:$AA141)-SUM($AV$5:AV$5)*$J141-SUM($AV$6:AV$6)*$K141</f>
        <v>0</v>
      </c>
      <c r="AW141" s="1">
        <f>SUM($AT141,$AA141:AA141)-SUM($AV$5:AW$5)*$J141-SUM($AV$6:AW$6)*$K141</f>
        <v>0</v>
      </c>
      <c r="AX141" s="1">
        <f>SUM($AT141,$AA141:AB141)-SUM($AV$5:AX$5)*$J141-SUM($AV$6:AX$6)*$K141</f>
        <v>0</v>
      </c>
      <c r="AY141" s="1">
        <f>SUM($AT141,$AA141:AC141)-SUM($AV$5:AY$5)*$J141-SUM($AV$6:AY$6)*$K141</f>
        <v>0</v>
      </c>
      <c r="AZ141" s="1">
        <f>SUM($AT141,$AA141:AD141)-SUM($AV$5:AZ$5)*$J141-SUM($AV$6:AZ$6)*$K141</f>
        <v>-160</v>
      </c>
      <c r="BA141" s="1">
        <f>SUM($AT141,$AA141:AE141)-SUM($AV$5:BA$5)*$J141-SUM($AV$6:BA$6)*$K141</f>
        <v>-320</v>
      </c>
      <c r="BB141" s="1">
        <f>SUM($AT141,$AA141:AF141)-SUM($AV$5:BB$5)*$J141-SUM($AV$6:BB$6)*$K141</f>
        <v>-480</v>
      </c>
      <c r="BC141" s="1">
        <f>SUM($AT141,$AA141:AG141)-SUM($AV$5:BC$5)*$J141-SUM($AV$6:BC$6)*$K141</f>
        <v>-640</v>
      </c>
      <c r="BD141" s="1">
        <f>SUM($AT141,$AA141:AH141)-SUM($AV$5:BD$5)*$J141-SUM($AV$6:BD$6)*$K141</f>
        <v>-800</v>
      </c>
      <c r="BE141" s="1">
        <f>SUM($AT141,$AA141:AI141)-SUM($AV$5:BE$5)*$J141-SUM($AV$6:BE$6)*$K141</f>
        <v>-960</v>
      </c>
      <c r="BF141" s="1">
        <f>SUM($AT141,$AA141:AJ141)-SUM($AV$5:BF$5)*$J141-SUM($AV$6:BF$6)*$K141</f>
        <v>-1120</v>
      </c>
      <c r="BG141" s="1">
        <f>SUM($AT141,$AA141:AK141)-SUM($AV$5:BG$5)*$J141-SUM($AV$6:BG$6)*$K141</f>
        <v>-1280</v>
      </c>
      <c r="BH141" s="1">
        <f>SUM($AT141,$AA141:AL141)-SUM($AV$5:BH$5)*$J141-SUM($AV$6:BH$6)*$K141</f>
        <v>-1440</v>
      </c>
      <c r="BI141" s="1">
        <f>SUM($AT141,$AA141:AM141)-SUM($AV$5:BI$5)*$J141-SUM($AV$6:BI$6)*$K141</f>
        <v>-1600</v>
      </c>
      <c r="BJ141" s="1">
        <f>SUM($AT141,$AA141:AN141)-SUM($AV$5:BJ$5)*$J141-SUM($AV$6:BJ$6)*$K141</f>
        <v>-1760</v>
      </c>
      <c r="BK141" s="1">
        <f>SUM($AT141,$AA141:AO141)-SUM($AV$5:BK$5)*$J141-SUM($AV$6:BK$6)*$K141</f>
        <v>-1920</v>
      </c>
      <c r="BL141" s="1">
        <f>SUM($AT141,$AA141:AP141)-SUM($AV$5:BL$5)*$J141-SUM($AV$6:BL$6)*$K141</f>
        <v>-2080</v>
      </c>
      <c r="BM141" s="1">
        <f>SUM($AT141,$AA141:AQ141)-SUM($AV$5:BM$5)*$J141-SUM($AV$6:BM$6)*$K141</f>
        <v>-2240</v>
      </c>
      <c r="BN141" s="1">
        <f>SUM($AT141,$AA141:AR141)-SUM($AV$5:BN$5)*$J141-SUM($AV$6:BN$6)*$K141</f>
        <v>-2328</v>
      </c>
    </row>
    <row r="142" spans="1:66">
      <c r="A142" s="1">
        <v>162</v>
      </c>
      <c r="B142" s="28" t="s">
        <v>503</v>
      </c>
      <c r="C142" s="1" t="s">
        <v>40</v>
      </c>
      <c r="D142" s="2">
        <v>400048631</v>
      </c>
      <c r="E142" s="3" t="s">
        <v>504</v>
      </c>
      <c r="F142" s="1"/>
      <c r="G142" s="1" t="s">
        <v>42</v>
      </c>
      <c r="H142" s="1">
        <v>2</v>
      </c>
      <c r="I142" s="1">
        <v>1</v>
      </c>
      <c r="J142" s="1">
        <v>1</v>
      </c>
      <c r="K142" s="1">
        <v>0</v>
      </c>
      <c r="L142" s="1">
        <v>0</v>
      </c>
      <c r="M142" s="1">
        <f t="shared" si="6"/>
        <v>582</v>
      </c>
      <c r="N142" s="1">
        <f t="shared" si="7"/>
        <v>582</v>
      </c>
      <c r="O142" s="2" t="s">
        <v>505</v>
      </c>
      <c r="P142" s="1"/>
      <c r="Q142" s="1">
        <v>0.96</v>
      </c>
      <c r="R142" s="1" t="s">
        <v>44</v>
      </c>
      <c r="S142" s="30" t="s">
        <v>45</v>
      </c>
      <c r="T142" s="31" t="s">
        <v>505</v>
      </c>
      <c r="U142" s="1"/>
      <c r="V142" s="1">
        <v>1500</v>
      </c>
      <c r="W142" s="1" t="s">
        <v>506</v>
      </c>
      <c r="X142" s="32" t="s">
        <v>507</v>
      </c>
      <c r="Y142" s="1" t="s">
        <v>508</v>
      </c>
      <c r="Z142" s="2" t="s">
        <v>505</v>
      </c>
      <c r="AA142" s="1"/>
      <c r="AB142" s="1"/>
      <c r="AC142" s="1">
        <v>1500</v>
      </c>
      <c r="AD142" s="1"/>
      <c r="AE142" s="1"/>
      <c r="AF142" s="1"/>
      <c r="AG142" s="1"/>
      <c r="AH142" s="1"/>
      <c r="AI142" s="1"/>
      <c r="AJ142" s="1"/>
      <c r="AK142" s="1"/>
      <c r="AL142" s="1"/>
      <c r="AM142" s="1"/>
      <c r="AN142" s="1"/>
      <c r="AO142" s="1"/>
      <c r="AP142" s="1"/>
      <c r="AQ142" s="1"/>
      <c r="AR142" s="1"/>
      <c r="AS142" s="1"/>
      <c r="AT142" s="1"/>
      <c r="AU142" s="1"/>
      <c r="AV142" s="1">
        <f>SUM($AT142,Z142:$AA142)-SUM($AV$5:AV$5)*$J142-SUM($AV$6:AV$6)*$K142</f>
        <v>0</v>
      </c>
      <c r="AW142" s="1">
        <f>SUM($AT142,$AA142:AA142)-SUM($AV$5:AW$5)*$J142-SUM($AV$6:AW$6)*$K142</f>
        <v>0</v>
      </c>
      <c r="AX142" s="1">
        <f>SUM($AT142,$AA142:AB142)-SUM($AV$5:AX$5)*$J142-SUM($AV$6:AX$6)*$K142</f>
        <v>0</v>
      </c>
      <c r="AY142" s="1">
        <f>SUM($AT142,$AA142:AC142)-SUM($AV$5:AY$5)*$J142-SUM($AV$6:AY$6)*$K142</f>
        <v>1500</v>
      </c>
      <c r="AZ142" s="1">
        <f>SUM($AT142,$AA142:AD142)-SUM($AV$5:AZ$5)*$J142-SUM($AV$6:AZ$6)*$K142</f>
        <v>1460</v>
      </c>
      <c r="BA142" s="1">
        <f>SUM($AT142,$AA142:AE142)-SUM($AV$5:BA$5)*$J142-SUM($AV$6:BA$6)*$K142</f>
        <v>1420</v>
      </c>
      <c r="BB142" s="1">
        <f>SUM($AT142,$AA142:AF142)-SUM($AV$5:BB$5)*$J142-SUM($AV$6:BB$6)*$K142</f>
        <v>1380</v>
      </c>
      <c r="BC142" s="1">
        <f>SUM($AT142,$AA142:AG142)-SUM($AV$5:BC$5)*$J142-SUM($AV$6:BC$6)*$K142</f>
        <v>1340</v>
      </c>
      <c r="BD142" s="1">
        <f>SUM($AT142,$AA142:AH142)-SUM($AV$5:BD$5)*$J142-SUM($AV$6:BD$6)*$K142</f>
        <v>1300</v>
      </c>
      <c r="BE142" s="1">
        <f>SUM($AT142,$AA142:AI142)-SUM($AV$5:BE$5)*$J142-SUM($AV$6:BE$6)*$K142</f>
        <v>1260</v>
      </c>
      <c r="BF142" s="1">
        <f>SUM($AT142,$AA142:AJ142)-SUM($AV$5:BF$5)*$J142-SUM($AV$6:BF$6)*$K142</f>
        <v>1220</v>
      </c>
      <c r="BG142" s="1">
        <f>SUM($AT142,$AA142:AK142)-SUM($AV$5:BG$5)*$J142-SUM($AV$6:BG$6)*$K142</f>
        <v>1180</v>
      </c>
      <c r="BH142" s="1">
        <f>SUM($AT142,$AA142:AL142)-SUM($AV$5:BH$5)*$J142-SUM($AV$6:BH$6)*$K142</f>
        <v>1140</v>
      </c>
      <c r="BI142" s="1">
        <f>SUM($AT142,$AA142:AM142)-SUM($AV$5:BI$5)*$J142-SUM($AV$6:BI$6)*$K142</f>
        <v>1100</v>
      </c>
      <c r="BJ142" s="1">
        <f>SUM($AT142,$AA142:AN142)-SUM($AV$5:BJ$5)*$J142-SUM($AV$6:BJ$6)*$K142</f>
        <v>1060</v>
      </c>
      <c r="BK142" s="1">
        <f>SUM($AT142,$AA142:AO142)-SUM($AV$5:BK$5)*$J142-SUM($AV$6:BK$6)*$K142</f>
        <v>1020</v>
      </c>
      <c r="BL142" s="1">
        <f>SUM($AT142,$AA142:AP142)-SUM($AV$5:BL$5)*$J142-SUM($AV$6:BL$6)*$K142</f>
        <v>980</v>
      </c>
      <c r="BM142" s="1">
        <f>SUM($AT142,$AA142:AQ142)-SUM($AV$5:BM$5)*$J142-SUM($AV$6:BM$6)*$K142</f>
        <v>940</v>
      </c>
      <c r="BN142" s="1">
        <f>SUM($AT142,$AA142:AR142)-SUM($AV$5:BN$5)*$J142-SUM($AV$6:BN$6)*$K142</f>
        <v>918</v>
      </c>
    </row>
    <row r="143" spans="1:66">
      <c r="A143" s="1">
        <v>163</v>
      </c>
      <c r="B143" s="28" t="s">
        <v>509</v>
      </c>
      <c r="C143" s="1" t="s">
        <v>40</v>
      </c>
      <c r="D143" s="2" t="s">
        <v>510</v>
      </c>
      <c r="E143" s="3" t="s">
        <v>511</v>
      </c>
      <c r="F143" s="1"/>
      <c r="G143" s="1" t="s">
        <v>42</v>
      </c>
      <c r="H143" s="1">
        <v>2</v>
      </c>
      <c r="I143" s="1">
        <v>1</v>
      </c>
      <c r="J143" s="1">
        <v>1</v>
      </c>
      <c r="K143" s="1">
        <v>0</v>
      </c>
      <c r="L143" s="1">
        <v>0</v>
      </c>
      <c r="M143" s="1">
        <f t="shared" si="6"/>
        <v>582</v>
      </c>
      <c r="N143" s="1">
        <f t="shared" si="7"/>
        <v>582</v>
      </c>
      <c r="O143" s="2" t="s">
        <v>53</v>
      </c>
      <c r="P143" s="1"/>
      <c r="Q143" s="1">
        <v>0.22</v>
      </c>
      <c r="R143" s="1" t="s">
        <v>44</v>
      </c>
      <c r="S143" s="30" t="s">
        <v>62</v>
      </c>
      <c r="T143" s="31" t="s">
        <v>46</v>
      </c>
      <c r="U143" s="1"/>
      <c r="V143" s="1">
        <v>5000</v>
      </c>
      <c r="W143" s="1" t="s">
        <v>47</v>
      </c>
      <c r="X143" s="32" t="s">
        <v>48</v>
      </c>
      <c r="Y143" s="1" t="s">
        <v>49</v>
      </c>
      <c r="Z143" s="2" t="s">
        <v>53</v>
      </c>
      <c r="AA143" s="1"/>
      <c r="AB143" s="1"/>
      <c r="AC143" s="1"/>
      <c r="AD143" s="1"/>
      <c r="AE143" s="1"/>
      <c r="AF143" s="1"/>
      <c r="AG143" s="1"/>
      <c r="AH143" s="1"/>
      <c r="AI143" s="1"/>
      <c r="AJ143" s="1"/>
      <c r="AK143" s="1"/>
      <c r="AL143" s="1"/>
      <c r="AM143" s="1"/>
      <c r="AN143" s="1"/>
      <c r="AO143" s="1"/>
      <c r="AP143" s="1"/>
      <c r="AQ143" s="1"/>
      <c r="AR143" s="1"/>
      <c r="AS143" s="1"/>
      <c r="AT143" s="1"/>
      <c r="AU143" s="1"/>
      <c r="AV143" s="1">
        <f>SUM($AT143,Z143:$AA143)-SUM($AV$5:AV$5)*$J143-SUM($AV$6:AV$6)*$K143</f>
        <v>0</v>
      </c>
      <c r="AW143" s="1">
        <f>SUM($AT143,$AA143:AA143)-SUM($AV$5:AW$5)*$J143-SUM($AV$6:AW$6)*$K143</f>
        <v>0</v>
      </c>
      <c r="AX143" s="1">
        <f>SUM($AT143,$AA143:AB143)-SUM($AV$5:AX$5)*$J143-SUM($AV$6:AX$6)*$K143</f>
        <v>0</v>
      </c>
      <c r="AY143" s="1">
        <f>SUM($AT143,$AA143:AC143)-SUM($AV$5:AY$5)*$J143-SUM($AV$6:AY$6)*$K143</f>
        <v>0</v>
      </c>
      <c r="AZ143" s="1">
        <f>SUM($AT143,$AA143:AD143)-SUM($AV$5:AZ$5)*$J143-SUM($AV$6:AZ$6)*$K143</f>
        <v>-40</v>
      </c>
      <c r="BA143" s="1">
        <f>SUM($AT143,$AA143:AE143)-SUM($AV$5:BA$5)*$J143-SUM($AV$6:BA$6)*$K143</f>
        <v>-80</v>
      </c>
      <c r="BB143" s="1">
        <f>SUM($AT143,$AA143:AF143)-SUM($AV$5:BB$5)*$J143-SUM($AV$6:BB$6)*$K143</f>
        <v>-120</v>
      </c>
      <c r="BC143" s="1">
        <f>SUM($AT143,$AA143:AG143)-SUM($AV$5:BC$5)*$J143-SUM($AV$6:BC$6)*$K143</f>
        <v>-160</v>
      </c>
      <c r="BD143" s="1">
        <f>SUM($AT143,$AA143:AH143)-SUM($AV$5:BD$5)*$J143-SUM($AV$6:BD$6)*$K143</f>
        <v>-200</v>
      </c>
      <c r="BE143" s="1">
        <f>SUM($AT143,$AA143:AI143)-SUM($AV$5:BE$5)*$J143-SUM($AV$6:BE$6)*$K143</f>
        <v>-240</v>
      </c>
      <c r="BF143" s="1">
        <f>SUM($AT143,$AA143:AJ143)-SUM($AV$5:BF$5)*$J143-SUM($AV$6:BF$6)*$K143</f>
        <v>-280</v>
      </c>
      <c r="BG143" s="1">
        <f>SUM($AT143,$AA143:AK143)-SUM($AV$5:BG$5)*$J143-SUM($AV$6:BG$6)*$K143</f>
        <v>-320</v>
      </c>
      <c r="BH143" s="1">
        <f>SUM($AT143,$AA143:AL143)-SUM($AV$5:BH$5)*$J143-SUM($AV$6:BH$6)*$K143</f>
        <v>-360</v>
      </c>
      <c r="BI143" s="1">
        <f>SUM($AT143,$AA143:AM143)-SUM($AV$5:BI$5)*$J143-SUM($AV$6:BI$6)*$K143</f>
        <v>-400</v>
      </c>
      <c r="BJ143" s="1">
        <f>SUM($AT143,$AA143:AN143)-SUM($AV$5:BJ$5)*$J143-SUM($AV$6:BJ$6)*$K143</f>
        <v>-440</v>
      </c>
      <c r="BK143" s="1">
        <f>SUM($AT143,$AA143:AO143)-SUM($AV$5:BK$5)*$J143-SUM($AV$6:BK$6)*$K143</f>
        <v>-480</v>
      </c>
      <c r="BL143" s="1">
        <f>SUM($AT143,$AA143:AP143)-SUM($AV$5:BL$5)*$J143-SUM($AV$6:BL$6)*$K143</f>
        <v>-520</v>
      </c>
      <c r="BM143" s="1">
        <f>SUM($AT143,$AA143:AQ143)-SUM($AV$5:BM$5)*$J143-SUM($AV$6:BM$6)*$K143</f>
        <v>-560</v>
      </c>
      <c r="BN143" s="1">
        <f>SUM($AT143,$AA143:AR143)-SUM($AV$5:BN$5)*$J143-SUM($AV$6:BN$6)*$K143</f>
        <v>-582</v>
      </c>
    </row>
    <row r="144" spans="1:66">
      <c r="A144" s="1">
        <v>164</v>
      </c>
      <c r="B144" s="28" t="s">
        <v>512</v>
      </c>
      <c r="C144" s="1" t="s">
        <v>40</v>
      </c>
      <c r="D144" s="2">
        <v>411160675</v>
      </c>
      <c r="E144" s="3" t="s">
        <v>513</v>
      </c>
      <c r="F144" s="1" t="s">
        <v>514</v>
      </c>
      <c r="G144" s="1" t="s">
        <v>42</v>
      </c>
      <c r="H144" s="1">
        <v>2</v>
      </c>
      <c r="I144" s="1">
        <v>3</v>
      </c>
      <c r="J144" s="1">
        <v>3</v>
      </c>
      <c r="K144" s="1">
        <v>0</v>
      </c>
      <c r="L144" s="1">
        <v>0</v>
      </c>
      <c r="M144" s="1">
        <f t="shared" si="6"/>
        <v>1746</v>
      </c>
      <c r="N144" s="1">
        <f t="shared" si="7"/>
        <v>1746</v>
      </c>
      <c r="O144" s="2" t="s">
        <v>515</v>
      </c>
      <c r="P144" s="1"/>
      <c r="Q144" s="1">
        <v>0.01</v>
      </c>
      <c r="R144" s="1" t="s">
        <v>44</v>
      </c>
      <c r="S144" s="30" t="s">
        <v>8</v>
      </c>
      <c r="T144" s="31" t="s">
        <v>516</v>
      </c>
      <c r="U144" s="1"/>
      <c r="V144" s="1">
        <v>5000</v>
      </c>
      <c r="W144" s="1" t="s">
        <v>517</v>
      </c>
      <c r="X144" s="32" t="s">
        <v>518</v>
      </c>
      <c r="Y144" s="1" t="s">
        <v>519</v>
      </c>
      <c r="Z144" s="2" t="s">
        <v>515</v>
      </c>
      <c r="AA144" s="1"/>
      <c r="AB144" s="1"/>
      <c r="AC144" s="1"/>
      <c r="AD144" s="1"/>
      <c r="AE144" s="1"/>
      <c r="AF144" s="1"/>
      <c r="AG144" s="1"/>
      <c r="AH144" s="1"/>
      <c r="AI144" s="1"/>
      <c r="AJ144" s="1"/>
      <c r="AK144" s="1"/>
      <c r="AL144" s="1"/>
      <c r="AM144" s="1"/>
      <c r="AN144" s="1"/>
      <c r="AO144" s="1"/>
      <c r="AP144" s="1"/>
      <c r="AQ144" s="1"/>
      <c r="AR144" s="1"/>
      <c r="AS144" s="1"/>
      <c r="AT144" s="1"/>
      <c r="AU144" s="1"/>
      <c r="AV144" s="1">
        <f>SUM($AT144,Z144:$AA144)-SUM($AV$5:AV$5)*$J144-SUM($AV$6:AV$6)*$K144</f>
        <v>0</v>
      </c>
      <c r="AW144" s="1">
        <f>SUM($AT144,$AA144:AA144)-SUM($AV$5:AW$5)*$J144-SUM($AV$6:AW$6)*$K144</f>
        <v>0</v>
      </c>
      <c r="AX144" s="1">
        <f>SUM($AT144,$AA144:AB144)-SUM($AV$5:AX$5)*$J144-SUM($AV$6:AX$6)*$K144</f>
        <v>0</v>
      </c>
      <c r="AY144" s="1">
        <f>SUM($AT144,$AA144:AC144)-SUM($AV$5:AY$5)*$J144-SUM($AV$6:AY$6)*$K144</f>
        <v>0</v>
      </c>
      <c r="AZ144" s="1">
        <f>SUM($AT144,$AA144:AD144)-SUM($AV$5:AZ$5)*$J144-SUM($AV$6:AZ$6)*$K144</f>
        <v>-120</v>
      </c>
      <c r="BA144" s="1">
        <f>SUM($AT144,$AA144:AE144)-SUM($AV$5:BA$5)*$J144-SUM($AV$6:BA$6)*$K144</f>
        <v>-240</v>
      </c>
      <c r="BB144" s="1">
        <f>SUM($AT144,$AA144:AF144)-SUM($AV$5:BB$5)*$J144-SUM($AV$6:BB$6)*$K144</f>
        <v>-360</v>
      </c>
      <c r="BC144" s="1">
        <f>SUM($AT144,$AA144:AG144)-SUM($AV$5:BC$5)*$J144-SUM($AV$6:BC$6)*$K144</f>
        <v>-480</v>
      </c>
      <c r="BD144" s="1">
        <f>SUM($AT144,$AA144:AH144)-SUM($AV$5:BD$5)*$J144-SUM($AV$6:BD$6)*$K144</f>
        <v>-600</v>
      </c>
      <c r="BE144" s="1">
        <f>SUM($AT144,$AA144:AI144)-SUM($AV$5:BE$5)*$J144-SUM($AV$6:BE$6)*$K144</f>
        <v>-720</v>
      </c>
      <c r="BF144" s="1">
        <f>SUM($AT144,$AA144:AJ144)-SUM($AV$5:BF$5)*$J144-SUM($AV$6:BF$6)*$K144</f>
        <v>-840</v>
      </c>
      <c r="BG144" s="1">
        <f>SUM($AT144,$AA144:AK144)-SUM($AV$5:BG$5)*$J144-SUM($AV$6:BG$6)*$K144</f>
        <v>-960</v>
      </c>
      <c r="BH144" s="1">
        <f>SUM($AT144,$AA144:AL144)-SUM($AV$5:BH$5)*$J144-SUM($AV$6:BH$6)*$K144</f>
        <v>-1080</v>
      </c>
      <c r="BI144" s="1">
        <f>SUM($AT144,$AA144:AM144)-SUM($AV$5:BI$5)*$J144-SUM($AV$6:BI$6)*$K144</f>
        <v>-1200</v>
      </c>
      <c r="BJ144" s="1">
        <f>SUM($AT144,$AA144:AN144)-SUM($AV$5:BJ$5)*$J144-SUM($AV$6:BJ$6)*$K144</f>
        <v>-1320</v>
      </c>
      <c r="BK144" s="1">
        <f>SUM($AT144,$AA144:AO144)-SUM($AV$5:BK$5)*$J144-SUM($AV$6:BK$6)*$K144</f>
        <v>-1440</v>
      </c>
      <c r="BL144" s="1">
        <f>SUM($AT144,$AA144:AP144)-SUM($AV$5:BL$5)*$J144-SUM($AV$6:BL$6)*$K144</f>
        <v>-1560</v>
      </c>
      <c r="BM144" s="1">
        <f>SUM($AT144,$AA144:AQ144)-SUM($AV$5:BM$5)*$J144-SUM($AV$6:BM$6)*$K144</f>
        <v>-1680</v>
      </c>
      <c r="BN144" s="1">
        <f>SUM($AT144,$AA144:AR144)-SUM($AV$5:BN$5)*$J144-SUM($AV$6:BN$6)*$K144</f>
        <v>-1746</v>
      </c>
    </row>
    <row r="145" spans="1:66">
      <c r="A145" s="1">
        <v>165</v>
      </c>
      <c r="B145" s="28" t="s">
        <v>520</v>
      </c>
      <c r="C145" s="1" t="s">
        <v>40</v>
      </c>
      <c r="D145" s="2">
        <v>411160655</v>
      </c>
      <c r="E145" s="3" t="s">
        <v>521</v>
      </c>
      <c r="F145" s="1" t="s">
        <v>522</v>
      </c>
      <c r="G145" s="1" t="s">
        <v>42</v>
      </c>
      <c r="H145" s="1">
        <v>2</v>
      </c>
      <c r="I145" s="1">
        <v>2</v>
      </c>
      <c r="J145" s="1">
        <v>2</v>
      </c>
      <c r="K145" s="1">
        <v>0</v>
      </c>
      <c r="L145" s="1">
        <v>0</v>
      </c>
      <c r="M145" s="1">
        <f t="shared" si="6"/>
        <v>1164</v>
      </c>
      <c r="N145" s="1">
        <f t="shared" si="7"/>
        <v>1164</v>
      </c>
      <c r="O145" s="2" t="s">
        <v>515</v>
      </c>
      <c r="P145" s="1"/>
      <c r="Q145" s="1">
        <v>0.01</v>
      </c>
      <c r="R145" s="1" t="s">
        <v>44</v>
      </c>
      <c r="S145" s="30" t="s">
        <v>8</v>
      </c>
      <c r="T145" s="31" t="s">
        <v>516</v>
      </c>
      <c r="U145" s="1"/>
      <c r="V145" s="1">
        <v>5000</v>
      </c>
      <c r="W145" s="1" t="s">
        <v>517</v>
      </c>
      <c r="X145" s="32" t="s">
        <v>518</v>
      </c>
      <c r="Y145" s="1" t="s">
        <v>519</v>
      </c>
      <c r="Z145" s="2" t="s">
        <v>515</v>
      </c>
      <c r="AA145" s="1"/>
      <c r="AB145" s="1"/>
      <c r="AC145" s="1"/>
      <c r="AD145" s="1"/>
      <c r="AE145" s="1"/>
      <c r="AF145" s="1"/>
      <c r="AG145" s="1"/>
      <c r="AH145" s="1"/>
      <c r="AI145" s="1"/>
      <c r="AJ145" s="1"/>
      <c r="AK145" s="1"/>
      <c r="AL145" s="1"/>
      <c r="AM145" s="1"/>
      <c r="AN145" s="1"/>
      <c r="AO145" s="1"/>
      <c r="AP145" s="1"/>
      <c r="AQ145" s="1"/>
      <c r="AR145" s="1"/>
      <c r="AS145" s="1"/>
      <c r="AT145" s="1"/>
      <c r="AU145" s="1"/>
      <c r="AV145" s="1">
        <f>SUM($AT145,Z145:$AA145)-SUM($AV$5:AV$5)*$J145-SUM($AV$6:AV$6)*$K145</f>
        <v>0</v>
      </c>
      <c r="AW145" s="1">
        <f>SUM($AT145,$AA145:AA145)-SUM($AV$5:AW$5)*$J145-SUM($AV$6:AW$6)*$K145</f>
        <v>0</v>
      </c>
      <c r="AX145" s="1">
        <f>SUM($AT145,$AA145:AB145)-SUM($AV$5:AX$5)*$J145-SUM($AV$6:AX$6)*$K145</f>
        <v>0</v>
      </c>
      <c r="AY145" s="1">
        <f>SUM($AT145,$AA145:AC145)-SUM($AV$5:AY$5)*$J145-SUM($AV$6:AY$6)*$K145</f>
        <v>0</v>
      </c>
      <c r="AZ145" s="1">
        <f>SUM($AT145,$AA145:AD145)-SUM($AV$5:AZ$5)*$J145-SUM($AV$6:AZ$6)*$K145</f>
        <v>-80</v>
      </c>
      <c r="BA145" s="1">
        <f>SUM($AT145,$AA145:AE145)-SUM($AV$5:BA$5)*$J145-SUM($AV$6:BA$6)*$K145</f>
        <v>-160</v>
      </c>
      <c r="BB145" s="1">
        <f>SUM($AT145,$AA145:AF145)-SUM($AV$5:BB$5)*$J145-SUM($AV$6:BB$6)*$K145</f>
        <v>-240</v>
      </c>
      <c r="BC145" s="1">
        <f>SUM($AT145,$AA145:AG145)-SUM($AV$5:BC$5)*$J145-SUM($AV$6:BC$6)*$K145</f>
        <v>-320</v>
      </c>
      <c r="BD145" s="1">
        <f>SUM($AT145,$AA145:AH145)-SUM($AV$5:BD$5)*$J145-SUM($AV$6:BD$6)*$K145</f>
        <v>-400</v>
      </c>
      <c r="BE145" s="1">
        <f>SUM($AT145,$AA145:AI145)-SUM($AV$5:BE$5)*$J145-SUM($AV$6:BE$6)*$K145</f>
        <v>-480</v>
      </c>
      <c r="BF145" s="1">
        <f>SUM($AT145,$AA145:AJ145)-SUM($AV$5:BF$5)*$J145-SUM($AV$6:BF$6)*$K145</f>
        <v>-560</v>
      </c>
      <c r="BG145" s="1">
        <f>SUM($AT145,$AA145:AK145)-SUM($AV$5:BG$5)*$J145-SUM($AV$6:BG$6)*$K145</f>
        <v>-640</v>
      </c>
      <c r="BH145" s="1">
        <f>SUM($AT145,$AA145:AL145)-SUM($AV$5:BH$5)*$J145-SUM($AV$6:BH$6)*$K145</f>
        <v>-720</v>
      </c>
      <c r="BI145" s="1">
        <f>SUM($AT145,$AA145:AM145)-SUM($AV$5:BI$5)*$J145-SUM($AV$6:BI$6)*$K145</f>
        <v>-800</v>
      </c>
      <c r="BJ145" s="1">
        <f>SUM($AT145,$AA145:AN145)-SUM($AV$5:BJ$5)*$J145-SUM($AV$6:BJ$6)*$K145</f>
        <v>-880</v>
      </c>
      <c r="BK145" s="1">
        <f>SUM($AT145,$AA145:AO145)-SUM($AV$5:BK$5)*$J145-SUM($AV$6:BK$6)*$K145</f>
        <v>-960</v>
      </c>
      <c r="BL145" s="1">
        <f>SUM($AT145,$AA145:AP145)-SUM($AV$5:BL$5)*$J145-SUM($AV$6:BL$6)*$K145</f>
        <v>-1040</v>
      </c>
      <c r="BM145" s="1">
        <f>SUM($AT145,$AA145:AQ145)-SUM($AV$5:BM$5)*$J145-SUM($AV$6:BM$6)*$K145</f>
        <v>-1120</v>
      </c>
      <c r="BN145" s="1">
        <f>SUM($AT145,$AA145:AR145)-SUM($AV$5:BN$5)*$J145-SUM($AV$6:BN$6)*$K145</f>
        <v>-1164</v>
      </c>
    </row>
    <row r="146" spans="1:66">
      <c r="A146" s="1">
        <v>166</v>
      </c>
      <c r="B146" s="28" t="s">
        <v>523</v>
      </c>
      <c r="C146" s="1" t="s">
        <v>40</v>
      </c>
      <c r="D146" s="2">
        <v>400709578</v>
      </c>
      <c r="E146" s="3" t="s">
        <v>524</v>
      </c>
      <c r="F146" s="1">
        <v>400095450</v>
      </c>
      <c r="G146" s="1" t="s">
        <v>42</v>
      </c>
      <c r="H146" s="1">
        <v>2</v>
      </c>
      <c r="I146" s="1">
        <v>336</v>
      </c>
      <c r="J146" s="1">
        <v>336</v>
      </c>
      <c r="K146" s="1">
        <v>0</v>
      </c>
      <c r="L146" s="1">
        <v>0</v>
      </c>
      <c r="M146" s="1">
        <f t="shared" si="6"/>
        <v>195552</v>
      </c>
      <c r="N146" s="1">
        <f t="shared" si="7"/>
        <v>195552</v>
      </c>
      <c r="O146" s="2" t="s">
        <v>525</v>
      </c>
      <c r="P146" s="1"/>
      <c r="Q146" s="1">
        <v>4.0000000000000001E-3</v>
      </c>
      <c r="R146" s="1" t="s">
        <v>44</v>
      </c>
      <c r="S146" s="30" t="s">
        <v>62</v>
      </c>
      <c r="T146" s="31" t="s">
        <v>238</v>
      </c>
      <c r="U146" s="1"/>
      <c r="V146" s="1">
        <v>10000</v>
      </c>
      <c r="W146" s="1" t="s">
        <v>239</v>
      </c>
      <c r="X146" s="32" t="s">
        <v>240</v>
      </c>
      <c r="Y146" s="1" t="s">
        <v>241</v>
      </c>
      <c r="Z146" s="2" t="s">
        <v>242</v>
      </c>
      <c r="AA146" s="1"/>
      <c r="AB146" s="1"/>
      <c r="AC146" s="1"/>
      <c r="AD146" s="1"/>
      <c r="AE146" s="1"/>
      <c r="AF146" s="1"/>
      <c r="AG146" s="1"/>
      <c r="AH146" s="1"/>
      <c r="AI146" s="1"/>
      <c r="AJ146" s="1"/>
      <c r="AK146" s="1"/>
      <c r="AL146" s="1"/>
      <c r="AM146" s="1"/>
      <c r="AN146" s="1"/>
      <c r="AO146" s="1"/>
      <c r="AP146" s="1"/>
      <c r="AQ146" s="1"/>
      <c r="AR146" s="1"/>
      <c r="AS146" s="1"/>
      <c r="AT146" s="1"/>
      <c r="AU146" s="1"/>
      <c r="AV146" s="1">
        <f>SUM($AT146,Z146:$AA146)-SUM($AV$5:AV$5)*$J146-SUM($AV$6:AV$6)*$K146</f>
        <v>0</v>
      </c>
      <c r="AW146" s="1">
        <f>SUM($AT146,$AA146:AA146)-SUM($AV$5:AW$5)*$J146-SUM($AV$6:AW$6)*$K146</f>
        <v>0</v>
      </c>
      <c r="AX146" s="1">
        <f>SUM($AT146,$AA146:AB146)-SUM($AV$5:AX$5)*$J146-SUM($AV$6:AX$6)*$K146</f>
        <v>0</v>
      </c>
      <c r="AY146" s="1">
        <f>SUM($AT146,$AA146:AC146)-SUM($AV$5:AY$5)*$J146-SUM($AV$6:AY$6)*$K146</f>
        <v>0</v>
      </c>
      <c r="AZ146" s="1">
        <f>SUM($AT146,$AA146:AD146)-SUM($AV$5:AZ$5)*$J146-SUM($AV$6:AZ$6)*$K146</f>
        <v>-13440</v>
      </c>
      <c r="BA146" s="1">
        <f>SUM($AT146,$AA146:AE146)-SUM($AV$5:BA$5)*$J146-SUM($AV$6:BA$6)*$K146</f>
        <v>-26880</v>
      </c>
      <c r="BB146" s="1">
        <f>SUM($AT146,$AA146:AF146)-SUM($AV$5:BB$5)*$J146-SUM($AV$6:BB$6)*$K146</f>
        <v>-40320</v>
      </c>
      <c r="BC146" s="1">
        <f>SUM($AT146,$AA146:AG146)-SUM($AV$5:BC$5)*$J146-SUM($AV$6:BC$6)*$K146</f>
        <v>-53760</v>
      </c>
      <c r="BD146" s="1">
        <f>SUM($AT146,$AA146:AH146)-SUM($AV$5:BD$5)*$J146-SUM($AV$6:BD$6)*$K146</f>
        <v>-67200</v>
      </c>
      <c r="BE146" s="1">
        <f>SUM($AT146,$AA146:AI146)-SUM($AV$5:BE$5)*$J146-SUM($AV$6:BE$6)*$K146</f>
        <v>-80640</v>
      </c>
      <c r="BF146" s="1">
        <f>SUM($AT146,$AA146:AJ146)-SUM($AV$5:BF$5)*$J146-SUM($AV$6:BF$6)*$K146</f>
        <v>-94080</v>
      </c>
      <c r="BG146" s="1">
        <f>SUM($AT146,$AA146:AK146)-SUM($AV$5:BG$5)*$J146-SUM($AV$6:BG$6)*$K146</f>
        <v>-107520</v>
      </c>
      <c r="BH146" s="1">
        <f>SUM($AT146,$AA146:AL146)-SUM($AV$5:BH$5)*$J146-SUM($AV$6:BH$6)*$K146</f>
        <v>-120960</v>
      </c>
      <c r="BI146" s="1">
        <f>SUM($AT146,$AA146:AM146)-SUM($AV$5:BI$5)*$J146-SUM($AV$6:BI$6)*$K146</f>
        <v>-134400</v>
      </c>
      <c r="BJ146" s="1">
        <f>SUM($AT146,$AA146:AN146)-SUM($AV$5:BJ$5)*$J146-SUM($AV$6:BJ$6)*$K146</f>
        <v>-147840</v>
      </c>
      <c r="BK146" s="1">
        <f>SUM($AT146,$AA146:AO146)-SUM($AV$5:BK$5)*$J146-SUM($AV$6:BK$6)*$K146</f>
        <v>-161280</v>
      </c>
      <c r="BL146" s="1">
        <f>SUM($AT146,$AA146:AP146)-SUM($AV$5:BL$5)*$J146-SUM($AV$6:BL$6)*$K146</f>
        <v>-174720</v>
      </c>
      <c r="BM146" s="1">
        <f>SUM($AT146,$AA146:AQ146)-SUM($AV$5:BM$5)*$J146-SUM($AV$6:BM$6)*$K146</f>
        <v>-188160</v>
      </c>
      <c r="BN146" s="1">
        <f>SUM($AT146,$AA146:AR146)-SUM($AV$5:BN$5)*$J146-SUM($AV$6:BN$6)*$K146</f>
        <v>-195552</v>
      </c>
    </row>
    <row r="147" spans="1:66">
      <c r="A147" s="1">
        <v>151</v>
      </c>
      <c r="B147" s="28" t="s">
        <v>526</v>
      </c>
      <c r="C147" s="1" t="s">
        <v>40</v>
      </c>
      <c r="D147" s="2">
        <v>417983111</v>
      </c>
      <c r="E147" s="3" t="s">
        <v>527</v>
      </c>
      <c r="F147" s="1">
        <v>400481213</v>
      </c>
      <c r="G147" s="1" t="s">
        <v>42</v>
      </c>
      <c r="H147" s="1">
        <v>2</v>
      </c>
      <c r="I147" s="1">
        <v>159</v>
      </c>
      <c r="J147" s="1">
        <v>0</v>
      </c>
      <c r="K147" s="1">
        <v>0</v>
      </c>
      <c r="L147" s="1">
        <v>159</v>
      </c>
      <c r="M147" s="1">
        <f t="shared" si="6"/>
        <v>43884</v>
      </c>
      <c r="N147" s="1">
        <f t="shared" si="7"/>
        <v>43884</v>
      </c>
      <c r="O147" s="2" t="s">
        <v>470</v>
      </c>
      <c r="P147" s="1"/>
      <c r="Q147" s="1">
        <v>2.2000000000000001E-3</v>
      </c>
      <c r="R147" s="1" t="s">
        <v>44</v>
      </c>
      <c r="S147" s="30" t="s">
        <v>8</v>
      </c>
      <c r="T147" s="31" t="s">
        <v>304</v>
      </c>
      <c r="U147" s="1"/>
      <c r="V147" s="1">
        <v>20000</v>
      </c>
      <c r="W147" s="1" t="s">
        <v>305</v>
      </c>
      <c r="X147" s="33" t="s">
        <v>306</v>
      </c>
      <c r="Y147" s="1" t="s">
        <v>307</v>
      </c>
      <c r="Z147" s="2" t="s">
        <v>470</v>
      </c>
      <c r="AA147" s="1"/>
      <c r="AB147" s="1">
        <v>60000</v>
      </c>
      <c r="AC147" s="1"/>
      <c r="AD147" s="1"/>
      <c r="AE147" s="1"/>
      <c r="AF147" s="1"/>
      <c r="AG147" s="1"/>
      <c r="AH147" s="1"/>
      <c r="AI147" s="1"/>
      <c r="AJ147" s="1"/>
      <c r="AK147" s="1"/>
      <c r="AL147" s="1"/>
      <c r="AM147" s="1"/>
      <c r="AN147" s="1"/>
      <c r="AO147" s="1"/>
      <c r="AP147" s="1"/>
      <c r="AQ147" s="1"/>
      <c r="AR147" s="1"/>
      <c r="AS147" s="1"/>
      <c r="AT147" s="1"/>
      <c r="AU147" s="1"/>
      <c r="AV147" s="1">
        <f>SUM($AT147,Z147:$AA147)-SUM($AV$5:AV$5)*$J147-SUM($AV$6:AV$6)*$K147</f>
        <v>0</v>
      </c>
      <c r="AW147" s="1">
        <f>SUM($AT147,$AA147:AA147)-SUM($AV$5:AW$5)*$J147-SUM($AV$6:AW$6)*$K147</f>
        <v>0</v>
      </c>
      <c r="AX147" s="1">
        <f>SUM($AT147,$AA147:AB147)-SUM($AV$5:AX$5)*$J147-SUM($AV$6:AX$6)*$K147</f>
        <v>60000</v>
      </c>
      <c r="AY147" s="1">
        <f>SUM($AT147,$AA147:AC147)-SUM($AV$5:AY$5)*$J147-SUM($AV$6:AY$6)*$K147</f>
        <v>60000</v>
      </c>
      <c r="AZ147" s="1">
        <f>SUM($AT147,$AA147:AD147)-SUM($AV$5:AZ$5)*$J147-SUM($AV$6:AZ$6)*$K147</f>
        <v>60000</v>
      </c>
      <c r="BA147" s="1">
        <f>SUM($AT147,$AA147:AE147)-SUM($AV$5:BA$5)*$J147-SUM($AV$6:BA$6)*$K147</f>
        <v>60000</v>
      </c>
      <c r="BB147" s="1">
        <f>SUM($AT147,$AA147:AF147)-SUM($AV$5:BB$5)*$J147-SUM($AV$6:BB$6)*$K147</f>
        <v>60000</v>
      </c>
      <c r="BC147" s="1">
        <f>SUM($AT147,$AA147:AG147)-SUM($AV$5:BC$5)*$J147-SUM($AV$6:BC$6)*$K147</f>
        <v>60000</v>
      </c>
      <c r="BD147" s="1">
        <f>SUM($AT147,$AA147:AH147)-SUM($AV$5:BD$5)*$J147-SUM($AV$6:BD$6)*$K147</f>
        <v>60000</v>
      </c>
      <c r="BE147" s="1">
        <f>SUM($AT147,$AA147:AI147)-SUM($AV$5:BE$5)*$J147-SUM($AV$6:BE$6)*$K147</f>
        <v>60000</v>
      </c>
      <c r="BF147" s="1">
        <f>SUM($AT147,$AA147:AJ147)-SUM($AV$5:BF$5)*$J147-SUM($AV$6:BF$6)*$K147</f>
        <v>60000</v>
      </c>
      <c r="BG147" s="1">
        <f>SUM($AT147,$AA147:AK147)-SUM($AV$5:BG$5)*$J147-SUM($AV$6:BG$6)*$K147</f>
        <v>60000</v>
      </c>
      <c r="BH147" s="1">
        <f>SUM($AT147,$AA147:AL147)-SUM($AV$5:BH$5)*$J147-SUM($AV$6:BH$6)*$K147</f>
        <v>60000</v>
      </c>
      <c r="BI147" s="1">
        <f>SUM($AT147,$AA147:AM147)-SUM($AV$5:BI$5)*$J147-SUM($AV$6:BI$6)*$K147</f>
        <v>60000</v>
      </c>
      <c r="BJ147" s="1">
        <f>SUM($AT147,$AA147:AN147)-SUM($AV$5:BJ$5)*$J147-SUM($AV$6:BJ$6)*$K147</f>
        <v>60000</v>
      </c>
      <c r="BK147" s="1">
        <f>SUM($AT147,$AA147:AO147)-SUM($AV$5:BK$5)*$J147-SUM($AV$6:BK$6)*$K147</f>
        <v>60000</v>
      </c>
      <c r="BL147" s="1">
        <f>SUM($AT147,$AA147:AP147)-SUM($AV$5:BL$5)*$J147-SUM($AV$6:BL$6)*$K147</f>
        <v>60000</v>
      </c>
      <c r="BM147" s="1">
        <f>SUM($AT147,$AA147:AQ147)-SUM($AV$5:BM$5)*$J147-SUM($AV$6:BM$6)*$K147</f>
        <v>60000</v>
      </c>
      <c r="BN147" s="1">
        <f>SUM($AT147,$AA147:AR147)-SUM($AV$5:BN$5)*$J147-SUM($AV$6:BN$6)*$K147</f>
        <v>60000</v>
      </c>
    </row>
    <row r="148" spans="1:66">
      <c r="A148" s="1">
        <v>152</v>
      </c>
      <c r="B148" s="28" t="s">
        <v>528</v>
      </c>
      <c r="C148" s="1" t="s">
        <v>40</v>
      </c>
      <c r="D148" s="2">
        <v>417983118</v>
      </c>
      <c r="E148" s="3" t="s">
        <v>529</v>
      </c>
      <c r="F148" s="1" t="s">
        <v>530</v>
      </c>
      <c r="G148" s="1" t="s">
        <v>42</v>
      </c>
      <c r="H148" s="1">
        <v>2</v>
      </c>
      <c r="I148" s="1">
        <v>10</v>
      </c>
      <c r="J148" s="1">
        <v>0</v>
      </c>
      <c r="K148" s="1">
        <v>0</v>
      </c>
      <c r="L148" s="1">
        <v>10</v>
      </c>
      <c r="M148" s="1">
        <f t="shared" si="6"/>
        <v>2760</v>
      </c>
      <c r="N148" s="1">
        <f t="shared" si="7"/>
        <v>2760</v>
      </c>
      <c r="O148" s="2" t="s">
        <v>470</v>
      </c>
      <c r="P148" s="1"/>
      <c r="Q148" s="1">
        <v>3.5000000000000001E-3</v>
      </c>
      <c r="R148" s="1" t="s">
        <v>44</v>
      </c>
      <c r="S148" s="30" t="s">
        <v>8</v>
      </c>
      <c r="T148" s="31" t="s">
        <v>304</v>
      </c>
      <c r="U148" s="1">
        <v>4000</v>
      </c>
      <c r="V148" s="1">
        <v>4000</v>
      </c>
      <c r="W148" s="1" t="s">
        <v>305</v>
      </c>
      <c r="X148" s="33" t="s">
        <v>306</v>
      </c>
      <c r="Y148" s="1" t="s">
        <v>307</v>
      </c>
      <c r="Z148" s="2" t="s">
        <v>470</v>
      </c>
      <c r="AA148" s="1"/>
      <c r="AB148" s="1"/>
      <c r="AC148" s="1"/>
      <c r="AD148" s="1"/>
      <c r="AE148" s="1"/>
      <c r="AF148" s="1"/>
      <c r="AG148" s="1"/>
      <c r="AH148" s="1"/>
      <c r="AI148" s="1"/>
      <c r="AJ148" s="1"/>
      <c r="AK148" s="1"/>
      <c r="AL148" s="1"/>
      <c r="AM148" s="1"/>
      <c r="AN148" s="1"/>
      <c r="AO148" s="1"/>
      <c r="AP148" s="1"/>
      <c r="AQ148" s="1"/>
      <c r="AR148" s="1"/>
      <c r="AS148" s="1"/>
      <c r="AT148" s="1"/>
      <c r="AU148" s="1"/>
      <c r="AV148" s="1">
        <f>SUM($AT148,Z148:$AA148)-SUM($AV$5:AV$5)*$J148-SUM($AV$6:AV$6)*$K148</f>
        <v>0</v>
      </c>
      <c r="AW148" s="1">
        <f>SUM($AT148,$AA148:AA148)-SUM($AV$5:AW$5)*$J148-SUM($AV$6:AW$6)*$K148</f>
        <v>0</v>
      </c>
      <c r="AX148" s="1">
        <f>SUM($AT148,$AA148:AB148)-SUM($AV$5:AX$5)*$J148-SUM($AV$6:AX$6)*$K148</f>
        <v>0</v>
      </c>
      <c r="AY148" s="1">
        <f>SUM($AT148,$AA148:AC148)-SUM($AV$5:AY$5)*$J148-SUM($AV$6:AY$6)*$K148</f>
        <v>0</v>
      </c>
      <c r="AZ148" s="1">
        <f>SUM($AT148,$AA148:AD148)-SUM($AV$5:AZ$5)*$J148-SUM($AV$6:AZ$6)*$K148</f>
        <v>0</v>
      </c>
      <c r="BA148" s="1">
        <f>SUM($AT148,$AA148:AE148)-SUM($AV$5:BA$5)*$J148-SUM($AV$6:BA$6)*$K148</f>
        <v>0</v>
      </c>
      <c r="BB148" s="1">
        <f>SUM($AT148,$AA148:AF148)-SUM($AV$5:BB$5)*$J148-SUM($AV$6:BB$6)*$K148</f>
        <v>0</v>
      </c>
      <c r="BC148" s="1">
        <f>SUM($AT148,$AA148:AG148)-SUM($AV$5:BC$5)*$J148-SUM($AV$6:BC$6)*$K148</f>
        <v>0</v>
      </c>
      <c r="BD148" s="1">
        <f>SUM($AT148,$AA148:AH148)-SUM($AV$5:BD$5)*$J148-SUM($AV$6:BD$6)*$K148</f>
        <v>0</v>
      </c>
      <c r="BE148" s="1">
        <f>SUM($AT148,$AA148:AI148)-SUM($AV$5:BE$5)*$J148-SUM($AV$6:BE$6)*$K148</f>
        <v>0</v>
      </c>
      <c r="BF148" s="1">
        <f>SUM($AT148,$AA148:AJ148)-SUM($AV$5:BF$5)*$J148-SUM($AV$6:BF$6)*$K148</f>
        <v>0</v>
      </c>
      <c r="BG148" s="1">
        <f>SUM($AT148,$AA148:AK148)-SUM($AV$5:BG$5)*$J148-SUM($AV$6:BG$6)*$K148</f>
        <v>0</v>
      </c>
      <c r="BH148" s="1">
        <f>SUM($AT148,$AA148:AL148)-SUM($AV$5:BH$5)*$J148-SUM($AV$6:BH$6)*$K148</f>
        <v>0</v>
      </c>
      <c r="BI148" s="1">
        <f>SUM($AT148,$AA148:AM148)-SUM($AV$5:BI$5)*$J148-SUM($AV$6:BI$6)*$K148</f>
        <v>0</v>
      </c>
      <c r="BJ148" s="1">
        <f>SUM($AT148,$AA148:AN148)-SUM($AV$5:BJ$5)*$J148-SUM($AV$6:BJ$6)*$K148</f>
        <v>0</v>
      </c>
      <c r="BK148" s="1">
        <f>SUM($AT148,$AA148:AO148)-SUM($AV$5:BK$5)*$J148-SUM($AV$6:BK$6)*$K148</f>
        <v>0</v>
      </c>
      <c r="BL148" s="1">
        <f>SUM($AT148,$AA148:AP148)-SUM($AV$5:BL$5)*$J148-SUM($AV$6:BL$6)*$K148</f>
        <v>0</v>
      </c>
      <c r="BM148" s="1">
        <f>SUM($AT148,$AA148:AQ148)-SUM($AV$5:BM$5)*$J148-SUM($AV$6:BM$6)*$K148</f>
        <v>0</v>
      </c>
      <c r="BN148" s="1">
        <f>SUM($AT148,$AA148:AR148)-SUM($AV$5:BN$5)*$J148-SUM($AV$6:BN$6)*$K148</f>
        <v>0</v>
      </c>
    </row>
    <row r="149" spans="1:66">
      <c r="A149" s="1">
        <v>167</v>
      </c>
      <c r="B149" s="28" t="s">
        <v>531</v>
      </c>
      <c r="C149" s="1" t="s">
        <v>40</v>
      </c>
      <c r="D149" s="2">
        <v>400656752</v>
      </c>
      <c r="E149" s="3" t="s">
        <v>532</v>
      </c>
      <c r="F149" s="1">
        <v>400275213</v>
      </c>
      <c r="G149" s="1" t="s">
        <v>42</v>
      </c>
      <c r="H149" s="1">
        <v>2</v>
      </c>
      <c r="I149" s="1">
        <v>31</v>
      </c>
      <c r="J149" s="1">
        <v>31</v>
      </c>
      <c r="K149" s="1">
        <v>0</v>
      </c>
      <c r="L149" s="1">
        <v>0</v>
      </c>
      <c r="M149" s="1">
        <f t="shared" si="6"/>
        <v>18042</v>
      </c>
      <c r="N149" s="1">
        <f t="shared" si="7"/>
        <v>18042</v>
      </c>
      <c r="O149" s="2" t="s">
        <v>525</v>
      </c>
      <c r="P149" s="1"/>
      <c r="Q149" s="1">
        <v>4.0000000000000001E-3</v>
      </c>
      <c r="R149" s="1" t="s">
        <v>44</v>
      </c>
      <c r="S149" s="30" t="s">
        <v>423</v>
      </c>
      <c r="T149" s="31" t="s">
        <v>238</v>
      </c>
      <c r="U149" s="1"/>
      <c r="V149" s="1">
        <v>10000</v>
      </c>
      <c r="W149" s="1" t="s">
        <v>239</v>
      </c>
      <c r="X149" s="32" t="s">
        <v>240</v>
      </c>
      <c r="Y149" s="1" t="s">
        <v>241</v>
      </c>
      <c r="Z149" s="2" t="s">
        <v>242</v>
      </c>
      <c r="AA149" s="1"/>
      <c r="AB149" s="1"/>
      <c r="AC149" s="1"/>
      <c r="AD149" s="1"/>
      <c r="AE149" s="1"/>
      <c r="AF149" s="1"/>
      <c r="AG149" s="1"/>
      <c r="AH149" s="1"/>
      <c r="AI149" s="1"/>
      <c r="AJ149" s="1"/>
      <c r="AK149" s="1"/>
      <c r="AL149" s="1"/>
      <c r="AM149" s="1"/>
      <c r="AN149" s="1"/>
      <c r="AO149" s="1"/>
      <c r="AP149" s="1"/>
      <c r="AQ149" s="1"/>
      <c r="AR149" s="1"/>
      <c r="AS149" s="1"/>
      <c r="AT149" s="1"/>
      <c r="AU149" s="1"/>
      <c r="AV149" s="1">
        <f>SUM($AT149,Z149:$AA149)-SUM($AV$5:AV$5)*$J149-SUM($AV$6:AV$6)*$K149</f>
        <v>0</v>
      </c>
      <c r="AW149" s="1">
        <f>SUM($AT149,$AA149:AA149)-SUM($AV$5:AW$5)*$J149-SUM($AV$6:AW$6)*$K149</f>
        <v>0</v>
      </c>
      <c r="AX149" s="1">
        <f>SUM($AT149,$AA149:AB149)-SUM($AV$5:AX$5)*$J149-SUM($AV$6:AX$6)*$K149</f>
        <v>0</v>
      </c>
      <c r="AY149" s="1">
        <f>SUM($AT149,$AA149:AC149)-SUM($AV$5:AY$5)*$J149-SUM($AV$6:AY$6)*$K149</f>
        <v>0</v>
      </c>
      <c r="AZ149" s="1">
        <f>SUM($AT149,$AA149:AD149)-SUM($AV$5:AZ$5)*$J149-SUM($AV$6:AZ$6)*$K149</f>
        <v>-1240</v>
      </c>
      <c r="BA149" s="1">
        <f>SUM($AT149,$AA149:AE149)-SUM($AV$5:BA$5)*$J149-SUM($AV$6:BA$6)*$K149</f>
        <v>-2480</v>
      </c>
      <c r="BB149" s="1">
        <f>SUM($AT149,$AA149:AF149)-SUM($AV$5:BB$5)*$J149-SUM($AV$6:BB$6)*$K149</f>
        <v>-3720</v>
      </c>
      <c r="BC149" s="1">
        <f>SUM($AT149,$AA149:AG149)-SUM($AV$5:BC$5)*$J149-SUM($AV$6:BC$6)*$K149</f>
        <v>-4960</v>
      </c>
      <c r="BD149" s="1">
        <f>SUM($AT149,$AA149:AH149)-SUM($AV$5:BD$5)*$J149-SUM($AV$6:BD$6)*$K149</f>
        <v>-6200</v>
      </c>
      <c r="BE149" s="1">
        <f>SUM($AT149,$AA149:AI149)-SUM($AV$5:BE$5)*$J149-SUM($AV$6:BE$6)*$K149</f>
        <v>-7440</v>
      </c>
      <c r="BF149" s="1">
        <f>SUM($AT149,$AA149:AJ149)-SUM($AV$5:BF$5)*$J149-SUM($AV$6:BF$6)*$K149</f>
        <v>-8680</v>
      </c>
      <c r="BG149" s="1">
        <f>SUM($AT149,$AA149:AK149)-SUM($AV$5:BG$5)*$J149-SUM($AV$6:BG$6)*$K149</f>
        <v>-9920</v>
      </c>
      <c r="BH149" s="1">
        <f>SUM($AT149,$AA149:AL149)-SUM($AV$5:BH$5)*$J149-SUM($AV$6:BH$6)*$K149</f>
        <v>-11160</v>
      </c>
      <c r="BI149" s="1">
        <f>SUM($AT149,$AA149:AM149)-SUM($AV$5:BI$5)*$J149-SUM($AV$6:BI$6)*$K149</f>
        <v>-12400</v>
      </c>
      <c r="BJ149" s="1">
        <f>SUM($AT149,$AA149:AN149)-SUM($AV$5:BJ$5)*$J149-SUM($AV$6:BJ$6)*$K149</f>
        <v>-13640</v>
      </c>
      <c r="BK149" s="1">
        <f>SUM($AT149,$AA149:AO149)-SUM($AV$5:BK$5)*$J149-SUM($AV$6:BK$6)*$K149</f>
        <v>-14880</v>
      </c>
      <c r="BL149" s="1">
        <f>SUM($AT149,$AA149:AP149)-SUM($AV$5:BL$5)*$J149-SUM($AV$6:BL$6)*$K149</f>
        <v>-16120</v>
      </c>
      <c r="BM149" s="1">
        <f>SUM($AT149,$AA149:AQ149)-SUM($AV$5:BM$5)*$J149-SUM($AV$6:BM$6)*$K149</f>
        <v>-17360</v>
      </c>
      <c r="BN149" s="1">
        <f>SUM($AT149,$AA149:AR149)-SUM($AV$5:BN$5)*$J149-SUM($AV$6:BN$6)*$K149</f>
        <v>-18042</v>
      </c>
    </row>
    <row r="150" spans="1:66">
      <c r="A150" s="1">
        <v>168</v>
      </c>
      <c r="B150" s="28" t="s">
        <v>533</v>
      </c>
      <c r="C150" s="1" t="s">
        <v>40</v>
      </c>
      <c r="D150" s="2">
        <v>400656753</v>
      </c>
      <c r="E150" s="3" t="s">
        <v>534</v>
      </c>
      <c r="F150" s="1">
        <v>400275214</v>
      </c>
      <c r="G150" s="1" t="s">
        <v>42</v>
      </c>
      <c r="H150" s="1">
        <v>2</v>
      </c>
      <c r="I150" s="1">
        <v>88</v>
      </c>
      <c r="J150" s="1">
        <v>88</v>
      </c>
      <c r="K150" s="1">
        <v>0</v>
      </c>
      <c r="L150" s="1">
        <v>0</v>
      </c>
      <c r="M150" s="1">
        <f t="shared" si="6"/>
        <v>51216</v>
      </c>
      <c r="N150" s="1">
        <f t="shared" si="7"/>
        <v>51216</v>
      </c>
      <c r="O150" s="2" t="s">
        <v>525</v>
      </c>
      <c r="P150" s="1"/>
      <c r="Q150" s="1">
        <v>4.0000000000000001E-3</v>
      </c>
      <c r="R150" s="1" t="s">
        <v>44</v>
      </c>
      <c r="S150" s="30" t="s">
        <v>423</v>
      </c>
      <c r="T150" s="31" t="s">
        <v>238</v>
      </c>
      <c r="U150" s="1"/>
      <c r="V150" s="1">
        <v>10000</v>
      </c>
      <c r="W150" s="1" t="s">
        <v>239</v>
      </c>
      <c r="X150" s="32" t="s">
        <v>240</v>
      </c>
      <c r="Y150" s="1" t="s">
        <v>241</v>
      </c>
      <c r="Z150" s="2" t="s">
        <v>242</v>
      </c>
      <c r="AA150" s="1"/>
      <c r="AB150" s="1"/>
      <c r="AC150" s="1"/>
      <c r="AD150" s="1"/>
      <c r="AE150" s="1"/>
      <c r="AF150" s="1"/>
      <c r="AG150" s="1"/>
      <c r="AH150" s="1"/>
      <c r="AI150" s="1"/>
      <c r="AJ150" s="1"/>
      <c r="AK150" s="1"/>
      <c r="AL150" s="1"/>
      <c r="AM150" s="1"/>
      <c r="AN150" s="1"/>
      <c r="AO150" s="1"/>
      <c r="AP150" s="1"/>
      <c r="AQ150" s="1"/>
      <c r="AR150" s="1"/>
      <c r="AS150" s="1"/>
      <c r="AT150" s="1"/>
      <c r="AU150" s="1"/>
      <c r="AV150" s="1">
        <f>SUM($AT150,Z150:$AA150)-SUM($AV$5:AV$5)*$J150-SUM($AV$6:AV$6)*$K150</f>
        <v>0</v>
      </c>
      <c r="AW150" s="1">
        <f>SUM($AT150,$AA150:AA150)-SUM($AV$5:AW$5)*$J150-SUM($AV$6:AW$6)*$K150</f>
        <v>0</v>
      </c>
      <c r="AX150" s="1">
        <f>SUM($AT150,$AA150:AB150)-SUM($AV$5:AX$5)*$J150-SUM($AV$6:AX$6)*$K150</f>
        <v>0</v>
      </c>
      <c r="AY150" s="1">
        <f>SUM($AT150,$AA150:AC150)-SUM($AV$5:AY$5)*$J150-SUM($AV$6:AY$6)*$K150</f>
        <v>0</v>
      </c>
      <c r="AZ150" s="1">
        <f>SUM($AT150,$AA150:AD150)-SUM($AV$5:AZ$5)*$J150-SUM($AV$6:AZ$6)*$K150</f>
        <v>-3520</v>
      </c>
      <c r="BA150" s="1">
        <f>SUM($AT150,$AA150:AE150)-SUM($AV$5:BA$5)*$J150-SUM($AV$6:BA$6)*$K150</f>
        <v>-7040</v>
      </c>
      <c r="BB150" s="1">
        <f>SUM($AT150,$AA150:AF150)-SUM($AV$5:BB$5)*$J150-SUM($AV$6:BB$6)*$K150</f>
        <v>-10560</v>
      </c>
      <c r="BC150" s="1">
        <f>SUM($AT150,$AA150:AG150)-SUM($AV$5:BC$5)*$J150-SUM($AV$6:BC$6)*$K150</f>
        <v>-14080</v>
      </c>
      <c r="BD150" s="1">
        <f>SUM($AT150,$AA150:AH150)-SUM($AV$5:BD$5)*$J150-SUM($AV$6:BD$6)*$K150</f>
        <v>-17600</v>
      </c>
      <c r="BE150" s="1">
        <f>SUM($AT150,$AA150:AI150)-SUM($AV$5:BE$5)*$J150-SUM($AV$6:BE$6)*$K150</f>
        <v>-21120</v>
      </c>
      <c r="BF150" s="1">
        <f>SUM($AT150,$AA150:AJ150)-SUM($AV$5:BF$5)*$J150-SUM($AV$6:BF$6)*$K150</f>
        <v>-24640</v>
      </c>
      <c r="BG150" s="1">
        <f>SUM($AT150,$AA150:AK150)-SUM($AV$5:BG$5)*$J150-SUM($AV$6:BG$6)*$K150</f>
        <v>-28160</v>
      </c>
      <c r="BH150" s="1">
        <f>SUM($AT150,$AA150:AL150)-SUM($AV$5:BH$5)*$J150-SUM($AV$6:BH$6)*$K150</f>
        <v>-31680</v>
      </c>
      <c r="BI150" s="1">
        <f>SUM($AT150,$AA150:AM150)-SUM($AV$5:BI$5)*$J150-SUM($AV$6:BI$6)*$K150</f>
        <v>-35200</v>
      </c>
      <c r="BJ150" s="1">
        <f>SUM($AT150,$AA150:AN150)-SUM($AV$5:BJ$5)*$J150-SUM($AV$6:BJ$6)*$K150</f>
        <v>-38720</v>
      </c>
      <c r="BK150" s="1">
        <f>SUM($AT150,$AA150:AO150)-SUM($AV$5:BK$5)*$J150-SUM($AV$6:BK$6)*$K150</f>
        <v>-42240</v>
      </c>
      <c r="BL150" s="1">
        <f>SUM($AT150,$AA150:AP150)-SUM($AV$5:BL$5)*$J150-SUM($AV$6:BL$6)*$K150</f>
        <v>-45760</v>
      </c>
      <c r="BM150" s="1">
        <f>SUM($AT150,$AA150:AQ150)-SUM($AV$5:BM$5)*$J150-SUM($AV$6:BM$6)*$K150</f>
        <v>-49280</v>
      </c>
      <c r="BN150" s="1">
        <f>SUM($AT150,$AA150:AR150)-SUM($AV$5:BN$5)*$J150-SUM($AV$6:BN$6)*$K150</f>
        <v>-51216</v>
      </c>
    </row>
    <row r="151" spans="1:66">
      <c r="A151" s="1">
        <v>169</v>
      </c>
      <c r="B151" s="28" t="s">
        <v>535</v>
      </c>
      <c r="C151" s="1" t="s">
        <v>40</v>
      </c>
      <c r="D151" s="2">
        <v>400656755</v>
      </c>
      <c r="E151" s="3" t="s">
        <v>536</v>
      </c>
      <c r="F151" s="1" t="s">
        <v>537</v>
      </c>
      <c r="G151" s="1" t="s">
        <v>42</v>
      </c>
      <c r="H151" s="1">
        <v>2</v>
      </c>
      <c r="I151" s="1">
        <v>159</v>
      </c>
      <c r="J151" s="1">
        <v>159</v>
      </c>
      <c r="K151" s="1">
        <v>0</v>
      </c>
      <c r="L151" s="1">
        <v>0</v>
      </c>
      <c r="M151" s="1">
        <f t="shared" si="6"/>
        <v>92538</v>
      </c>
      <c r="N151" s="1">
        <f t="shared" si="7"/>
        <v>92538</v>
      </c>
      <c r="O151" s="2" t="s">
        <v>253</v>
      </c>
      <c r="P151" s="1"/>
      <c r="Q151" s="1">
        <v>4.0000000000000001E-3</v>
      </c>
      <c r="R151" s="1" t="s">
        <v>44</v>
      </c>
      <c r="S151" s="30" t="s">
        <v>423</v>
      </c>
      <c r="T151" s="31" t="s">
        <v>238</v>
      </c>
      <c r="U151" s="1"/>
      <c r="V151" s="1">
        <v>10000</v>
      </c>
      <c r="W151" s="1" t="s">
        <v>239</v>
      </c>
      <c r="X151" s="32" t="s">
        <v>240</v>
      </c>
      <c r="Y151" s="1" t="s">
        <v>241</v>
      </c>
      <c r="Z151" s="2" t="s">
        <v>242</v>
      </c>
      <c r="AA151" s="1"/>
      <c r="AB151" s="1"/>
      <c r="AC151" s="1"/>
      <c r="AD151" s="1"/>
      <c r="AE151" s="1"/>
      <c r="AF151" s="1"/>
      <c r="AG151" s="1"/>
      <c r="AH151" s="1"/>
      <c r="AI151" s="1"/>
      <c r="AJ151" s="1"/>
      <c r="AK151" s="1"/>
      <c r="AL151" s="1"/>
      <c r="AM151" s="1"/>
      <c r="AN151" s="1"/>
      <c r="AO151" s="1"/>
      <c r="AP151" s="1"/>
      <c r="AQ151" s="1"/>
      <c r="AR151" s="1"/>
      <c r="AS151" s="1"/>
      <c r="AT151" s="1"/>
      <c r="AU151" s="1"/>
      <c r="AV151" s="1">
        <f>SUM($AT151,Z151:$AA151)-SUM($AV$5:AV$5)*$J151-SUM($AV$6:AV$6)*$K151</f>
        <v>0</v>
      </c>
      <c r="AW151" s="1">
        <f>SUM($AT151,$AA151:AA151)-SUM($AV$5:AW$5)*$J151-SUM($AV$6:AW$6)*$K151</f>
        <v>0</v>
      </c>
      <c r="AX151" s="1">
        <f>SUM($AT151,$AA151:AB151)-SUM($AV$5:AX$5)*$J151-SUM($AV$6:AX$6)*$K151</f>
        <v>0</v>
      </c>
      <c r="AY151" s="1">
        <f>SUM($AT151,$AA151:AC151)-SUM($AV$5:AY$5)*$J151-SUM($AV$6:AY$6)*$K151</f>
        <v>0</v>
      </c>
      <c r="AZ151" s="1">
        <f>SUM($AT151,$AA151:AD151)-SUM($AV$5:AZ$5)*$J151-SUM($AV$6:AZ$6)*$K151</f>
        <v>-6360</v>
      </c>
      <c r="BA151" s="1">
        <f>SUM($AT151,$AA151:AE151)-SUM($AV$5:BA$5)*$J151-SUM($AV$6:BA$6)*$K151</f>
        <v>-12720</v>
      </c>
      <c r="BB151" s="1">
        <f>SUM($AT151,$AA151:AF151)-SUM($AV$5:BB$5)*$J151-SUM($AV$6:BB$6)*$K151</f>
        <v>-19080</v>
      </c>
      <c r="BC151" s="1">
        <f>SUM($AT151,$AA151:AG151)-SUM($AV$5:BC$5)*$J151-SUM($AV$6:BC$6)*$K151</f>
        <v>-25440</v>
      </c>
      <c r="BD151" s="1">
        <f>SUM($AT151,$AA151:AH151)-SUM($AV$5:BD$5)*$J151-SUM($AV$6:BD$6)*$K151</f>
        <v>-31800</v>
      </c>
      <c r="BE151" s="1">
        <f>SUM($AT151,$AA151:AI151)-SUM($AV$5:BE$5)*$J151-SUM($AV$6:BE$6)*$K151</f>
        <v>-38160</v>
      </c>
      <c r="BF151" s="1">
        <f>SUM($AT151,$AA151:AJ151)-SUM($AV$5:BF$5)*$J151-SUM($AV$6:BF$6)*$K151</f>
        <v>-44520</v>
      </c>
      <c r="BG151" s="1">
        <f>SUM($AT151,$AA151:AK151)-SUM($AV$5:BG$5)*$J151-SUM($AV$6:BG$6)*$K151</f>
        <v>-50880</v>
      </c>
      <c r="BH151" s="1">
        <f>SUM($AT151,$AA151:AL151)-SUM($AV$5:BH$5)*$J151-SUM($AV$6:BH$6)*$K151</f>
        <v>-57240</v>
      </c>
      <c r="BI151" s="1">
        <f>SUM($AT151,$AA151:AM151)-SUM($AV$5:BI$5)*$J151-SUM($AV$6:BI$6)*$K151</f>
        <v>-63600</v>
      </c>
      <c r="BJ151" s="1">
        <f>SUM($AT151,$AA151:AN151)-SUM($AV$5:BJ$5)*$J151-SUM($AV$6:BJ$6)*$K151</f>
        <v>-69960</v>
      </c>
      <c r="BK151" s="1">
        <f>SUM($AT151,$AA151:AO151)-SUM($AV$5:BK$5)*$J151-SUM($AV$6:BK$6)*$K151</f>
        <v>-76320</v>
      </c>
      <c r="BL151" s="1">
        <f>SUM($AT151,$AA151:AP151)-SUM($AV$5:BL$5)*$J151-SUM($AV$6:BL$6)*$K151</f>
        <v>-82680</v>
      </c>
      <c r="BM151" s="1">
        <f>SUM($AT151,$AA151:AQ151)-SUM($AV$5:BM$5)*$J151-SUM($AV$6:BM$6)*$K151</f>
        <v>-89040</v>
      </c>
      <c r="BN151" s="1">
        <f>SUM($AT151,$AA151:AR151)-SUM($AV$5:BN$5)*$J151-SUM($AV$6:BN$6)*$K151</f>
        <v>-92538</v>
      </c>
    </row>
    <row r="152" spans="1:66">
      <c r="A152" s="1">
        <v>170</v>
      </c>
      <c r="B152" s="28" t="s">
        <v>538</v>
      </c>
      <c r="C152" s="1" t="s">
        <v>40</v>
      </c>
      <c r="D152" s="2">
        <v>400656757</v>
      </c>
      <c r="E152" s="3" t="s">
        <v>539</v>
      </c>
      <c r="F152" s="1" t="s">
        <v>540</v>
      </c>
      <c r="G152" s="1" t="s">
        <v>42</v>
      </c>
      <c r="H152" s="1">
        <v>2</v>
      </c>
      <c r="I152" s="1">
        <v>70</v>
      </c>
      <c r="J152" s="1">
        <v>34</v>
      </c>
      <c r="K152" s="1">
        <v>0</v>
      </c>
      <c r="L152" s="1">
        <v>36</v>
      </c>
      <c r="M152" s="1">
        <f t="shared" si="6"/>
        <v>29724</v>
      </c>
      <c r="N152" s="1">
        <f t="shared" si="7"/>
        <v>29724</v>
      </c>
      <c r="O152" s="2" t="s">
        <v>525</v>
      </c>
      <c r="P152" s="1"/>
      <c r="Q152" s="1">
        <v>4.0000000000000001E-3</v>
      </c>
      <c r="R152" s="1" t="s">
        <v>44</v>
      </c>
      <c r="S152" s="30" t="s">
        <v>423</v>
      </c>
      <c r="T152" s="31" t="s">
        <v>238</v>
      </c>
      <c r="U152" s="1"/>
      <c r="V152" s="1">
        <v>10000</v>
      </c>
      <c r="W152" s="1" t="s">
        <v>239</v>
      </c>
      <c r="X152" s="32" t="s">
        <v>240</v>
      </c>
      <c r="Y152" s="1" t="s">
        <v>241</v>
      </c>
      <c r="Z152" s="2" t="s">
        <v>242</v>
      </c>
      <c r="AA152" s="1"/>
      <c r="AB152" s="1"/>
      <c r="AC152" s="1"/>
      <c r="AD152" s="1"/>
      <c r="AE152" s="1"/>
      <c r="AF152" s="1"/>
      <c r="AG152" s="1"/>
      <c r="AH152" s="1"/>
      <c r="AI152" s="1"/>
      <c r="AJ152" s="1"/>
      <c r="AK152" s="1"/>
      <c r="AL152" s="1"/>
      <c r="AM152" s="1"/>
      <c r="AN152" s="1"/>
      <c r="AO152" s="1"/>
      <c r="AP152" s="1"/>
      <c r="AQ152" s="1"/>
      <c r="AR152" s="1"/>
      <c r="AS152" s="1"/>
      <c r="AT152" s="1"/>
      <c r="AU152" s="1"/>
      <c r="AV152" s="1">
        <f>SUM($AT152,Z152:$AA152)-SUM($AV$5:AV$5)*$J152-SUM($AV$6:AV$6)*$K152</f>
        <v>0</v>
      </c>
      <c r="AW152" s="1">
        <f>SUM($AT152,$AA152:AA152)-SUM($AV$5:AW$5)*$J152-SUM($AV$6:AW$6)*$K152</f>
        <v>0</v>
      </c>
      <c r="AX152" s="1">
        <f>SUM($AT152,$AA152:AB152)-SUM($AV$5:AX$5)*$J152-SUM($AV$6:AX$6)*$K152</f>
        <v>0</v>
      </c>
      <c r="AY152" s="1">
        <f>SUM($AT152,$AA152:AC152)-SUM($AV$5:AY$5)*$J152-SUM($AV$6:AY$6)*$K152</f>
        <v>0</v>
      </c>
      <c r="AZ152" s="1">
        <f>SUM($AT152,$AA152:AD152)-SUM($AV$5:AZ$5)*$J152-SUM($AV$6:AZ$6)*$K152</f>
        <v>-1360</v>
      </c>
      <c r="BA152" s="1">
        <f>SUM($AT152,$AA152:AE152)-SUM($AV$5:BA$5)*$J152-SUM($AV$6:BA$6)*$K152</f>
        <v>-2720</v>
      </c>
      <c r="BB152" s="1">
        <f>SUM($AT152,$AA152:AF152)-SUM($AV$5:BB$5)*$J152-SUM($AV$6:BB$6)*$K152</f>
        <v>-4080</v>
      </c>
      <c r="BC152" s="1">
        <f>SUM($AT152,$AA152:AG152)-SUM($AV$5:BC$5)*$J152-SUM($AV$6:BC$6)*$K152</f>
        <v>-5440</v>
      </c>
      <c r="BD152" s="1">
        <f>SUM($AT152,$AA152:AH152)-SUM($AV$5:BD$5)*$J152-SUM($AV$6:BD$6)*$K152</f>
        <v>-6800</v>
      </c>
      <c r="BE152" s="1">
        <f>SUM($AT152,$AA152:AI152)-SUM($AV$5:BE$5)*$J152-SUM($AV$6:BE$6)*$K152</f>
        <v>-8160</v>
      </c>
      <c r="BF152" s="1">
        <f>SUM($AT152,$AA152:AJ152)-SUM($AV$5:BF$5)*$J152-SUM($AV$6:BF$6)*$K152</f>
        <v>-9520</v>
      </c>
      <c r="BG152" s="1">
        <f>SUM($AT152,$AA152:AK152)-SUM($AV$5:BG$5)*$J152-SUM($AV$6:BG$6)*$K152</f>
        <v>-10880</v>
      </c>
      <c r="BH152" s="1">
        <f>SUM($AT152,$AA152:AL152)-SUM($AV$5:BH$5)*$J152-SUM($AV$6:BH$6)*$K152</f>
        <v>-12240</v>
      </c>
      <c r="BI152" s="1">
        <f>SUM($AT152,$AA152:AM152)-SUM($AV$5:BI$5)*$J152-SUM($AV$6:BI$6)*$K152</f>
        <v>-13600</v>
      </c>
      <c r="BJ152" s="1">
        <f>SUM($AT152,$AA152:AN152)-SUM($AV$5:BJ$5)*$J152-SUM($AV$6:BJ$6)*$K152</f>
        <v>-14960</v>
      </c>
      <c r="BK152" s="1">
        <f>SUM($AT152,$AA152:AO152)-SUM($AV$5:BK$5)*$J152-SUM($AV$6:BK$6)*$K152</f>
        <v>-16320</v>
      </c>
      <c r="BL152" s="1">
        <f>SUM($AT152,$AA152:AP152)-SUM($AV$5:BL$5)*$J152-SUM($AV$6:BL$6)*$K152</f>
        <v>-17680</v>
      </c>
      <c r="BM152" s="1">
        <f>SUM($AT152,$AA152:AQ152)-SUM($AV$5:BM$5)*$J152-SUM($AV$6:BM$6)*$K152</f>
        <v>-19040</v>
      </c>
      <c r="BN152" s="1">
        <f>SUM($AT152,$AA152:AR152)-SUM($AV$5:BN$5)*$J152-SUM($AV$6:BN$6)*$K152</f>
        <v>-19788</v>
      </c>
    </row>
    <row r="153" spans="1:66">
      <c r="A153" s="1">
        <v>157</v>
      </c>
      <c r="B153" s="28" t="s">
        <v>541</v>
      </c>
      <c r="C153" s="1" t="s">
        <v>40</v>
      </c>
      <c r="D153" s="2">
        <v>417983115</v>
      </c>
      <c r="E153" s="3" t="s">
        <v>542</v>
      </c>
      <c r="F153" s="1" t="s">
        <v>543</v>
      </c>
      <c r="G153" s="1" t="s">
        <v>42</v>
      </c>
      <c r="H153" s="1">
        <v>2</v>
      </c>
      <c r="I153" s="1">
        <v>4</v>
      </c>
      <c r="J153" s="1">
        <v>0</v>
      </c>
      <c r="K153" s="1">
        <v>0</v>
      </c>
      <c r="L153" s="1">
        <v>4</v>
      </c>
      <c r="M153" s="1">
        <f t="shared" si="6"/>
        <v>1104</v>
      </c>
      <c r="N153" s="1">
        <f t="shared" si="7"/>
        <v>1104</v>
      </c>
      <c r="O153" s="2" t="s">
        <v>470</v>
      </c>
      <c r="P153" s="1"/>
      <c r="Q153" s="1">
        <v>7.4999999999999997E-3</v>
      </c>
      <c r="R153" s="1" t="s">
        <v>44</v>
      </c>
      <c r="S153" s="30" t="s">
        <v>458</v>
      </c>
      <c r="T153" s="31" t="s">
        <v>304</v>
      </c>
      <c r="U153" s="1">
        <v>4000</v>
      </c>
      <c r="V153" s="1">
        <v>4000</v>
      </c>
      <c r="W153" s="1" t="s">
        <v>305</v>
      </c>
      <c r="X153" s="33" t="s">
        <v>306</v>
      </c>
      <c r="Y153" s="1" t="s">
        <v>307</v>
      </c>
      <c r="Z153" s="2" t="s">
        <v>470</v>
      </c>
      <c r="AA153" s="1"/>
      <c r="AB153" s="1"/>
      <c r="AC153" s="1"/>
      <c r="AD153" s="1"/>
      <c r="AE153" s="1"/>
      <c r="AF153" s="1"/>
      <c r="AG153" s="1"/>
      <c r="AH153" s="1"/>
      <c r="AI153" s="1"/>
      <c r="AJ153" s="1"/>
      <c r="AK153" s="1"/>
      <c r="AL153" s="1"/>
      <c r="AM153" s="1"/>
      <c r="AN153" s="1"/>
      <c r="AO153" s="1"/>
      <c r="AP153" s="1"/>
      <c r="AQ153" s="1"/>
      <c r="AR153" s="1"/>
      <c r="AS153" s="1"/>
      <c r="AT153" s="1"/>
      <c r="AU153" s="1"/>
      <c r="AV153" s="1">
        <f>SUM($AT153,Z153:$AA153)-SUM($AV$5:AV$5)*$J153-SUM($AV$6:AV$6)*$K153</f>
        <v>0</v>
      </c>
      <c r="AW153" s="1">
        <f>SUM($AT153,$AA153:AA153)-SUM($AV$5:AW$5)*$J153-SUM($AV$6:AW$6)*$K153</f>
        <v>0</v>
      </c>
      <c r="AX153" s="1">
        <f>SUM($AT153,$AA153:AB153)-SUM($AV$5:AX$5)*$J153-SUM($AV$6:AX$6)*$K153</f>
        <v>0</v>
      </c>
      <c r="AY153" s="1">
        <f>SUM($AT153,$AA153:AC153)-SUM($AV$5:AY$5)*$J153-SUM($AV$6:AY$6)*$K153</f>
        <v>0</v>
      </c>
      <c r="AZ153" s="1">
        <f>SUM($AT153,$AA153:AD153)-SUM($AV$5:AZ$5)*$J153-SUM($AV$6:AZ$6)*$K153</f>
        <v>0</v>
      </c>
      <c r="BA153" s="1">
        <f>SUM($AT153,$AA153:AE153)-SUM($AV$5:BA$5)*$J153-SUM($AV$6:BA$6)*$K153</f>
        <v>0</v>
      </c>
      <c r="BB153" s="1">
        <f>SUM($AT153,$AA153:AF153)-SUM($AV$5:BB$5)*$J153-SUM($AV$6:BB$6)*$K153</f>
        <v>0</v>
      </c>
      <c r="BC153" s="1">
        <f>SUM($AT153,$AA153:AG153)-SUM($AV$5:BC$5)*$J153-SUM($AV$6:BC$6)*$K153</f>
        <v>0</v>
      </c>
      <c r="BD153" s="1">
        <f>SUM($AT153,$AA153:AH153)-SUM($AV$5:BD$5)*$J153-SUM($AV$6:BD$6)*$K153</f>
        <v>0</v>
      </c>
      <c r="BE153" s="1">
        <f>SUM($AT153,$AA153:AI153)-SUM($AV$5:BE$5)*$J153-SUM($AV$6:BE$6)*$K153</f>
        <v>0</v>
      </c>
      <c r="BF153" s="1">
        <f>SUM($AT153,$AA153:AJ153)-SUM($AV$5:BF$5)*$J153-SUM($AV$6:BF$6)*$K153</f>
        <v>0</v>
      </c>
      <c r="BG153" s="1">
        <f>SUM($AT153,$AA153:AK153)-SUM($AV$5:BG$5)*$J153-SUM($AV$6:BG$6)*$K153</f>
        <v>0</v>
      </c>
      <c r="BH153" s="1">
        <f>SUM($AT153,$AA153:AL153)-SUM($AV$5:BH$5)*$J153-SUM($AV$6:BH$6)*$K153</f>
        <v>0</v>
      </c>
      <c r="BI153" s="1">
        <f>SUM($AT153,$AA153:AM153)-SUM($AV$5:BI$5)*$J153-SUM($AV$6:BI$6)*$K153</f>
        <v>0</v>
      </c>
      <c r="BJ153" s="1">
        <f>SUM($AT153,$AA153:AN153)-SUM($AV$5:BJ$5)*$J153-SUM($AV$6:BJ$6)*$K153</f>
        <v>0</v>
      </c>
      <c r="BK153" s="1">
        <f>SUM($AT153,$AA153:AO153)-SUM($AV$5:BK$5)*$J153-SUM($AV$6:BK$6)*$K153</f>
        <v>0</v>
      </c>
      <c r="BL153" s="1">
        <f>SUM($AT153,$AA153:AP153)-SUM($AV$5:BL$5)*$J153-SUM($AV$6:BL$6)*$K153</f>
        <v>0</v>
      </c>
      <c r="BM153" s="1">
        <f>SUM($AT153,$AA153:AQ153)-SUM($AV$5:BM$5)*$J153-SUM($AV$6:BM$6)*$K153</f>
        <v>0</v>
      </c>
      <c r="BN153" s="1">
        <f>SUM($AT153,$AA153:AR153)-SUM($AV$5:BN$5)*$J153-SUM($AV$6:BN$6)*$K153</f>
        <v>0</v>
      </c>
    </row>
    <row r="154" spans="1:66">
      <c r="A154" s="1">
        <v>171</v>
      </c>
      <c r="B154" s="28" t="s">
        <v>544</v>
      </c>
      <c r="C154" s="1" t="s">
        <v>40</v>
      </c>
      <c r="D154" s="2">
        <v>401479713</v>
      </c>
      <c r="E154" s="3" t="s">
        <v>545</v>
      </c>
      <c r="F154" s="1">
        <v>400294459</v>
      </c>
      <c r="G154" s="1" t="s">
        <v>42</v>
      </c>
      <c r="H154" s="1">
        <v>2</v>
      </c>
      <c r="I154" s="1">
        <v>49</v>
      </c>
      <c r="J154" s="1">
        <v>49</v>
      </c>
      <c r="K154" s="1">
        <v>0</v>
      </c>
      <c r="L154" s="1">
        <v>0</v>
      </c>
      <c r="M154" s="1">
        <f t="shared" si="6"/>
        <v>28518</v>
      </c>
      <c r="N154" s="1">
        <f t="shared" si="7"/>
        <v>28518</v>
      </c>
      <c r="O154" s="2" t="s">
        <v>525</v>
      </c>
      <c r="P154" s="1"/>
      <c r="Q154" s="1">
        <v>4.0000000000000001E-3</v>
      </c>
      <c r="R154" s="1" t="s">
        <v>44</v>
      </c>
      <c r="S154" s="30" t="s">
        <v>423</v>
      </c>
      <c r="T154" s="31" t="s">
        <v>238</v>
      </c>
      <c r="U154" s="1"/>
      <c r="V154" s="1">
        <v>10000</v>
      </c>
      <c r="W154" s="1" t="s">
        <v>239</v>
      </c>
      <c r="X154" s="32" t="s">
        <v>240</v>
      </c>
      <c r="Y154" s="1" t="s">
        <v>241</v>
      </c>
      <c r="Z154" s="2" t="s">
        <v>242</v>
      </c>
      <c r="AA154" s="1"/>
      <c r="AB154" s="1"/>
      <c r="AC154" s="1"/>
      <c r="AD154" s="1"/>
      <c r="AE154" s="1"/>
      <c r="AF154" s="1"/>
      <c r="AG154" s="1"/>
      <c r="AH154" s="1"/>
      <c r="AI154" s="1"/>
      <c r="AJ154" s="1"/>
      <c r="AK154" s="1"/>
      <c r="AL154" s="1"/>
      <c r="AM154" s="1"/>
      <c r="AN154" s="1"/>
      <c r="AO154" s="1"/>
      <c r="AP154" s="1"/>
      <c r="AQ154" s="1"/>
      <c r="AR154" s="1"/>
      <c r="AS154" s="1"/>
      <c r="AT154" s="1"/>
      <c r="AU154" s="1"/>
      <c r="AV154" s="1">
        <f>SUM($AT154,Z154:$AA154)-SUM($AV$5:AV$5)*$J154-SUM($AV$6:AV$6)*$K154</f>
        <v>0</v>
      </c>
      <c r="AW154" s="1">
        <f>SUM($AT154,$AA154:AA154)-SUM($AV$5:AW$5)*$J154-SUM($AV$6:AW$6)*$K154</f>
        <v>0</v>
      </c>
      <c r="AX154" s="1">
        <f>SUM($AT154,$AA154:AB154)-SUM($AV$5:AX$5)*$J154-SUM($AV$6:AX$6)*$K154</f>
        <v>0</v>
      </c>
      <c r="AY154" s="1">
        <f>SUM($AT154,$AA154:AC154)-SUM($AV$5:AY$5)*$J154-SUM($AV$6:AY$6)*$K154</f>
        <v>0</v>
      </c>
      <c r="AZ154" s="1">
        <f>SUM($AT154,$AA154:AD154)-SUM($AV$5:AZ$5)*$J154-SUM($AV$6:AZ$6)*$K154</f>
        <v>-1960</v>
      </c>
      <c r="BA154" s="1">
        <f>SUM($AT154,$AA154:AE154)-SUM($AV$5:BA$5)*$J154-SUM($AV$6:BA$6)*$K154</f>
        <v>-3920</v>
      </c>
      <c r="BB154" s="1">
        <f>SUM($AT154,$AA154:AF154)-SUM($AV$5:BB$5)*$J154-SUM($AV$6:BB$6)*$K154</f>
        <v>-5880</v>
      </c>
      <c r="BC154" s="1">
        <f>SUM($AT154,$AA154:AG154)-SUM($AV$5:BC$5)*$J154-SUM($AV$6:BC$6)*$K154</f>
        <v>-7840</v>
      </c>
      <c r="BD154" s="1">
        <f>SUM($AT154,$AA154:AH154)-SUM($AV$5:BD$5)*$J154-SUM($AV$6:BD$6)*$K154</f>
        <v>-9800</v>
      </c>
      <c r="BE154" s="1">
        <f>SUM($AT154,$AA154:AI154)-SUM($AV$5:BE$5)*$J154-SUM($AV$6:BE$6)*$K154</f>
        <v>-11760</v>
      </c>
      <c r="BF154" s="1">
        <f>SUM($AT154,$AA154:AJ154)-SUM($AV$5:BF$5)*$J154-SUM($AV$6:BF$6)*$K154</f>
        <v>-13720</v>
      </c>
      <c r="BG154" s="1">
        <f>SUM($AT154,$AA154:AK154)-SUM($AV$5:BG$5)*$J154-SUM($AV$6:BG$6)*$K154</f>
        <v>-15680</v>
      </c>
      <c r="BH154" s="1">
        <f>SUM($AT154,$AA154:AL154)-SUM($AV$5:BH$5)*$J154-SUM($AV$6:BH$6)*$K154</f>
        <v>-17640</v>
      </c>
      <c r="BI154" s="1">
        <f>SUM($AT154,$AA154:AM154)-SUM($AV$5:BI$5)*$J154-SUM($AV$6:BI$6)*$K154</f>
        <v>-19600</v>
      </c>
      <c r="BJ154" s="1">
        <f>SUM($AT154,$AA154:AN154)-SUM($AV$5:BJ$5)*$J154-SUM($AV$6:BJ$6)*$K154</f>
        <v>-21560</v>
      </c>
      <c r="BK154" s="1">
        <f>SUM($AT154,$AA154:AO154)-SUM($AV$5:BK$5)*$J154-SUM($AV$6:BK$6)*$K154</f>
        <v>-23520</v>
      </c>
      <c r="BL154" s="1">
        <f>SUM($AT154,$AA154:AP154)-SUM($AV$5:BL$5)*$J154-SUM($AV$6:BL$6)*$K154</f>
        <v>-25480</v>
      </c>
      <c r="BM154" s="1">
        <f>SUM($AT154,$AA154:AQ154)-SUM($AV$5:BM$5)*$J154-SUM($AV$6:BM$6)*$K154</f>
        <v>-27440</v>
      </c>
      <c r="BN154" s="1">
        <f>SUM($AT154,$AA154:AR154)-SUM($AV$5:BN$5)*$J154-SUM($AV$6:BN$6)*$K154</f>
        <v>-28518</v>
      </c>
    </row>
    <row r="155" spans="1:66">
      <c r="A155" s="1">
        <v>172</v>
      </c>
      <c r="B155" s="28" t="s">
        <v>546</v>
      </c>
      <c r="C155" s="1" t="s">
        <v>40</v>
      </c>
      <c r="D155" s="2">
        <v>401553982</v>
      </c>
      <c r="E155" s="3" t="s">
        <v>547</v>
      </c>
      <c r="F155" s="1">
        <v>400275342</v>
      </c>
      <c r="G155" s="1" t="s">
        <v>42</v>
      </c>
      <c r="H155" s="1">
        <v>2</v>
      </c>
      <c r="I155" s="1">
        <v>5</v>
      </c>
      <c r="J155" s="1">
        <v>5</v>
      </c>
      <c r="K155" s="1">
        <v>0</v>
      </c>
      <c r="L155" s="1">
        <v>0</v>
      </c>
      <c r="M155" s="1">
        <f t="shared" si="6"/>
        <v>2910</v>
      </c>
      <c r="N155" s="1">
        <f t="shared" si="7"/>
        <v>2910</v>
      </c>
      <c r="O155" s="2" t="s">
        <v>525</v>
      </c>
      <c r="P155" s="1"/>
      <c r="Q155" s="1">
        <v>4.0000000000000001E-3</v>
      </c>
      <c r="R155" s="1" t="s">
        <v>44</v>
      </c>
      <c r="S155" s="30" t="s">
        <v>423</v>
      </c>
      <c r="T155" s="31" t="s">
        <v>238</v>
      </c>
      <c r="U155" s="1"/>
      <c r="V155" s="1">
        <v>10000</v>
      </c>
      <c r="W155" s="1" t="s">
        <v>239</v>
      </c>
      <c r="X155" s="32" t="s">
        <v>240</v>
      </c>
      <c r="Y155" s="1" t="s">
        <v>241</v>
      </c>
      <c r="Z155" s="2" t="s">
        <v>242</v>
      </c>
      <c r="AA155" s="1"/>
      <c r="AB155" s="1"/>
      <c r="AC155" s="1"/>
      <c r="AD155" s="1"/>
      <c r="AE155" s="1"/>
      <c r="AF155" s="1"/>
      <c r="AG155" s="1"/>
      <c r="AH155" s="1"/>
      <c r="AI155" s="1"/>
      <c r="AJ155" s="1"/>
      <c r="AK155" s="1"/>
      <c r="AL155" s="1"/>
      <c r="AM155" s="1"/>
      <c r="AN155" s="1"/>
      <c r="AO155" s="1"/>
      <c r="AP155" s="1"/>
      <c r="AQ155" s="1"/>
      <c r="AR155" s="1"/>
      <c r="AS155" s="1"/>
      <c r="AT155" s="1"/>
      <c r="AU155" s="1"/>
      <c r="AV155" s="1">
        <f>SUM($AT155,Z155:$AA155)-SUM($AV$5:AV$5)*$J155-SUM($AV$6:AV$6)*$K155</f>
        <v>0</v>
      </c>
      <c r="AW155" s="1">
        <f>SUM($AT155,$AA155:AA155)-SUM($AV$5:AW$5)*$J155-SUM($AV$6:AW$6)*$K155</f>
        <v>0</v>
      </c>
      <c r="AX155" s="1">
        <f>SUM($AT155,$AA155:AB155)-SUM($AV$5:AX$5)*$J155-SUM($AV$6:AX$6)*$K155</f>
        <v>0</v>
      </c>
      <c r="AY155" s="1">
        <f>SUM($AT155,$AA155:AC155)-SUM($AV$5:AY$5)*$J155-SUM($AV$6:AY$6)*$K155</f>
        <v>0</v>
      </c>
      <c r="AZ155" s="1">
        <f>SUM($AT155,$AA155:AD155)-SUM($AV$5:AZ$5)*$J155-SUM($AV$6:AZ$6)*$K155</f>
        <v>-200</v>
      </c>
      <c r="BA155" s="1">
        <f>SUM($AT155,$AA155:AE155)-SUM($AV$5:BA$5)*$J155-SUM($AV$6:BA$6)*$K155</f>
        <v>-400</v>
      </c>
      <c r="BB155" s="1">
        <f>SUM($AT155,$AA155:AF155)-SUM($AV$5:BB$5)*$J155-SUM($AV$6:BB$6)*$K155</f>
        <v>-600</v>
      </c>
      <c r="BC155" s="1">
        <f>SUM($AT155,$AA155:AG155)-SUM($AV$5:BC$5)*$J155-SUM($AV$6:BC$6)*$K155</f>
        <v>-800</v>
      </c>
      <c r="BD155" s="1">
        <f>SUM($AT155,$AA155:AH155)-SUM($AV$5:BD$5)*$J155-SUM($AV$6:BD$6)*$K155</f>
        <v>-1000</v>
      </c>
      <c r="BE155" s="1">
        <f>SUM($AT155,$AA155:AI155)-SUM($AV$5:BE$5)*$J155-SUM($AV$6:BE$6)*$K155</f>
        <v>-1200</v>
      </c>
      <c r="BF155" s="1">
        <f>SUM($AT155,$AA155:AJ155)-SUM($AV$5:BF$5)*$J155-SUM($AV$6:BF$6)*$K155</f>
        <v>-1400</v>
      </c>
      <c r="BG155" s="1">
        <f>SUM($AT155,$AA155:AK155)-SUM($AV$5:BG$5)*$J155-SUM($AV$6:BG$6)*$K155</f>
        <v>-1600</v>
      </c>
      <c r="BH155" s="1">
        <f>SUM($AT155,$AA155:AL155)-SUM($AV$5:BH$5)*$J155-SUM($AV$6:BH$6)*$K155</f>
        <v>-1800</v>
      </c>
      <c r="BI155" s="1">
        <f>SUM($AT155,$AA155:AM155)-SUM($AV$5:BI$5)*$J155-SUM($AV$6:BI$6)*$K155</f>
        <v>-2000</v>
      </c>
      <c r="BJ155" s="1">
        <f>SUM($AT155,$AA155:AN155)-SUM($AV$5:BJ$5)*$J155-SUM($AV$6:BJ$6)*$K155</f>
        <v>-2200</v>
      </c>
      <c r="BK155" s="1">
        <f>SUM($AT155,$AA155:AO155)-SUM($AV$5:BK$5)*$J155-SUM($AV$6:BK$6)*$K155</f>
        <v>-2400</v>
      </c>
      <c r="BL155" s="1">
        <f>SUM($AT155,$AA155:AP155)-SUM($AV$5:BL$5)*$J155-SUM($AV$6:BL$6)*$K155</f>
        <v>-2600</v>
      </c>
      <c r="BM155" s="1">
        <f>SUM($AT155,$AA155:AQ155)-SUM($AV$5:BM$5)*$J155-SUM($AV$6:BM$6)*$K155</f>
        <v>-2800</v>
      </c>
      <c r="BN155" s="1">
        <f>SUM($AT155,$AA155:AR155)-SUM($AV$5:BN$5)*$J155-SUM($AV$6:BN$6)*$K155</f>
        <v>-2910</v>
      </c>
    </row>
    <row r="156" spans="1:66">
      <c r="A156" s="1">
        <v>173</v>
      </c>
      <c r="B156" s="28" t="s">
        <v>548</v>
      </c>
      <c r="C156" s="1" t="s">
        <v>40</v>
      </c>
      <c r="D156" s="2">
        <v>401234987</v>
      </c>
      <c r="E156" s="3" t="s">
        <v>549</v>
      </c>
      <c r="F156" s="1">
        <v>400275408</v>
      </c>
      <c r="G156" s="1" t="s">
        <v>42</v>
      </c>
      <c r="H156" s="1">
        <v>2</v>
      </c>
      <c r="I156" s="1">
        <v>8</v>
      </c>
      <c r="J156" s="1">
        <v>8</v>
      </c>
      <c r="K156" s="1">
        <v>0</v>
      </c>
      <c r="L156" s="1">
        <v>0</v>
      </c>
      <c r="M156" s="1">
        <f t="shared" si="6"/>
        <v>4656</v>
      </c>
      <c r="N156" s="1">
        <f t="shared" si="7"/>
        <v>4656</v>
      </c>
      <c r="O156" s="2" t="s">
        <v>253</v>
      </c>
      <c r="P156" s="1"/>
      <c r="Q156" s="1">
        <v>4.0000000000000001E-3</v>
      </c>
      <c r="R156" s="1" t="s">
        <v>44</v>
      </c>
      <c r="S156" s="30" t="s">
        <v>423</v>
      </c>
      <c r="T156" s="31" t="s">
        <v>238</v>
      </c>
      <c r="U156" s="1"/>
      <c r="V156" s="1">
        <v>10000</v>
      </c>
      <c r="W156" s="1" t="s">
        <v>239</v>
      </c>
      <c r="X156" s="32" t="s">
        <v>240</v>
      </c>
      <c r="Y156" s="1" t="s">
        <v>241</v>
      </c>
      <c r="Z156" s="2" t="s">
        <v>242</v>
      </c>
      <c r="AA156" s="1"/>
      <c r="AB156" s="1"/>
      <c r="AC156" s="1"/>
      <c r="AD156" s="1"/>
      <c r="AE156" s="1"/>
      <c r="AF156" s="1"/>
      <c r="AG156" s="1"/>
      <c r="AH156" s="1"/>
      <c r="AI156" s="1"/>
      <c r="AJ156" s="1"/>
      <c r="AK156" s="1"/>
      <c r="AL156" s="1"/>
      <c r="AM156" s="1"/>
      <c r="AN156" s="1"/>
      <c r="AO156" s="1"/>
      <c r="AP156" s="1"/>
      <c r="AQ156" s="1"/>
      <c r="AR156" s="1"/>
      <c r="AS156" s="1"/>
      <c r="AT156" s="1"/>
      <c r="AU156" s="1"/>
      <c r="AV156" s="1">
        <f>SUM($AT156,Z156:$AA156)-SUM($AV$5:AV$5)*$J156-SUM($AV$6:AV$6)*$K156</f>
        <v>0</v>
      </c>
      <c r="AW156" s="1">
        <f>SUM($AT156,$AA156:AA156)-SUM($AV$5:AW$5)*$J156-SUM($AV$6:AW$6)*$K156</f>
        <v>0</v>
      </c>
      <c r="AX156" s="1">
        <f>SUM($AT156,$AA156:AB156)-SUM($AV$5:AX$5)*$J156-SUM($AV$6:AX$6)*$K156</f>
        <v>0</v>
      </c>
      <c r="AY156" s="1">
        <f>SUM($AT156,$AA156:AC156)-SUM($AV$5:AY$5)*$J156-SUM($AV$6:AY$6)*$K156</f>
        <v>0</v>
      </c>
      <c r="AZ156" s="1">
        <f>SUM($AT156,$AA156:AD156)-SUM($AV$5:AZ$5)*$J156-SUM($AV$6:AZ$6)*$K156</f>
        <v>-320</v>
      </c>
      <c r="BA156" s="1">
        <f>SUM($AT156,$AA156:AE156)-SUM($AV$5:BA$5)*$J156-SUM($AV$6:BA$6)*$K156</f>
        <v>-640</v>
      </c>
      <c r="BB156" s="1">
        <f>SUM($AT156,$AA156:AF156)-SUM($AV$5:BB$5)*$J156-SUM($AV$6:BB$6)*$K156</f>
        <v>-960</v>
      </c>
      <c r="BC156" s="1">
        <f>SUM($AT156,$AA156:AG156)-SUM($AV$5:BC$5)*$J156-SUM($AV$6:BC$6)*$K156</f>
        <v>-1280</v>
      </c>
      <c r="BD156" s="1">
        <f>SUM($AT156,$AA156:AH156)-SUM($AV$5:BD$5)*$J156-SUM($AV$6:BD$6)*$K156</f>
        <v>-1600</v>
      </c>
      <c r="BE156" s="1">
        <f>SUM($AT156,$AA156:AI156)-SUM($AV$5:BE$5)*$J156-SUM($AV$6:BE$6)*$K156</f>
        <v>-1920</v>
      </c>
      <c r="BF156" s="1">
        <f>SUM($AT156,$AA156:AJ156)-SUM($AV$5:BF$5)*$J156-SUM($AV$6:BF$6)*$K156</f>
        <v>-2240</v>
      </c>
      <c r="BG156" s="1">
        <f>SUM($AT156,$AA156:AK156)-SUM($AV$5:BG$5)*$J156-SUM($AV$6:BG$6)*$K156</f>
        <v>-2560</v>
      </c>
      <c r="BH156" s="1">
        <f>SUM($AT156,$AA156:AL156)-SUM($AV$5:BH$5)*$J156-SUM($AV$6:BH$6)*$K156</f>
        <v>-2880</v>
      </c>
      <c r="BI156" s="1">
        <f>SUM($AT156,$AA156:AM156)-SUM($AV$5:BI$5)*$J156-SUM($AV$6:BI$6)*$K156</f>
        <v>-3200</v>
      </c>
      <c r="BJ156" s="1">
        <f>SUM($AT156,$AA156:AN156)-SUM($AV$5:BJ$5)*$J156-SUM($AV$6:BJ$6)*$K156</f>
        <v>-3520</v>
      </c>
      <c r="BK156" s="1">
        <f>SUM($AT156,$AA156:AO156)-SUM($AV$5:BK$5)*$J156-SUM($AV$6:BK$6)*$K156</f>
        <v>-3840</v>
      </c>
      <c r="BL156" s="1">
        <f>SUM($AT156,$AA156:AP156)-SUM($AV$5:BL$5)*$J156-SUM($AV$6:BL$6)*$K156</f>
        <v>-4160</v>
      </c>
      <c r="BM156" s="1">
        <f>SUM($AT156,$AA156:AQ156)-SUM($AV$5:BM$5)*$J156-SUM($AV$6:BM$6)*$K156</f>
        <v>-4480</v>
      </c>
      <c r="BN156" s="1">
        <f>SUM($AT156,$AA156:AR156)-SUM($AV$5:BN$5)*$J156-SUM($AV$6:BN$6)*$K156</f>
        <v>-4656</v>
      </c>
    </row>
    <row r="157" spans="1:66">
      <c r="A157" s="1">
        <v>174</v>
      </c>
      <c r="B157" s="28" t="s">
        <v>550</v>
      </c>
      <c r="C157" s="1" t="s">
        <v>40</v>
      </c>
      <c r="D157" s="2">
        <v>401553983</v>
      </c>
      <c r="E157" s="3" t="s">
        <v>551</v>
      </c>
      <c r="F157" s="1">
        <v>400294091</v>
      </c>
      <c r="G157" s="1" t="s">
        <v>42</v>
      </c>
      <c r="H157" s="1">
        <v>2</v>
      </c>
      <c r="I157" s="1">
        <v>36</v>
      </c>
      <c r="J157" s="1">
        <v>36</v>
      </c>
      <c r="K157" s="1">
        <v>0</v>
      </c>
      <c r="L157" s="1">
        <v>0</v>
      </c>
      <c r="M157" s="1">
        <f t="shared" si="6"/>
        <v>20952</v>
      </c>
      <c r="N157" s="1">
        <f t="shared" si="7"/>
        <v>20952</v>
      </c>
      <c r="O157" s="2" t="s">
        <v>525</v>
      </c>
      <c r="P157" s="1"/>
      <c r="Q157" s="1">
        <v>4.0000000000000001E-3</v>
      </c>
      <c r="R157" s="1" t="s">
        <v>44</v>
      </c>
      <c r="S157" s="30" t="s">
        <v>423</v>
      </c>
      <c r="T157" s="31" t="s">
        <v>238</v>
      </c>
      <c r="U157" s="1"/>
      <c r="V157" s="1">
        <v>10000</v>
      </c>
      <c r="W157" s="1" t="s">
        <v>239</v>
      </c>
      <c r="X157" s="32" t="s">
        <v>240</v>
      </c>
      <c r="Y157" s="1" t="s">
        <v>241</v>
      </c>
      <c r="Z157" s="2" t="s">
        <v>242</v>
      </c>
      <c r="AA157" s="1"/>
      <c r="AB157" s="1"/>
      <c r="AC157" s="1"/>
      <c r="AD157" s="1"/>
      <c r="AE157" s="1"/>
      <c r="AF157" s="1"/>
      <c r="AG157" s="1"/>
      <c r="AH157" s="1"/>
      <c r="AI157" s="1"/>
      <c r="AJ157" s="1"/>
      <c r="AK157" s="1"/>
      <c r="AL157" s="1"/>
      <c r="AM157" s="1"/>
      <c r="AN157" s="1"/>
      <c r="AO157" s="1"/>
      <c r="AP157" s="1"/>
      <c r="AQ157" s="1"/>
      <c r="AR157" s="1"/>
      <c r="AS157" s="1"/>
      <c r="AT157" s="1"/>
      <c r="AU157" s="1"/>
      <c r="AV157" s="1">
        <f>SUM($AT157,Z157:$AA157)-SUM($AV$5:AV$5)*$J157-SUM($AV$6:AV$6)*$K157</f>
        <v>0</v>
      </c>
      <c r="AW157" s="1">
        <f>SUM($AT157,$AA157:AA157)-SUM($AV$5:AW$5)*$J157-SUM($AV$6:AW$6)*$K157</f>
        <v>0</v>
      </c>
      <c r="AX157" s="1">
        <f>SUM($AT157,$AA157:AB157)-SUM($AV$5:AX$5)*$J157-SUM($AV$6:AX$6)*$K157</f>
        <v>0</v>
      </c>
      <c r="AY157" s="1">
        <f>SUM($AT157,$AA157:AC157)-SUM($AV$5:AY$5)*$J157-SUM($AV$6:AY$6)*$K157</f>
        <v>0</v>
      </c>
      <c r="AZ157" s="1">
        <f>SUM($AT157,$AA157:AD157)-SUM($AV$5:AZ$5)*$J157-SUM($AV$6:AZ$6)*$K157</f>
        <v>-1440</v>
      </c>
      <c r="BA157" s="1">
        <f>SUM($AT157,$AA157:AE157)-SUM($AV$5:BA$5)*$J157-SUM($AV$6:BA$6)*$K157</f>
        <v>-2880</v>
      </c>
      <c r="BB157" s="1">
        <f>SUM($AT157,$AA157:AF157)-SUM($AV$5:BB$5)*$J157-SUM($AV$6:BB$6)*$K157</f>
        <v>-4320</v>
      </c>
      <c r="BC157" s="1">
        <f>SUM($AT157,$AA157:AG157)-SUM($AV$5:BC$5)*$J157-SUM($AV$6:BC$6)*$K157</f>
        <v>-5760</v>
      </c>
      <c r="BD157" s="1">
        <f>SUM($AT157,$AA157:AH157)-SUM($AV$5:BD$5)*$J157-SUM($AV$6:BD$6)*$K157</f>
        <v>-7200</v>
      </c>
      <c r="BE157" s="1">
        <f>SUM($AT157,$AA157:AI157)-SUM($AV$5:BE$5)*$J157-SUM($AV$6:BE$6)*$K157</f>
        <v>-8640</v>
      </c>
      <c r="BF157" s="1">
        <f>SUM($AT157,$AA157:AJ157)-SUM($AV$5:BF$5)*$J157-SUM($AV$6:BF$6)*$K157</f>
        <v>-10080</v>
      </c>
      <c r="BG157" s="1">
        <f>SUM($AT157,$AA157:AK157)-SUM($AV$5:BG$5)*$J157-SUM($AV$6:BG$6)*$K157</f>
        <v>-11520</v>
      </c>
      <c r="BH157" s="1">
        <f>SUM($AT157,$AA157:AL157)-SUM($AV$5:BH$5)*$J157-SUM($AV$6:BH$6)*$K157</f>
        <v>-12960</v>
      </c>
      <c r="BI157" s="1">
        <f>SUM($AT157,$AA157:AM157)-SUM($AV$5:BI$5)*$J157-SUM($AV$6:BI$6)*$K157</f>
        <v>-14400</v>
      </c>
      <c r="BJ157" s="1">
        <f>SUM($AT157,$AA157:AN157)-SUM($AV$5:BJ$5)*$J157-SUM($AV$6:BJ$6)*$K157</f>
        <v>-15840</v>
      </c>
      <c r="BK157" s="1">
        <f>SUM($AT157,$AA157:AO157)-SUM($AV$5:BK$5)*$J157-SUM($AV$6:BK$6)*$K157</f>
        <v>-17280</v>
      </c>
      <c r="BL157" s="1">
        <f>SUM($AT157,$AA157:AP157)-SUM($AV$5:BL$5)*$J157-SUM($AV$6:BL$6)*$K157</f>
        <v>-18720</v>
      </c>
      <c r="BM157" s="1">
        <f>SUM($AT157,$AA157:AQ157)-SUM($AV$5:BM$5)*$J157-SUM($AV$6:BM$6)*$K157</f>
        <v>-20160</v>
      </c>
      <c r="BN157" s="1">
        <f>SUM($AT157,$AA157:AR157)-SUM($AV$5:BN$5)*$J157-SUM($AV$6:BN$6)*$K157</f>
        <v>-20952</v>
      </c>
    </row>
    <row r="158" spans="1:66">
      <c r="A158" s="1">
        <v>175</v>
      </c>
      <c r="B158" s="28" t="s">
        <v>552</v>
      </c>
      <c r="C158" s="1" t="s">
        <v>40</v>
      </c>
      <c r="D158" s="2">
        <v>400656760</v>
      </c>
      <c r="E158" s="3" t="s">
        <v>553</v>
      </c>
      <c r="F158" s="1" t="s">
        <v>554</v>
      </c>
      <c r="G158" s="1" t="s">
        <v>42</v>
      </c>
      <c r="H158" s="1">
        <v>2</v>
      </c>
      <c r="I158" s="1">
        <v>192</v>
      </c>
      <c r="J158" s="1">
        <v>192</v>
      </c>
      <c r="K158" s="1">
        <v>0</v>
      </c>
      <c r="L158" s="1">
        <v>0</v>
      </c>
      <c r="M158" s="1">
        <f t="shared" si="6"/>
        <v>111744</v>
      </c>
      <c r="N158" s="1">
        <f t="shared" si="7"/>
        <v>111744</v>
      </c>
      <c r="O158" s="2" t="s">
        <v>525</v>
      </c>
      <c r="P158" s="1"/>
      <c r="Q158" s="1">
        <v>4.0000000000000001E-3</v>
      </c>
      <c r="R158" s="1" t="s">
        <v>44</v>
      </c>
      <c r="S158" s="30" t="s">
        <v>423</v>
      </c>
      <c r="T158" s="31" t="s">
        <v>238</v>
      </c>
      <c r="U158" s="1"/>
      <c r="V158" s="1">
        <v>10000</v>
      </c>
      <c r="W158" s="1" t="s">
        <v>239</v>
      </c>
      <c r="X158" s="32" t="s">
        <v>240</v>
      </c>
      <c r="Y158" s="1" t="s">
        <v>241</v>
      </c>
      <c r="Z158" s="2" t="s">
        <v>242</v>
      </c>
      <c r="AA158" s="1"/>
      <c r="AB158" s="1"/>
      <c r="AC158" s="1"/>
      <c r="AD158" s="1"/>
      <c r="AE158" s="1"/>
      <c r="AF158" s="1"/>
      <c r="AG158" s="1"/>
      <c r="AH158" s="1"/>
      <c r="AI158" s="1"/>
      <c r="AJ158" s="1"/>
      <c r="AK158" s="1"/>
      <c r="AL158" s="1"/>
      <c r="AM158" s="1"/>
      <c r="AN158" s="1"/>
      <c r="AO158" s="1"/>
      <c r="AP158" s="1"/>
      <c r="AQ158" s="1"/>
      <c r="AR158" s="1"/>
      <c r="AS158" s="1"/>
      <c r="AT158" s="1"/>
      <c r="AU158" s="1"/>
      <c r="AV158" s="1">
        <f>SUM($AT158,Z158:$AA158)-SUM($AV$5:AV$5)*$J158-SUM($AV$6:AV$6)*$K158</f>
        <v>0</v>
      </c>
      <c r="AW158" s="1">
        <f>SUM($AT158,$AA158:AA158)-SUM($AV$5:AW$5)*$J158-SUM($AV$6:AW$6)*$K158</f>
        <v>0</v>
      </c>
      <c r="AX158" s="1">
        <f>SUM($AT158,$AA158:AB158)-SUM($AV$5:AX$5)*$J158-SUM($AV$6:AX$6)*$K158</f>
        <v>0</v>
      </c>
      <c r="AY158" s="1">
        <f>SUM($AT158,$AA158:AC158)-SUM($AV$5:AY$5)*$J158-SUM($AV$6:AY$6)*$K158</f>
        <v>0</v>
      </c>
      <c r="AZ158" s="1">
        <f>SUM($AT158,$AA158:AD158)-SUM($AV$5:AZ$5)*$J158-SUM($AV$6:AZ$6)*$K158</f>
        <v>-7680</v>
      </c>
      <c r="BA158" s="1">
        <f>SUM($AT158,$AA158:AE158)-SUM($AV$5:BA$5)*$J158-SUM($AV$6:BA$6)*$K158</f>
        <v>-15360</v>
      </c>
      <c r="BB158" s="1">
        <f>SUM($AT158,$AA158:AF158)-SUM($AV$5:BB$5)*$J158-SUM($AV$6:BB$6)*$K158</f>
        <v>-23040</v>
      </c>
      <c r="BC158" s="1">
        <f>SUM($AT158,$AA158:AG158)-SUM($AV$5:BC$5)*$J158-SUM($AV$6:BC$6)*$K158</f>
        <v>-30720</v>
      </c>
      <c r="BD158" s="1">
        <f>SUM($AT158,$AA158:AH158)-SUM($AV$5:BD$5)*$J158-SUM($AV$6:BD$6)*$K158</f>
        <v>-38400</v>
      </c>
      <c r="BE158" s="1">
        <f>SUM($AT158,$AA158:AI158)-SUM($AV$5:BE$5)*$J158-SUM($AV$6:BE$6)*$K158</f>
        <v>-46080</v>
      </c>
      <c r="BF158" s="1">
        <f>SUM($AT158,$AA158:AJ158)-SUM($AV$5:BF$5)*$J158-SUM($AV$6:BF$6)*$K158</f>
        <v>-53760</v>
      </c>
      <c r="BG158" s="1">
        <f>SUM($AT158,$AA158:AK158)-SUM($AV$5:BG$5)*$J158-SUM($AV$6:BG$6)*$K158</f>
        <v>-61440</v>
      </c>
      <c r="BH158" s="1">
        <f>SUM($AT158,$AA158:AL158)-SUM($AV$5:BH$5)*$J158-SUM($AV$6:BH$6)*$K158</f>
        <v>-69120</v>
      </c>
      <c r="BI158" s="1">
        <f>SUM($AT158,$AA158:AM158)-SUM($AV$5:BI$5)*$J158-SUM($AV$6:BI$6)*$K158</f>
        <v>-76800</v>
      </c>
      <c r="BJ158" s="1">
        <f>SUM($AT158,$AA158:AN158)-SUM($AV$5:BJ$5)*$J158-SUM($AV$6:BJ$6)*$K158</f>
        <v>-84480</v>
      </c>
      <c r="BK158" s="1">
        <f>SUM($AT158,$AA158:AO158)-SUM($AV$5:BK$5)*$J158-SUM($AV$6:BK$6)*$K158</f>
        <v>-92160</v>
      </c>
      <c r="BL158" s="1">
        <f>SUM($AT158,$AA158:AP158)-SUM($AV$5:BL$5)*$J158-SUM($AV$6:BL$6)*$K158</f>
        <v>-99840</v>
      </c>
      <c r="BM158" s="1">
        <f>SUM($AT158,$AA158:AQ158)-SUM($AV$5:BM$5)*$J158-SUM($AV$6:BM$6)*$K158</f>
        <v>-107520</v>
      </c>
      <c r="BN158" s="1">
        <f>SUM($AT158,$AA158:AR158)-SUM($AV$5:BN$5)*$J158-SUM($AV$6:BN$6)*$K158</f>
        <v>-111744</v>
      </c>
    </row>
    <row r="159" spans="1:66">
      <c r="A159" s="1">
        <v>176</v>
      </c>
      <c r="B159" s="28" t="s">
        <v>555</v>
      </c>
      <c r="C159" s="1" t="s">
        <v>40</v>
      </c>
      <c r="D159" s="2">
        <v>401234957</v>
      </c>
      <c r="E159" s="3" t="s">
        <v>556</v>
      </c>
      <c r="F159" s="1">
        <v>400275219</v>
      </c>
      <c r="G159" s="1" t="s">
        <v>42</v>
      </c>
      <c r="H159" s="1">
        <v>2</v>
      </c>
      <c r="I159" s="1">
        <v>55</v>
      </c>
      <c r="J159" s="1">
        <v>55</v>
      </c>
      <c r="K159" s="1">
        <v>0</v>
      </c>
      <c r="L159" s="1">
        <v>0</v>
      </c>
      <c r="M159" s="1">
        <f t="shared" ref="M159:M222" si="8">SUMPRODUCT(J159:L159,$J$2:$L$2)</f>
        <v>32010</v>
      </c>
      <c r="N159" s="1">
        <f t="shared" ref="N159:N222" si="9">SUMPRODUCT(J159:L159,$J$2:$L$2)</f>
        <v>32010</v>
      </c>
      <c r="O159" s="2" t="s">
        <v>525</v>
      </c>
      <c r="P159" s="1"/>
      <c r="Q159" s="1">
        <v>4.0000000000000001E-3</v>
      </c>
      <c r="R159" s="1" t="s">
        <v>44</v>
      </c>
      <c r="S159" s="30" t="s">
        <v>423</v>
      </c>
      <c r="T159" s="31" t="s">
        <v>238</v>
      </c>
      <c r="U159" s="1"/>
      <c r="V159" s="1">
        <v>10000</v>
      </c>
      <c r="W159" s="1" t="s">
        <v>239</v>
      </c>
      <c r="X159" s="32" t="s">
        <v>240</v>
      </c>
      <c r="Y159" s="1" t="s">
        <v>241</v>
      </c>
      <c r="Z159" s="2" t="s">
        <v>242</v>
      </c>
      <c r="AA159" s="1"/>
      <c r="AB159" s="1"/>
      <c r="AC159" s="1"/>
      <c r="AD159" s="1"/>
      <c r="AE159" s="1"/>
      <c r="AF159" s="1"/>
      <c r="AG159" s="1"/>
      <c r="AH159" s="1"/>
      <c r="AI159" s="1"/>
      <c r="AJ159" s="1"/>
      <c r="AK159" s="1"/>
      <c r="AL159" s="1"/>
      <c r="AM159" s="1"/>
      <c r="AN159" s="1"/>
      <c r="AO159" s="1"/>
      <c r="AP159" s="1"/>
      <c r="AQ159" s="1"/>
      <c r="AR159" s="1"/>
      <c r="AS159" s="1"/>
      <c r="AT159" s="1"/>
      <c r="AU159" s="1"/>
      <c r="AV159" s="1">
        <f>SUM($AT159,Z159:$AA159)-SUM($AV$5:AV$5)*$J159-SUM($AV$6:AV$6)*$K159</f>
        <v>0</v>
      </c>
      <c r="AW159" s="1">
        <f>SUM($AT159,$AA159:AA159)-SUM($AV$5:AW$5)*$J159-SUM($AV$6:AW$6)*$K159</f>
        <v>0</v>
      </c>
      <c r="AX159" s="1">
        <f>SUM($AT159,$AA159:AB159)-SUM($AV$5:AX$5)*$J159-SUM($AV$6:AX$6)*$K159</f>
        <v>0</v>
      </c>
      <c r="AY159" s="1">
        <f>SUM($AT159,$AA159:AC159)-SUM($AV$5:AY$5)*$J159-SUM($AV$6:AY$6)*$K159</f>
        <v>0</v>
      </c>
      <c r="AZ159" s="1">
        <f>SUM($AT159,$AA159:AD159)-SUM($AV$5:AZ$5)*$J159-SUM($AV$6:AZ$6)*$K159</f>
        <v>-2200</v>
      </c>
      <c r="BA159" s="1">
        <f>SUM($AT159,$AA159:AE159)-SUM($AV$5:BA$5)*$J159-SUM($AV$6:BA$6)*$K159</f>
        <v>-4400</v>
      </c>
      <c r="BB159" s="1">
        <f>SUM($AT159,$AA159:AF159)-SUM($AV$5:BB$5)*$J159-SUM($AV$6:BB$6)*$K159</f>
        <v>-6600</v>
      </c>
      <c r="BC159" s="1">
        <f>SUM($AT159,$AA159:AG159)-SUM($AV$5:BC$5)*$J159-SUM($AV$6:BC$6)*$K159</f>
        <v>-8800</v>
      </c>
      <c r="BD159" s="1">
        <f>SUM($AT159,$AA159:AH159)-SUM($AV$5:BD$5)*$J159-SUM($AV$6:BD$6)*$K159</f>
        <v>-11000</v>
      </c>
      <c r="BE159" s="1">
        <f>SUM($AT159,$AA159:AI159)-SUM($AV$5:BE$5)*$J159-SUM($AV$6:BE$6)*$K159</f>
        <v>-13200</v>
      </c>
      <c r="BF159" s="1">
        <f>SUM($AT159,$AA159:AJ159)-SUM($AV$5:BF$5)*$J159-SUM($AV$6:BF$6)*$K159</f>
        <v>-15400</v>
      </c>
      <c r="BG159" s="1">
        <f>SUM($AT159,$AA159:AK159)-SUM($AV$5:BG$5)*$J159-SUM($AV$6:BG$6)*$K159</f>
        <v>-17600</v>
      </c>
      <c r="BH159" s="1">
        <f>SUM($AT159,$AA159:AL159)-SUM($AV$5:BH$5)*$J159-SUM($AV$6:BH$6)*$K159</f>
        <v>-19800</v>
      </c>
      <c r="BI159" s="1">
        <f>SUM($AT159,$AA159:AM159)-SUM($AV$5:BI$5)*$J159-SUM($AV$6:BI$6)*$K159</f>
        <v>-22000</v>
      </c>
      <c r="BJ159" s="1">
        <f>SUM($AT159,$AA159:AN159)-SUM($AV$5:BJ$5)*$J159-SUM($AV$6:BJ$6)*$K159</f>
        <v>-24200</v>
      </c>
      <c r="BK159" s="1">
        <f>SUM($AT159,$AA159:AO159)-SUM($AV$5:BK$5)*$J159-SUM($AV$6:BK$6)*$K159</f>
        <v>-26400</v>
      </c>
      <c r="BL159" s="1">
        <f>SUM($AT159,$AA159:AP159)-SUM($AV$5:BL$5)*$J159-SUM($AV$6:BL$6)*$K159</f>
        <v>-28600</v>
      </c>
      <c r="BM159" s="1">
        <f>SUM($AT159,$AA159:AQ159)-SUM($AV$5:BM$5)*$J159-SUM($AV$6:BM$6)*$K159</f>
        <v>-30800</v>
      </c>
      <c r="BN159" s="1">
        <f>SUM($AT159,$AA159:AR159)-SUM($AV$5:BN$5)*$J159-SUM($AV$6:BN$6)*$K159</f>
        <v>-32010</v>
      </c>
    </row>
    <row r="160" spans="1:66">
      <c r="A160" s="1">
        <v>177</v>
      </c>
      <c r="B160" s="28" t="s">
        <v>557</v>
      </c>
      <c r="C160" s="1" t="s">
        <v>40</v>
      </c>
      <c r="D160" s="2">
        <v>400658318</v>
      </c>
      <c r="E160" s="3" t="s">
        <v>558</v>
      </c>
      <c r="F160" s="1">
        <v>400275407</v>
      </c>
      <c r="G160" s="1" t="s">
        <v>42</v>
      </c>
      <c r="H160" s="1">
        <v>2</v>
      </c>
      <c r="I160" s="1">
        <v>3</v>
      </c>
      <c r="J160" s="1">
        <v>3</v>
      </c>
      <c r="K160" s="1">
        <v>0</v>
      </c>
      <c r="L160" s="1">
        <v>0</v>
      </c>
      <c r="M160" s="1">
        <f t="shared" si="8"/>
        <v>1746</v>
      </c>
      <c r="N160" s="1">
        <f t="shared" si="9"/>
        <v>1746</v>
      </c>
      <c r="O160" s="2" t="s">
        <v>525</v>
      </c>
      <c r="P160" s="1"/>
      <c r="Q160" s="1">
        <v>4.0000000000000001E-3</v>
      </c>
      <c r="R160" s="1" t="s">
        <v>44</v>
      </c>
      <c r="S160" s="30" t="s">
        <v>423</v>
      </c>
      <c r="T160" s="31" t="s">
        <v>238</v>
      </c>
      <c r="U160" s="1"/>
      <c r="V160" s="1">
        <v>10000</v>
      </c>
      <c r="W160" s="1" t="s">
        <v>239</v>
      </c>
      <c r="X160" s="32" t="s">
        <v>240</v>
      </c>
      <c r="Y160" s="1" t="s">
        <v>241</v>
      </c>
      <c r="Z160" s="2" t="s">
        <v>242</v>
      </c>
      <c r="AA160" s="1"/>
      <c r="AB160" s="1"/>
      <c r="AC160" s="1"/>
      <c r="AD160" s="1"/>
      <c r="AE160" s="1"/>
      <c r="AF160" s="1"/>
      <c r="AG160" s="1"/>
      <c r="AH160" s="1"/>
      <c r="AI160" s="1"/>
      <c r="AJ160" s="1"/>
      <c r="AK160" s="1"/>
      <c r="AL160" s="1"/>
      <c r="AM160" s="1"/>
      <c r="AN160" s="1"/>
      <c r="AO160" s="1"/>
      <c r="AP160" s="1"/>
      <c r="AQ160" s="1"/>
      <c r="AR160" s="1"/>
      <c r="AS160" s="1"/>
      <c r="AT160" s="1"/>
      <c r="AU160" s="1"/>
      <c r="AV160" s="1">
        <f>SUM($AT160,Z160:$AA160)-SUM($AV$5:AV$5)*$J160-SUM($AV$6:AV$6)*$K160</f>
        <v>0</v>
      </c>
      <c r="AW160" s="1">
        <f>SUM($AT160,$AA160:AA160)-SUM($AV$5:AW$5)*$J160-SUM($AV$6:AW$6)*$K160</f>
        <v>0</v>
      </c>
      <c r="AX160" s="1">
        <f>SUM($AT160,$AA160:AB160)-SUM($AV$5:AX$5)*$J160-SUM($AV$6:AX$6)*$K160</f>
        <v>0</v>
      </c>
      <c r="AY160" s="1">
        <f>SUM($AT160,$AA160:AC160)-SUM($AV$5:AY$5)*$J160-SUM($AV$6:AY$6)*$K160</f>
        <v>0</v>
      </c>
      <c r="AZ160" s="1">
        <f>SUM($AT160,$AA160:AD160)-SUM($AV$5:AZ$5)*$J160-SUM($AV$6:AZ$6)*$K160</f>
        <v>-120</v>
      </c>
      <c r="BA160" s="1">
        <f>SUM($AT160,$AA160:AE160)-SUM($AV$5:BA$5)*$J160-SUM($AV$6:BA$6)*$K160</f>
        <v>-240</v>
      </c>
      <c r="BB160" s="1">
        <f>SUM($AT160,$AA160:AF160)-SUM($AV$5:BB$5)*$J160-SUM($AV$6:BB$6)*$K160</f>
        <v>-360</v>
      </c>
      <c r="BC160" s="1">
        <f>SUM($AT160,$AA160:AG160)-SUM($AV$5:BC$5)*$J160-SUM($AV$6:BC$6)*$K160</f>
        <v>-480</v>
      </c>
      <c r="BD160" s="1">
        <f>SUM($AT160,$AA160:AH160)-SUM($AV$5:BD$5)*$J160-SUM($AV$6:BD$6)*$K160</f>
        <v>-600</v>
      </c>
      <c r="BE160" s="1">
        <f>SUM($AT160,$AA160:AI160)-SUM($AV$5:BE$5)*$J160-SUM($AV$6:BE$6)*$K160</f>
        <v>-720</v>
      </c>
      <c r="BF160" s="1">
        <f>SUM($AT160,$AA160:AJ160)-SUM($AV$5:BF$5)*$J160-SUM($AV$6:BF$6)*$K160</f>
        <v>-840</v>
      </c>
      <c r="BG160" s="1">
        <f>SUM($AT160,$AA160:AK160)-SUM($AV$5:BG$5)*$J160-SUM($AV$6:BG$6)*$K160</f>
        <v>-960</v>
      </c>
      <c r="BH160" s="1">
        <f>SUM($AT160,$AA160:AL160)-SUM($AV$5:BH$5)*$J160-SUM($AV$6:BH$6)*$K160</f>
        <v>-1080</v>
      </c>
      <c r="BI160" s="1">
        <f>SUM($AT160,$AA160:AM160)-SUM($AV$5:BI$5)*$J160-SUM($AV$6:BI$6)*$K160</f>
        <v>-1200</v>
      </c>
      <c r="BJ160" s="1">
        <f>SUM($AT160,$AA160:AN160)-SUM($AV$5:BJ$5)*$J160-SUM($AV$6:BJ$6)*$K160</f>
        <v>-1320</v>
      </c>
      <c r="BK160" s="1">
        <f>SUM($AT160,$AA160:AO160)-SUM($AV$5:BK$5)*$J160-SUM($AV$6:BK$6)*$K160</f>
        <v>-1440</v>
      </c>
      <c r="BL160" s="1">
        <f>SUM($AT160,$AA160:AP160)-SUM($AV$5:BL$5)*$J160-SUM($AV$6:BL$6)*$K160</f>
        <v>-1560</v>
      </c>
      <c r="BM160" s="1">
        <f>SUM($AT160,$AA160:AQ160)-SUM($AV$5:BM$5)*$J160-SUM($AV$6:BM$6)*$K160</f>
        <v>-1680</v>
      </c>
      <c r="BN160" s="1">
        <f>SUM($AT160,$AA160:AR160)-SUM($AV$5:BN$5)*$J160-SUM($AV$6:BN$6)*$K160</f>
        <v>-1746</v>
      </c>
    </row>
    <row r="161" spans="1:66">
      <c r="A161" s="1">
        <v>178</v>
      </c>
      <c r="B161" s="28" t="s">
        <v>559</v>
      </c>
      <c r="C161" s="1" t="s">
        <v>40</v>
      </c>
      <c r="D161" s="2">
        <v>401447389</v>
      </c>
      <c r="E161" s="3" t="s">
        <v>560</v>
      </c>
      <c r="F161" s="1">
        <v>400275493</v>
      </c>
      <c r="G161" s="1" t="s">
        <v>42</v>
      </c>
      <c r="H161" s="1">
        <v>2</v>
      </c>
      <c r="I161" s="1">
        <v>175</v>
      </c>
      <c r="J161" s="1">
        <v>175</v>
      </c>
      <c r="K161" s="1">
        <v>0</v>
      </c>
      <c r="L161" s="1">
        <v>0</v>
      </c>
      <c r="M161" s="1">
        <f t="shared" si="8"/>
        <v>101850</v>
      </c>
      <c r="N161" s="1">
        <f t="shared" si="9"/>
        <v>101850</v>
      </c>
      <c r="O161" s="2" t="s">
        <v>525</v>
      </c>
      <c r="P161" s="1"/>
      <c r="Q161" s="1">
        <v>4.0000000000000001E-3</v>
      </c>
      <c r="R161" s="1" t="s">
        <v>44</v>
      </c>
      <c r="S161" s="30" t="s">
        <v>423</v>
      </c>
      <c r="T161" s="31" t="s">
        <v>238</v>
      </c>
      <c r="U161" s="1"/>
      <c r="V161" s="1">
        <v>10000</v>
      </c>
      <c r="W161" s="1" t="s">
        <v>239</v>
      </c>
      <c r="X161" s="32" t="s">
        <v>240</v>
      </c>
      <c r="Y161" s="1" t="s">
        <v>241</v>
      </c>
      <c r="Z161" s="2" t="s">
        <v>242</v>
      </c>
      <c r="AA161" s="1"/>
      <c r="AB161" s="1"/>
      <c r="AC161" s="1"/>
      <c r="AD161" s="1"/>
      <c r="AE161" s="1"/>
      <c r="AF161" s="1"/>
      <c r="AG161" s="1"/>
      <c r="AH161" s="1"/>
      <c r="AI161" s="1"/>
      <c r="AJ161" s="1"/>
      <c r="AK161" s="1"/>
      <c r="AL161" s="1"/>
      <c r="AM161" s="1"/>
      <c r="AN161" s="1"/>
      <c r="AO161" s="1"/>
      <c r="AP161" s="1"/>
      <c r="AQ161" s="1"/>
      <c r="AR161" s="1"/>
      <c r="AS161" s="1"/>
      <c r="AT161" s="1"/>
      <c r="AU161" s="1"/>
      <c r="AV161" s="1">
        <f>SUM($AT161,Z161:$AA161)-SUM($AV$5:AV$5)*$J161-SUM($AV$6:AV$6)*$K161</f>
        <v>0</v>
      </c>
      <c r="AW161" s="1">
        <f>SUM($AT161,$AA161:AA161)-SUM($AV$5:AW$5)*$J161-SUM($AV$6:AW$6)*$K161</f>
        <v>0</v>
      </c>
      <c r="AX161" s="1">
        <f>SUM($AT161,$AA161:AB161)-SUM($AV$5:AX$5)*$J161-SUM($AV$6:AX$6)*$K161</f>
        <v>0</v>
      </c>
      <c r="AY161" s="1">
        <f>SUM($AT161,$AA161:AC161)-SUM($AV$5:AY$5)*$J161-SUM($AV$6:AY$6)*$K161</f>
        <v>0</v>
      </c>
      <c r="AZ161" s="1">
        <f>SUM($AT161,$AA161:AD161)-SUM($AV$5:AZ$5)*$J161-SUM($AV$6:AZ$6)*$K161</f>
        <v>-7000</v>
      </c>
      <c r="BA161" s="1">
        <f>SUM($AT161,$AA161:AE161)-SUM($AV$5:BA$5)*$J161-SUM($AV$6:BA$6)*$K161</f>
        <v>-14000</v>
      </c>
      <c r="BB161" s="1">
        <f>SUM($AT161,$AA161:AF161)-SUM($AV$5:BB$5)*$J161-SUM($AV$6:BB$6)*$K161</f>
        <v>-21000</v>
      </c>
      <c r="BC161" s="1">
        <f>SUM($AT161,$AA161:AG161)-SUM($AV$5:BC$5)*$J161-SUM($AV$6:BC$6)*$K161</f>
        <v>-28000</v>
      </c>
      <c r="BD161" s="1">
        <f>SUM($AT161,$AA161:AH161)-SUM($AV$5:BD$5)*$J161-SUM($AV$6:BD$6)*$K161</f>
        <v>-35000</v>
      </c>
      <c r="BE161" s="1">
        <f>SUM($AT161,$AA161:AI161)-SUM($AV$5:BE$5)*$J161-SUM($AV$6:BE$6)*$K161</f>
        <v>-42000</v>
      </c>
      <c r="BF161" s="1">
        <f>SUM($AT161,$AA161:AJ161)-SUM($AV$5:BF$5)*$J161-SUM($AV$6:BF$6)*$K161</f>
        <v>-49000</v>
      </c>
      <c r="BG161" s="1">
        <f>SUM($AT161,$AA161:AK161)-SUM($AV$5:BG$5)*$J161-SUM($AV$6:BG$6)*$K161</f>
        <v>-56000</v>
      </c>
      <c r="BH161" s="1">
        <f>SUM($AT161,$AA161:AL161)-SUM($AV$5:BH$5)*$J161-SUM($AV$6:BH$6)*$K161</f>
        <v>-63000</v>
      </c>
      <c r="BI161" s="1">
        <f>SUM($AT161,$AA161:AM161)-SUM($AV$5:BI$5)*$J161-SUM($AV$6:BI$6)*$K161</f>
        <v>-70000</v>
      </c>
      <c r="BJ161" s="1">
        <f>SUM($AT161,$AA161:AN161)-SUM($AV$5:BJ$5)*$J161-SUM($AV$6:BJ$6)*$K161</f>
        <v>-77000</v>
      </c>
      <c r="BK161" s="1">
        <f>SUM($AT161,$AA161:AO161)-SUM($AV$5:BK$5)*$J161-SUM($AV$6:BK$6)*$K161</f>
        <v>-84000</v>
      </c>
      <c r="BL161" s="1">
        <f>SUM($AT161,$AA161:AP161)-SUM($AV$5:BL$5)*$J161-SUM($AV$6:BL$6)*$K161</f>
        <v>-91000</v>
      </c>
      <c r="BM161" s="1">
        <f>SUM($AT161,$AA161:AQ161)-SUM($AV$5:BM$5)*$J161-SUM($AV$6:BM$6)*$K161</f>
        <v>-98000</v>
      </c>
      <c r="BN161" s="1">
        <f>SUM($AT161,$AA161:AR161)-SUM($AV$5:BN$5)*$J161-SUM($AV$6:BN$6)*$K161</f>
        <v>-101850</v>
      </c>
    </row>
    <row r="162" spans="1:66">
      <c r="A162" s="1">
        <v>179</v>
      </c>
      <c r="B162" s="28" t="s">
        <v>561</v>
      </c>
      <c r="C162" s="1" t="s">
        <v>40</v>
      </c>
      <c r="D162" s="2">
        <v>401308900</v>
      </c>
      <c r="E162" s="3" t="s">
        <v>562</v>
      </c>
      <c r="F162" s="1" t="s">
        <v>563</v>
      </c>
      <c r="G162" s="1" t="s">
        <v>42</v>
      </c>
      <c r="H162" s="1">
        <v>2</v>
      </c>
      <c r="I162" s="1">
        <v>1</v>
      </c>
      <c r="J162" s="1">
        <v>1</v>
      </c>
      <c r="K162" s="1">
        <v>0</v>
      </c>
      <c r="L162" s="1">
        <v>0</v>
      </c>
      <c r="M162" s="1">
        <f t="shared" si="8"/>
        <v>582</v>
      </c>
      <c r="N162" s="1">
        <f t="shared" si="9"/>
        <v>582</v>
      </c>
      <c r="O162" s="2" t="s">
        <v>380</v>
      </c>
      <c r="P162" s="1"/>
      <c r="Q162" s="1">
        <v>4.0000000000000001E-3</v>
      </c>
      <c r="R162" s="1" t="s">
        <v>44</v>
      </c>
      <c r="S162" s="30" t="s">
        <v>423</v>
      </c>
      <c r="T162" s="31" t="s">
        <v>238</v>
      </c>
      <c r="U162" s="1"/>
      <c r="V162" s="1">
        <v>10000</v>
      </c>
      <c r="W162" s="1" t="s">
        <v>239</v>
      </c>
      <c r="X162" s="32" t="s">
        <v>240</v>
      </c>
      <c r="Y162" s="1" t="s">
        <v>241</v>
      </c>
      <c r="Z162" s="2" t="s">
        <v>242</v>
      </c>
      <c r="AA162" s="1"/>
      <c r="AB162" s="1"/>
      <c r="AC162" s="1"/>
      <c r="AD162" s="1"/>
      <c r="AE162" s="1"/>
      <c r="AF162" s="1"/>
      <c r="AG162" s="1"/>
      <c r="AH162" s="1"/>
      <c r="AI162" s="1"/>
      <c r="AJ162" s="1"/>
      <c r="AK162" s="1"/>
      <c r="AL162" s="1"/>
      <c r="AM162" s="1"/>
      <c r="AN162" s="1"/>
      <c r="AO162" s="1"/>
      <c r="AP162" s="1"/>
      <c r="AQ162" s="1"/>
      <c r="AR162" s="1"/>
      <c r="AS162" s="1"/>
      <c r="AT162" s="1"/>
      <c r="AU162" s="1"/>
      <c r="AV162" s="1">
        <f>SUM($AT162,Z162:$AA162)-SUM($AV$5:AV$5)*$J162-SUM($AV$6:AV$6)*$K162</f>
        <v>0</v>
      </c>
      <c r="AW162" s="1">
        <f>SUM($AT162,$AA162:AA162)-SUM($AV$5:AW$5)*$J162-SUM($AV$6:AW$6)*$K162</f>
        <v>0</v>
      </c>
      <c r="AX162" s="1">
        <f>SUM($AT162,$AA162:AB162)-SUM($AV$5:AX$5)*$J162-SUM($AV$6:AX$6)*$K162</f>
        <v>0</v>
      </c>
      <c r="AY162" s="1">
        <f>SUM($AT162,$AA162:AC162)-SUM($AV$5:AY$5)*$J162-SUM($AV$6:AY$6)*$K162</f>
        <v>0</v>
      </c>
      <c r="AZ162" s="1">
        <f>SUM($AT162,$AA162:AD162)-SUM($AV$5:AZ$5)*$J162-SUM($AV$6:AZ$6)*$K162</f>
        <v>-40</v>
      </c>
      <c r="BA162" s="1">
        <f>SUM($AT162,$AA162:AE162)-SUM($AV$5:BA$5)*$J162-SUM($AV$6:BA$6)*$K162</f>
        <v>-80</v>
      </c>
      <c r="BB162" s="1">
        <f>SUM($AT162,$AA162:AF162)-SUM($AV$5:BB$5)*$J162-SUM($AV$6:BB$6)*$K162</f>
        <v>-120</v>
      </c>
      <c r="BC162" s="1">
        <f>SUM($AT162,$AA162:AG162)-SUM($AV$5:BC$5)*$J162-SUM($AV$6:BC$6)*$K162</f>
        <v>-160</v>
      </c>
      <c r="BD162" s="1">
        <f>SUM($AT162,$AA162:AH162)-SUM($AV$5:BD$5)*$J162-SUM($AV$6:BD$6)*$K162</f>
        <v>-200</v>
      </c>
      <c r="BE162" s="1">
        <f>SUM($AT162,$AA162:AI162)-SUM($AV$5:BE$5)*$J162-SUM($AV$6:BE$6)*$K162</f>
        <v>-240</v>
      </c>
      <c r="BF162" s="1">
        <f>SUM($AT162,$AA162:AJ162)-SUM($AV$5:BF$5)*$J162-SUM($AV$6:BF$6)*$K162</f>
        <v>-280</v>
      </c>
      <c r="BG162" s="1">
        <f>SUM($AT162,$AA162:AK162)-SUM($AV$5:BG$5)*$J162-SUM($AV$6:BG$6)*$K162</f>
        <v>-320</v>
      </c>
      <c r="BH162" s="1">
        <f>SUM($AT162,$AA162:AL162)-SUM($AV$5:BH$5)*$J162-SUM($AV$6:BH$6)*$K162</f>
        <v>-360</v>
      </c>
      <c r="BI162" s="1">
        <f>SUM($AT162,$AA162:AM162)-SUM($AV$5:BI$5)*$J162-SUM($AV$6:BI$6)*$K162</f>
        <v>-400</v>
      </c>
      <c r="BJ162" s="1">
        <f>SUM($AT162,$AA162:AN162)-SUM($AV$5:BJ$5)*$J162-SUM($AV$6:BJ$6)*$K162</f>
        <v>-440</v>
      </c>
      <c r="BK162" s="1">
        <f>SUM($AT162,$AA162:AO162)-SUM($AV$5:BK$5)*$J162-SUM($AV$6:BK$6)*$K162</f>
        <v>-480</v>
      </c>
      <c r="BL162" s="1">
        <f>SUM($AT162,$AA162:AP162)-SUM($AV$5:BL$5)*$J162-SUM($AV$6:BL$6)*$K162</f>
        <v>-520</v>
      </c>
      <c r="BM162" s="1">
        <f>SUM($AT162,$AA162:AQ162)-SUM($AV$5:BM$5)*$J162-SUM($AV$6:BM$6)*$K162</f>
        <v>-560</v>
      </c>
      <c r="BN162" s="1">
        <f>SUM($AT162,$AA162:AR162)-SUM($AV$5:BN$5)*$J162-SUM($AV$6:BN$6)*$K162</f>
        <v>-582</v>
      </c>
    </row>
    <row r="163" spans="1:66">
      <c r="A163" s="1">
        <v>180</v>
      </c>
      <c r="B163" s="28" t="s">
        <v>564</v>
      </c>
      <c r="C163" s="1" t="s">
        <v>40</v>
      </c>
      <c r="D163" s="2">
        <v>401481543</v>
      </c>
      <c r="E163" s="3" t="s">
        <v>565</v>
      </c>
      <c r="F163" s="1">
        <v>400275502</v>
      </c>
      <c r="G163" s="1" t="s">
        <v>42</v>
      </c>
      <c r="H163" s="1">
        <v>2</v>
      </c>
      <c r="I163" s="1">
        <v>50</v>
      </c>
      <c r="J163" s="1">
        <v>50</v>
      </c>
      <c r="K163" s="1">
        <v>0</v>
      </c>
      <c r="L163" s="1">
        <v>0</v>
      </c>
      <c r="M163" s="1">
        <f t="shared" si="8"/>
        <v>29100</v>
      </c>
      <c r="N163" s="1">
        <f t="shared" si="9"/>
        <v>29100</v>
      </c>
      <c r="O163" s="2" t="s">
        <v>525</v>
      </c>
      <c r="P163" s="1"/>
      <c r="Q163" s="1">
        <v>4.0000000000000001E-3</v>
      </c>
      <c r="R163" s="1" t="s">
        <v>44</v>
      </c>
      <c r="S163" s="30" t="s">
        <v>423</v>
      </c>
      <c r="T163" s="31" t="s">
        <v>238</v>
      </c>
      <c r="U163" s="1"/>
      <c r="V163" s="1">
        <v>10000</v>
      </c>
      <c r="W163" s="1" t="s">
        <v>239</v>
      </c>
      <c r="X163" s="32" t="s">
        <v>240</v>
      </c>
      <c r="Y163" s="1" t="s">
        <v>241</v>
      </c>
      <c r="Z163" s="2" t="s">
        <v>242</v>
      </c>
      <c r="AA163" s="1"/>
      <c r="AB163" s="1"/>
      <c r="AC163" s="1"/>
      <c r="AD163" s="1"/>
      <c r="AE163" s="1"/>
      <c r="AF163" s="1"/>
      <c r="AG163" s="1"/>
      <c r="AH163" s="1"/>
      <c r="AI163" s="1"/>
      <c r="AJ163" s="1"/>
      <c r="AK163" s="1"/>
      <c r="AL163" s="1"/>
      <c r="AM163" s="1"/>
      <c r="AN163" s="1"/>
      <c r="AO163" s="1"/>
      <c r="AP163" s="1"/>
      <c r="AQ163" s="1"/>
      <c r="AR163" s="1"/>
      <c r="AS163" s="1"/>
      <c r="AT163" s="1"/>
      <c r="AU163" s="1"/>
      <c r="AV163" s="1">
        <f>SUM($AT163,Z163:$AA163)-SUM($AV$5:AV$5)*$J163-SUM($AV$6:AV$6)*$K163</f>
        <v>0</v>
      </c>
      <c r="AW163" s="1">
        <f>SUM($AT163,$AA163:AA163)-SUM($AV$5:AW$5)*$J163-SUM($AV$6:AW$6)*$K163</f>
        <v>0</v>
      </c>
      <c r="AX163" s="1">
        <f>SUM($AT163,$AA163:AB163)-SUM($AV$5:AX$5)*$J163-SUM($AV$6:AX$6)*$K163</f>
        <v>0</v>
      </c>
      <c r="AY163" s="1">
        <f>SUM($AT163,$AA163:AC163)-SUM($AV$5:AY$5)*$J163-SUM($AV$6:AY$6)*$K163</f>
        <v>0</v>
      </c>
      <c r="AZ163" s="1">
        <f>SUM($AT163,$AA163:AD163)-SUM($AV$5:AZ$5)*$J163-SUM($AV$6:AZ$6)*$K163</f>
        <v>-2000</v>
      </c>
      <c r="BA163" s="1">
        <f>SUM($AT163,$AA163:AE163)-SUM($AV$5:BA$5)*$J163-SUM($AV$6:BA$6)*$K163</f>
        <v>-4000</v>
      </c>
      <c r="BB163" s="1">
        <f>SUM($AT163,$AA163:AF163)-SUM($AV$5:BB$5)*$J163-SUM($AV$6:BB$6)*$K163</f>
        <v>-6000</v>
      </c>
      <c r="BC163" s="1">
        <f>SUM($AT163,$AA163:AG163)-SUM($AV$5:BC$5)*$J163-SUM($AV$6:BC$6)*$K163</f>
        <v>-8000</v>
      </c>
      <c r="BD163" s="1">
        <f>SUM($AT163,$AA163:AH163)-SUM($AV$5:BD$5)*$J163-SUM($AV$6:BD$6)*$K163</f>
        <v>-10000</v>
      </c>
      <c r="BE163" s="1">
        <f>SUM($AT163,$AA163:AI163)-SUM($AV$5:BE$5)*$J163-SUM($AV$6:BE$6)*$K163</f>
        <v>-12000</v>
      </c>
      <c r="BF163" s="1">
        <f>SUM($AT163,$AA163:AJ163)-SUM($AV$5:BF$5)*$J163-SUM($AV$6:BF$6)*$K163</f>
        <v>-14000</v>
      </c>
      <c r="BG163" s="1">
        <f>SUM($AT163,$AA163:AK163)-SUM($AV$5:BG$5)*$J163-SUM($AV$6:BG$6)*$K163</f>
        <v>-16000</v>
      </c>
      <c r="BH163" s="1">
        <f>SUM($AT163,$AA163:AL163)-SUM($AV$5:BH$5)*$J163-SUM($AV$6:BH$6)*$K163</f>
        <v>-18000</v>
      </c>
      <c r="BI163" s="1">
        <f>SUM($AT163,$AA163:AM163)-SUM($AV$5:BI$5)*$J163-SUM($AV$6:BI$6)*$K163</f>
        <v>-20000</v>
      </c>
      <c r="BJ163" s="1">
        <f>SUM($AT163,$AA163:AN163)-SUM($AV$5:BJ$5)*$J163-SUM($AV$6:BJ$6)*$K163</f>
        <v>-22000</v>
      </c>
      <c r="BK163" s="1">
        <f>SUM($AT163,$AA163:AO163)-SUM($AV$5:BK$5)*$J163-SUM($AV$6:BK$6)*$K163</f>
        <v>-24000</v>
      </c>
      <c r="BL163" s="1">
        <f>SUM($AT163,$AA163:AP163)-SUM($AV$5:BL$5)*$J163-SUM($AV$6:BL$6)*$K163</f>
        <v>-26000</v>
      </c>
      <c r="BM163" s="1">
        <f>SUM($AT163,$AA163:AQ163)-SUM($AV$5:BM$5)*$J163-SUM($AV$6:BM$6)*$K163</f>
        <v>-28000</v>
      </c>
      <c r="BN163" s="1">
        <f>SUM($AT163,$AA163:AR163)-SUM($AV$5:BN$5)*$J163-SUM($AV$6:BN$6)*$K163</f>
        <v>-29100</v>
      </c>
    </row>
    <row r="164" spans="1:66">
      <c r="A164" s="1">
        <v>181</v>
      </c>
      <c r="B164" s="28" t="s">
        <v>566</v>
      </c>
      <c r="C164" s="1" t="s">
        <v>40</v>
      </c>
      <c r="D164" s="2">
        <v>405295603</v>
      </c>
      <c r="E164" s="3" t="s">
        <v>567</v>
      </c>
      <c r="F164" s="1">
        <v>400275509</v>
      </c>
      <c r="G164" s="1" t="s">
        <v>42</v>
      </c>
      <c r="H164" s="1">
        <v>2</v>
      </c>
      <c r="I164" s="1">
        <v>8</v>
      </c>
      <c r="J164" s="1">
        <v>8</v>
      </c>
      <c r="K164" s="1">
        <v>0</v>
      </c>
      <c r="L164" s="1">
        <v>0</v>
      </c>
      <c r="M164" s="1">
        <f t="shared" si="8"/>
        <v>4656</v>
      </c>
      <c r="N164" s="1">
        <f t="shared" si="9"/>
        <v>4656</v>
      </c>
      <c r="O164" s="2" t="s">
        <v>253</v>
      </c>
      <c r="P164" s="1"/>
      <c r="Q164" s="1">
        <v>4.0000000000000001E-3</v>
      </c>
      <c r="R164" s="1" t="s">
        <v>44</v>
      </c>
      <c r="S164" s="30" t="s">
        <v>423</v>
      </c>
      <c r="T164" s="31" t="s">
        <v>238</v>
      </c>
      <c r="U164" s="1"/>
      <c r="V164" s="1">
        <v>10000</v>
      </c>
      <c r="W164" s="1" t="s">
        <v>239</v>
      </c>
      <c r="X164" s="32" t="s">
        <v>240</v>
      </c>
      <c r="Y164" s="1" t="s">
        <v>241</v>
      </c>
      <c r="Z164" s="2" t="s">
        <v>242</v>
      </c>
      <c r="AA164" s="1"/>
      <c r="AB164" s="1"/>
      <c r="AC164" s="1"/>
      <c r="AD164" s="1"/>
      <c r="AE164" s="1"/>
      <c r="AF164" s="1"/>
      <c r="AG164" s="1"/>
      <c r="AH164" s="1"/>
      <c r="AI164" s="1"/>
      <c r="AJ164" s="1"/>
      <c r="AK164" s="1"/>
      <c r="AL164" s="1"/>
      <c r="AM164" s="1"/>
      <c r="AN164" s="1"/>
      <c r="AO164" s="1"/>
      <c r="AP164" s="1"/>
      <c r="AQ164" s="1"/>
      <c r="AR164" s="1"/>
      <c r="AS164" s="1"/>
      <c r="AT164" s="1"/>
      <c r="AU164" s="1"/>
      <c r="AV164" s="1">
        <f>SUM($AT164,Z164:$AA164)-SUM($AV$5:AV$5)*$J164-SUM($AV$6:AV$6)*$K164</f>
        <v>0</v>
      </c>
      <c r="AW164" s="1">
        <f>SUM($AT164,$AA164:AA164)-SUM($AV$5:AW$5)*$J164-SUM($AV$6:AW$6)*$K164</f>
        <v>0</v>
      </c>
      <c r="AX164" s="1">
        <f>SUM($AT164,$AA164:AB164)-SUM($AV$5:AX$5)*$J164-SUM($AV$6:AX$6)*$K164</f>
        <v>0</v>
      </c>
      <c r="AY164" s="1">
        <f>SUM($AT164,$AA164:AC164)-SUM($AV$5:AY$5)*$J164-SUM($AV$6:AY$6)*$K164</f>
        <v>0</v>
      </c>
      <c r="AZ164" s="1">
        <f>SUM($AT164,$AA164:AD164)-SUM($AV$5:AZ$5)*$J164-SUM($AV$6:AZ$6)*$K164</f>
        <v>-320</v>
      </c>
      <c r="BA164" s="1">
        <f>SUM($AT164,$AA164:AE164)-SUM($AV$5:BA$5)*$J164-SUM($AV$6:BA$6)*$K164</f>
        <v>-640</v>
      </c>
      <c r="BB164" s="1">
        <f>SUM($AT164,$AA164:AF164)-SUM($AV$5:BB$5)*$J164-SUM($AV$6:BB$6)*$K164</f>
        <v>-960</v>
      </c>
      <c r="BC164" s="1">
        <f>SUM($AT164,$AA164:AG164)-SUM($AV$5:BC$5)*$J164-SUM($AV$6:BC$6)*$K164</f>
        <v>-1280</v>
      </c>
      <c r="BD164" s="1">
        <f>SUM($AT164,$AA164:AH164)-SUM($AV$5:BD$5)*$J164-SUM($AV$6:BD$6)*$K164</f>
        <v>-1600</v>
      </c>
      <c r="BE164" s="1">
        <f>SUM($AT164,$AA164:AI164)-SUM($AV$5:BE$5)*$J164-SUM($AV$6:BE$6)*$K164</f>
        <v>-1920</v>
      </c>
      <c r="BF164" s="1">
        <f>SUM($AT164,$AA164:AJ164)-SUM($AV$5:BF$5)*$J164-SUM($AV$6:BF$6)*$K164</f>
        <v>-2240</v>
      </c>
      <c r="BG164" s="1">
        <f>SUM($AT164,$AA164:AK164)-SUM($AV$5:BG$5)*$J164-SUM($AV$6:BG$6)*$K164</f>
        <v>-2560</v>
      </c>
      <c r="BH164" s="1">
        <f>SUM($AT164,$AA164:AL164)-SUM($AV$5:BH$5)*$J164-SUM($AV$6:BH$6)*$K164</f>
        <v>-2880</v>
      </c>
      <c r="BI164" s="1">
        <f>SUM($AT164,$AA164:AM164)-SUM($AV$5:BI$5)*$J164-SUM($AV$6:BI$6)*$K164</f>
        <v>-3200</v>
      </c>
      <c r="BJ164" s="1">
        <f>SUM($AT164,$AA164:AN164)-SUM($AV$5:BJ$5)*$J164-SUM($AV$6:BJ$6)*$K164</f>
        <v>-3520</v>
      </c>
      <c r="BK164" s="1">
        <f>SUM($AT164,$AA164:AO164)-SUM($AV$5:BK$5)*$J164-SUM($AV$6:BK$6)*$K164</f>
        <v>-3840</v>
      </c>
      <c r="BL164" s="1">
        <f>SUM($AT164,$AA164:AP164)-SUM($AV$5:BL$5)*$J164-SUM($AV$6:BL$6)*$K164</f>
        <v>-4160</v>
      </c>
      <c r="BM164" s="1">
        <f>SUM($AT164,$AA164:AQ164)-SUM($AV$5:BM$5)*$J164-SUM($AV$6:BM$6)*$K164</f>
        <v>-4480</v>
      </c>
      <c r="BN164" s="1">
        <f>SUM($AT164,$AA164:AR164)-SUM($AV$5:BN$5)*$J164-SUM($AV$6:BN$6)*$K164</f>
        <v>-4656</v>
      </c>
    </row>
    <row r="165" spans="1:66">
      <c r="A165" s="1">
        <v>182</v>
      </c>
      <c r="B165" s="28" t="s">
        <v>568</v>
      </c>
      <c r="C165" s="1" t="s">
        <v>40</v>
      </c>
      <c r="D165" s="2">
        <v>401553986</v>
      </c>
      <c r="E165" s="3" t="s">
        <v>569</v>
      </c>
      <c r="F165" s="1">
        <v>400294461</v>
      </c>
      <c r="G165" s="1" t="s">
        <v>42</v>
      </c>
      <c r="H165" s="1">
        <v>2</v>
      </c>
      <c r="I165" s="1">
        <v>69</v>
      </c>
      <c r="J165" s="1">
        <v>69</v>
      </c>
      <c r="K165" s="1">
        <v>0</v>
      </c>
      <c r="L165" s="1">
        <v>0</v>
      </c>
      <c r="M165" s="1">
        <f t="shared" si="8"/>
        <v>40158</v>
      </c>
      <c r="N165" s="1">
        <f t="shared" si="9"/>
        <v>40158</v>
      </c>
      <c r="O165" s="2" t="s">
        <v>253</v>
      </c>
      <c r="P165" s="1"/>
      <c r="Q165" s="1">
        <v>4.0000000000000001E-3</v>
      </c>
      <c r="R165" s="1" t="s">
        <v>44</v>
      </c>
      <c r="S165" s="30" t="s">
        <v>423</v>
      </c>
      <c r="T165" s="31" t="s">
        <v>238</v>
      </c>
      <c r="U165" s="1"/>
      <c r="V165" s="1">
        <v>10000</v>
      </c>
      <c r="W165" s="1" t="s">
        <v>239</v>
      </c>
      <c r="X165" s="32" t="s">
        <v>240</v>
      </c>
      <c r="Y165" s="1" t="s">
        <v>241</v>
      </c>
      <c r="Z165" s="2" t="s">
        <v>242</v>
      </c>
      <c r="AA165" s="1"/>
      <c r="AB165" s="1"/>
      <c r="AC165" s="1"/>
      <c r="AD165" s="1"/>
      <c r="AE165" s="1"/>
      <c r="AF165" s="1"/>
      <c r="AG165" s="1"/>
      <c r="AH165" s="1"/>
      <c r="AI165" s="1"/>
      <c r="AJ165" s="1"/>
      <c r="AK165" s="1"/>
      <c r="AL165" s="1"/>
      <c r="AM165" s="1"/>
      <c r="AN165" s="1"/>
      <c r="AO165" s="1"/>
      <c r="AP165" s="1"/>
      <c r="AQ165" s="1"/>
      <c r="AR165" s="1"/>
      <c r="AS165" s="1"/>
      <c r="AT165" s="1"/>
      <c r="AU165" s="1"/>
      <c r="AV165" s="1">
        <f>SUM($AT165,Z165:$AA165)-SUM($AV$5:AV$5)*$J165-SUM($AV$6:AV$6)*$K165</f>
        <v>0</v>
      </c>
      <c r="AW165" s="1">
        <f>SUM($AT165,$AA165:AA165)-SUM($AV$5:AW$5)*$J165-SUM($AV$6:AW$6)*$K165</f>
        <v>0</v>
      </c>
      <c r="AX165" s="1">
        <f>SUM($AT165,$AA165:AB165)-SUM($AV$5:AX$5)*$J165-SUM($AV$6:AX$6)*$K165</f>
        <v>0</v>
      </c>
      <c r="AY165" s="1">
        <f>SUM($AT165,$AA165:AC165)-SUM($AV$5:AY$5)*$J165-SUM($AV$6:AY$6)*$K165</f>
        <v>0</v>
      </c>
      <c r="AZ165" s="1">
        <f>SUM($AT165,$AA165:AD165)-SUM($AV$5:AZ$5)*$J165-SUM($AV$6:AZ$6)*$K165</f>
        <v>-2760</v>
      </c>
      <c r="BA165" s="1">
        <f>SUM($AT165,$AA165:AE165)-SUM($AV$5:BA$5)*$J165-SUM($AV$6:BA$6)*$K165</f>
        <v>-5520</v>
      </c>
      <c r="BB165" s="1">
        <f>SUM($AT165,$AA165:AF165)-SUM($AV$5:BB$5)*$J165-SUM($AV$6:BB$6)*$K165</f>
        <v>-8280</v>
      </c>
      <c r="BC165" s="1">
        <f>SUM($AT165,$AA165:AG165)-SUM($AV$5:BC$5)*$J165-SUM($AV$6:BC$6)*$K165</f>
        <v>-11040</v>
      </c>
      <c r="BD165" s="1">
        <f>SUM($AT165,$AA165:AH165)-SUM($AV$5:BD$5)*$J165-SUM($AV$6:BD$6)*$K165</f>
        <v>-13800</v>
      </c>
      <c r="BE165" s="1">
        <f>SUM($AT165,$AA165:AI165)-SUM($AV$5:BE$5)*$J165-SUM($AV$6:BE$6)*$K165</f>
        <v>-16560</v>
      </c>
      <c r="BF165" s="1">
        <f>SUM($AT165,$AA165:AJ165)-SUM($AV$5:BF$5)*$J165-SUM($AV$6:BF$6)*$K165</f>
        <v>-19320</v>
      </c>
      <c r="BG165" s="1">
        <f>SUM($AT165,$AA165:AK165)-SUM($AV$5:BG$5)*$J165-SUM($AV$6:BG$6)*$K165</f>
        <v>-22080</v>
      </c>
      <c r="BH165" s="1">
        <f>SUM($AT165,$AA165:AL165)-SUM($AV$5:BH$5)*$J165-SUM($AV$6:BH$6)*$K165</f>
        <v>-24840</v>
      </c>
      <c r="BI165" s="1">
        <f>SUM($AT165,$AA165:AM165)-SUM($AV$5:BI$5)*$J165-SUM($AV$6:BI$6)*$K165</f>
        <v>-27600</v>
      </c>
      <c r="BJ165" s="1">
        <f>SUM($AT165,$AA165:AN165)-SUM($AV$5:BJ$5)*$J165-SUM($AV$6:BJ$6)*$K165</f>
        <v>-30360</v>
      </c>
      <c r="BK165" s="1">
        <f>SUM($AT165,$AA165:AO165)-SUM($AV$5:BK$5)*$J165-SUM($AV$6:BK$6)*$K165</f>
        <v>-33120</v>
      </c>
      <c r="BL165" s="1">
        <f>SUM($AT165,$AA165:AP165)-SUM($AV$5:BL$5)*$J165-SUM($AV$6:BL$6)*$K165</f>
        <v>-35880</v>
      </c>
      <c r="BM165" s="1">
        <f>SUM($AT165,$AA165:AQ165)-SUM($AV$5:BM$5)*$J165-SUM($AV$6:BM$6)*$K165</f>
        <v>-38640</v>
      </c>
      <c r="BN165" s="1">
        <f>SUM($AT165,$AA165:AR165)-SUM($AV$5:BN$5)*$J165-SUM($AV$6:BN$6)*$K165</f>
        <v>-40158</v>
      </c>
    </row>
    <row r="166" spans="1:66">
      <c r="A166" s="1">
        <v>183</v>
      </c>
      <c r="B166" s="28" t="s">
        <v>570</v>
      </c>
      <c r="C166" s="1" t="s">
        <v>40</v>
      </c>
      <c r="D166" s="2">
        <v>400658323</v>
      </c>
      <c r="E166" s="3" t="s">
        <v>571</v>
      </c>
      <c r="F166" s="1">
        <v>400005121</v>
      </c>
      <c r="G166" s="1" t="s">
        <v>42</v>
      </c>
      <c r="H166" s="1">
        <v>2</v>
      </c>
      <c r="I166" s="1">
        <v>11</v>
      </c>
      <c r="J166" s="1">
        <v>11</v>
      </c>
      <c r="K166" s="1">
        <v>0</v>
      </c>
      <c r="L166" s="1">
        <v>0</v>
      </c>
      <c r="M166" s="1">
        <f t="shared" si="8"/>
        <v>6402</v>
      </c>
      <c r="N166" s="1">
        <f t="shared" si="9"/>
        <v>6402</v>
      </c>
      <c r="O166" s="2" t="s">
        <v>525</v>
      </c>
      <c r="P166" s="1"/>
      <c r="Q166" s="1">
        <v>4.0000000000000001E-3</v>
      </c>
      <c r="R166" s="1" t="s">
        <v>44</v>
      </c>
      <c r="S166" s="30" t="s">
        <v>423</v>
      </c>
      <c r="T166" s="31" t="s">
        <v>238</v>
      </c>
      <c r="U166" s="1"/>
      <c r="V166" s="1">
        <v>10000</v>
      </c>
      <c r="W166" s="1" t="s">
        <v>239</v>
      </c>
      <c r="X166" s="32" t="s">
        <v>240</v>
      </c>
      <c r="Y166" s="1" t="s">
        <v>241</v>
      </c>
      <c r="Z166" s="2" t="s">
        <v>242</v>
      </c>
      <c r="AA166" s="1"/>
      <c r="AB166" s="1"/>
      <c r="AC166" s="1"/>
      <c r="AD166" s="1"/>
      <c r="AE166" s="1"/>
      <c r="AF166" s="1"/>
      <c r="AG166" s="1"/>
      <c r="AH166" s="1"/>
      <c r="AI166" s="1"/>
      <c r="AJ166" s="1"/>
      <c r="AK166" s="1"/>
      <c r="AL166" s="1"/>
      <c r="AM166" s="1"/>
      <c r="AN166" s="1"/>
      <c r="AO166" s="1"/>
      <c r="AP166" s="1"/>
      <c r="AQ166" s="1"/>
      <c r="AR166" s="1"/>
      <c r="AS166" s="1"/>
      <c r="AT166" s="1"/>
      <c r="AU166" s="1"/>
      <c r="AV166" s="1">
        <f>SUM($AT166,Z166:$AA166)-SUM($AV$5:AV$5)*$J166-SUM($AV$6:AV$6)*$K166</f>
        <v>0</v>
      </c>
      <c r="AW166" s="1">
        <f>SUM($AT166,$AA166:AA166)-SUM($AV$5:AW$5)*$J166-SUM($AV$6:AW$6)*$K166</f>
        <v>0</v>
      </c>
      <c r="AX166" s="1">
        <f>SUM($AT166,$AA166:AB166)-SUM($AV$5:AX$5)*$J166-SUM($AV$6:AX$6)*$K166</f>
        <v>0</v>
      </c>
      <c r="AY166" s="1">
        <f>SUM($AT166,$AA166:AC166)-SUM($AV$5:AY$5)*$J166-SUM($AV$6:AY$6)*$K166</f>
        <v>0</v>
      </c>
      <c r="AZ166" s="1">
        <f>SUM($AT166,$AA166:AD166)-SUM($AV$5:AZ$5)*$J166-SUM($AV$6:AZ$6)*$K166</f>
        <v>-440</v>
      </c>
      <c r="BA166" s="1">
        <f>SUM($AT166,$AA166:AE166)-SUM($AV$5:BA$5)*$J166-SUM($AV$6:BA$6)*$K166</f>
        <v>-880</v>
      </c>
      <c r="BB166" s="1">
        <f>SUM($AT166,$AA166:AF166)-SUM($AV$5:BB$5)*$J166-SUM($AV$6:BB$6)*$K166</f>
        <v>-1320</v>
      </c>
      <c r="BC166" s="1">
        <f>SUM($AT166,$AA166:AG166)-SUM($AV$5:BC$5)*$J166-SUM($AV$6:BC$6)*$K166</f>
        <v>-1760</v>
      </c>
      <c r="BD166" s="1">
        <f>SUM($AT166,$AA166:AH166)-SUM($AV$5:BD$5)*$J166-SUM($AV$6:BD$6)*$K166</f>
        <v>-2200</v>
      </c>
      <c r="BE166" s="1">
        <f>SUM($AT166,$AA166:AI166)-SUM($AV$5:BE$5)*$J166-SUM($AV$6:BE$6)*$K166</f>
        <v>-2640</v>
      </c>
      <c r="BF166" s="1">
        <f>SUM($AT166,$AA166:AJ166)-SUM($AV$5:BF$5)*$J166-SUM($AV$6:BF$6)*$K166</f>
        <v>-3080</v>
      </c>
      <c r="BG166" s="1">
        <f>SUM($AT166,$AA166:AK166)-SUM($AV$5:BG$5)*$J166-SUM($AV$6:BG$6)*$K166</f>
        <v>-3520</v>
      </c>
      <c r="BH166" s="1">
        <f>SUM($AT166,$AA166:AL166)-SUM($AV$5:BH$5)*$J166-SUM($AV$6:BH$6)*$K166</f>
        <v>-3960</v>
      </c>
      <c r="BI166" s="1">
        <f>SUM($AT166,$AA166:AM166)-SUM($AV$5:BI$5)*$J166-SUM($AV$6:BI$6)*$K166</f>
        <v>-4400</v>
      </c>
      <c r="BJ166" s="1">
        <f>SUM($AT166,$AA166:AN166)-SUM($AV$5:BJ$5)*$J166-SUM($AV$6:BJ$6)*$K166</f>
        <v>-4840</v>
      </c>
      <c r="BK166" s="1">
        <f>SUM($AT166,$AA166:AO166)-SUM($AV$5:BK$5)*$J166-SUM($AV$6:BK$6)*$K166</f>
        <v>-5280</v>
      </c>
      <c r="BL166" s="1">
        <f>SUM($AT166,$AA166:AP166)-SUM($AV$5:BL$5)*$J166-SUM($AV$6:BL$6)*$K166</f>
        <v>-5720</v>
      </c>
      <c r="BM166" s="1">
        <f>SUM($AT166,$AA166:AQ166)-SUM($AV$5:BM$5)*$J166-SUM($AV$6:BM$6)*$K166</f>
        <v>-6160</v>
      </c>
      <c r="BN166" s="1">
        <f>SUM($AT166,$AA166:AR166)-SUM($AV$5:BN$5)*$J166-SUM($AV$6:BN$6)*$K166</f>
        <v>-6402</v>
      </c>
    </row>
    <row r="167" spans="1:66">
      <c r="A167" s="1">
        <v>184</v>
      </c>
      <c r="B167" s="28" t="s">
        <v>572</v>
      </c>
      <c r="C167" s="1" t="s">
        <v>40</v>
      </c>
      <c r="D167" s="2">
        <v>401053359</v>
      </c>
      <c r="E167" s="3" t="s">
        <v>573</v>
      </c>
      <c r="F167" s="1">
        <v>400275523</v>
      </c>
      <c r="G167" s="1" t="s">
        <v>42</v>
      </c>
      <c r="H167" s="1">
        <v>2</v>
      </c>
      <c r="I167" s="1">
        <v>51</v>
      </c>
      <c r="J167" s="1">
        <v>51</v>
      </c>
      <c r="K167" s="1">
        <v>0</v>
      </c>
      <c r="L167" s="1">
        <v>0</v>
      </c>
      <c r="M167" s="1">
        <f t="shared" si="8"/>
        <v>29682</v>
      </c>
      <c r="N167" s="1">
        <f t="shared" si="9"/>
        <v>29682</v>
      </c>
      <c r="O167" s="2" t="s">
        <v>525</v>
      </c>
      <c r="P167" s="1"/>
      <c r="Q167" s="1">
        <v>4.0000000000000001E-3</v>
      </c>
      <c r="R167" s="1" t="s">
        <v>44</v>
      </c>
      <c r="S167" s="30" t="s">
        <v>423</v>
      </c>
      <c r="T167" s="31" t="s">
        <v>238</v>
      </c>
      <c r="U167" s="1"/>
      <c r="V167" s="1">
        <v>10000</v>
      </c>
      <c r="W167" s="1" t="s">
        <v>239</v>
      </c>
      <c r="X167" s="32" t="s">
        <v>240</v>
      </c>
      <c r="Y167" s="1" t="s">
        <v>241</v>
      </c>
      <c r="Z167" s="2" t="s">
        <v>242</v>
      </c>
      <c r="AA167" s="1"/>
      <c r="AB167" s="1"/>
      <c r="AC167" s="1"/>
      <c r="AD167" s="1"/>
      <c r="AE167" s="1"/>
      <c r="AF167" s="1"/>
      <c r="AG167" s="1"/>
      <c r="AH167" s="1"/>
      <c r="AI167" s="1"/>
      <c r="AJ167" s="1"/>
      <c r="AK167" s="1"/>
      <c r="AL167" s="1"/>
      <c r="AM167" s="1"/>
      <c r="AN167" s="1"/>
      <c r="AO167" s="1"/>
      <c r="AP167" s="1"/>
      <c r="AQ167" s="1"/>
      <c r="AR167" s="1"/>
      <c r="AS167" s="1"/>
      <c r="AT167" s="1"/>
      <c r="AU167" s="1"/>
      <c r="AV167" s="1">
        <f>SUM($AT167,Z167:$AA167)-SUM($AV$5:AV$5)*$J167-SUM($AV$6:AV$6)*$K167</f>
        <v>0</v>
      </c>
      <c r="AW167" s="1">
        <f>SUM($AT167,$AA167:AA167)-SUM($AV$5:AW$5)*$J167-SUM($AV$6:AW$6)*$K167</f>
        <v>0</v>
      </c>
      <c r="AX167" s="1">
        <f>SUM($AT167,$AA167:AB167)-SUM($AV$5:AX$5)*$J167-SUM($AV$6:AX$6)*$K167</f>
        <v>0</v>
      </c>
      <c r="AY167" s="1">
        <f>SUM($AT167,$AA167:AC167)-SUM($AV$5:AY$5)*$J167-SUM($AV$6:AY$6)*$K167</f>
        <v>0</v>
      </c>
      <c r="AZ167" s="1">
        <f>SUM($AT167,$AA167:AD167)-SUM($AV$5:AZ$5)*$J167-SUM($AV$6:AZ$6)*$K167</f>
        <v>-2040</v>
      </c>
      <c r="BA167" s="1">
        <f>SUM($AT167,$AA167:AE167)-SUM($AV$5:BA$5)*$J167-SUM($AV$6:BA$6)*$K167</f>
        <v>-4080</v>
      </c>
      <c r="BB167" s="1">
        <f>SUM($AT167,$AA167:AF167)-SUM($AV$5:BB$5)*$J167-SUM($AV$6:BB$6)*$K167</f>
        <v>-6120</v>
      </c>
      <c r="BC167" s="1">
        <f>SUM($AT167,$AA167:AG167)-SUM($AV$5:BC$5)*$J167-SUM($AV$6:BC$6)*$K167</f>
        <v>-8160</v>
      </c>
      <c r="BD167" s="1">
        <f>SUM($AT167,$AA167:AH167)-SUM($AV$5:BD$5)*$J167-SUM($AV$6:BD$6)*$K167</f>
        <v>-10200</v>
      </c>
      <c r="BE167" s="1">
        <f>SUM($AT167,$AA167:AI167)-SUM($AV$5:BE$5)*$J167-SUM($AV$6:BE$6)*$K167</f>
        <v>-12240</v>
      </c>
      <c r="BF167" s="1">
        <f>SUM($AT167,$AA167:AJ167)-SUM($AV$5:BF$5)*$J167-SUM($AV$6:BF$6)*$K167</f>
        <v>-14280</v>
      </c>
      <c r="BG167" s="1">
        <f>SUM($AT167,$AA167:AK167)-SUM($AV$5:BG$5)*$J167-SUM($AV$6:BG$6)*$K167</f>
        <v>-16320</v>
      </c>
      <c r="BH167" s="1">
        <f>SUM($AT167,$AA167:AL167)-SUM($AV$5:BH$5)*$J167-SUM($AV$6:BH$6)*$K167</f>
        <v>-18360</v>
      </c>
      <c r="BI167" s="1">
        <f>SUM($AT167,$AA167:AM167)-SUM($AV$5:BI$5)*$J167-SUM($AV$6:BI$6)*$K167</f>
        <v>-20400</v>
      </c>
      <c r="BJ167" s="1">
        <f>SUM($AT167,$AA167:AN167)-SUM($AV$5:BJ$5)*$J167-SUM($AV$6:BJ$6)*$K167</f>
        <v>-22440</v>
      </c>
      <c r="BK167" s="1">
        <f>SUM($AT167,$AA167:AO167)-SUM($AV$5:BK$5)*$J167-SUM($AV$6:BK$6)*$K167</f>
        <v>-24480</v>
      </c>
      <c r="BL167" s="1">
        <f>SUM($AT167,$AA167:AP167)-SUM($AV$5:BL$5)*$J167-SUM($AV$6:BL$6)*$K167</f>
        <v>-26520</v>
      </c>
      <c r="BM167" s="1">
        <f>SUM($AT167,$AA167:AQ167)-SUM($AV$5:BM$5)*$J167-SUM($AV$6:BM$6)*$K167</f>
        <v>-28560</v>
      </c>
      <c r="BN167" s="1">
        <f>SUM($AT167,$AA167:AR167)-SUM($AV$5:BN$5)*$J167-SUM($AV$6:BN$6)*$K167</f>
        <v>-29682</v>
      </c>
    </row>
    <row r="168" spans="1:66">
      <c r="A168" s="1">
        <v>185</v>
      </c>
      <c r="B168" s="28" t="s">
        <v>574</v>
      </c>
      <c r="C168" s="1" t="s">
        <v>40</v>
      </c>
      <c r="D168" s="2">
        <v>400658325</v>
      </c>
      <c r="E168" s="3" t="s">
        <v>575</v>
      </c>
      <c r="F168" s="1">
        <v>400275524</v>
      </c>
      <c r="G168" s="1" t="s">
        <v>42</v>
      </c>
      <c r="H168" s="1">
        <v>2</v>
      </c>
      <c r="I168" s="1">
        <v>32</v>
      </c>
      <c r="J168" s="1">
        <v>32</v>
      </c>
      <c r="K168" s="1">
        <v>0</v>
      </c>
      <c r="L168" s="1">
        <v>0</v>
      </c>
      <c r="M168" s="1">
        <f t="shared" si="8"/>
        <v>18624</v>
      </c>
      <c r="N168" s="1">
        <f t="shared" si="9"/>
        <v>18624</v>
      </c>
      <c r="O168" s="2" t="s">
        <v>525</v>
      </c>
      <c r="P168" s="1"/>
      <c r="Q168" s="1">
        <v>4.0000000000000001E-3</v>
      </c>
      <c r="R168" s="1" t="s">
        <v>44</v>
      </c>
      <c r="S168" s="30" t="s">
        <v>423</v>
      </c>
      <c r="T168" s="31" t="s">
        <v>238</v>
      </c>
      <c r="U168" s="1"/>
      <c r="V168" s="1">
        <v>10000</v>
      </c>
      <c r="W168" s="1" t="s">
        <v>239</v>
      </c>
      <c r="X168" s="32" t="s">
        <v>240</v>
      </c>
      <c r="Y168" s="1" t="s">
        <v>241</v>
      </c>
      <c r="Z168" s="2" t="s">
        <v>242</v>
      </c>
      <c r="AA168" s="1"/>
      <c r="AB168" s="1"/>
      <c r="AC168" s="1"/>
      <c r="AD168" s="1"/>
      <c r="AE168" s="1"/>
      <c r="AF168" s="1"/>
      <c r="AG168" s="1"/>
      <c r="AH168" s="1"/>
      <c r="AI168" s="1"/>
      <c r="AJ168" s="1"/>
      <c r="AK168" s="1"/>
      <c r="AL168" s="1"/>
      <c r="AM168" s="1"/>
      <c r="AN168" s="1"/>
      <c r="AO168" s="1"/>
      <c r="AP168" s="1"/>
      <c r="AQ168" s="1"/>
      <c r="AR168" s="1"/>
      <c r="AS168" s="1"/>
      <c r="AT168" s="1"/>
      <c r="AU168" s="1"/>
      <c r="AV168" s="1">
        <f>SUM($AT168,Z168:$AA168)-SUM($AV$5:AV$5)*$J168-SUM($AV$6:AV$6)*$K168</f>
        <v>0</v>
      </c>
      <c r="AW168" s="1">
        <f>SUM($AT168,$AA168:AA168)-SUM($AV$5:AW$5)*$J168-SUM($AV$6:AW$6)*$K168</f>
        <v>0</v>
      </c>
      <c r="AX168" s="1">
        <f>SUM($AT168,$AA168:AB168)-SUM($AV$5:AX$5)*$J168-SUM($AV$6:AX$6)*$K168</f>
        <v>0</v>
      </c>
      <c r="AY168" s="1">
        <f>SUM($AT168,$AA168:AC168)-SUM($AV$5:AY$5)*$J168-SUM($AV$6:AY$6)*$K168</f>
        <v>0</v>
      </c>
      <c r="AZ168" s="1">
        <f>SUM($AT168,$AA168:AD168)-SUM($AV$5:AZ$5)*$J168-SUM($AV$6:AZ$6)*$K168</f>
        <v>-1280</v>
      </c>
      <c r="BA168" s="1">
        <f>SUM($AT168,$AA168:AE168)-SUM($AV$5:BA$5)*$J168-SUM($AV$6:BA$6)*$K168</f>
        <v>-2560</v>
      </c>
      <c r="BB168" s="1">
        <f>SUM($AT168,$AA168:AF168)-SUM($AV$5:BB$5)*$J168-SUM($AV$6:BB$6)*$K168</f>
        <v>-3840</v>
      </c>
      <c r="BC168" s="1">
        <f>SUM($AT168,$AA168:AG168)-SUM($AV$5:BC$5)*$J168-SUM($AV$6:BC$6)*$K168</f>
        <v>-5120</v>
      </c>
      <c r="BD168" s="1">
        <f>SUM($AT168,$AA168:AH168)-SUM($AV$5:BD$5)*$J168-SUM($AV$6:BD$6)*$K168</f>
        <v>-6400</v>
      </c>
      <c r="BE168" s="1">
        <f>SUM($AT168,$AA168:AI168)-SUM($AV$5:BE$5)*$J168-SUM($AV$6:BE$6)*$K168</f>
        <v>-7680</v>
      </c>
      <c r="BF168" s="1">
        <f>SUM($AT168,$AA168:AJ168)-SUM($AV$5:BF$5)*$J168-SUM($AV$6:BF$6)*$K168</f>
        <v>-8960</v>
      </c>
      <c r="BG168" s="1">
        <f>SUM($AT168,$AA168:AK168)-SUM($AV$5:BG$5)*$J168-SUM($AV$6:BG$6)*$K168</f>
        <v>-10240</v>
      </c>
      <c r="BH168" s="1">
        <f>SUM($AT168,$AA168:AL168)-SUM($AV$5:BH$5)*$J168-SUM($AV$6:BH$6)*$K168</f>
        <v>-11520</v>
      </c>
      <c r="BI168" s="1">
        <f>SUM($AT168,$AA168:AM168)-SUM($AV$5:BI$5)*$J168-SUM($AV$6:BI$6)*$K168</f>
        <v>-12800</v>
      </c>
      <c r="BJ168" s="1">
        <f>SUM($AT168,$AA168:AN168)-SUM($AV$5:BJ$5)*$J168-SUM($AV$6:BJ$6)*$K168</f>
        <v>-14080</v>
      </c>
      <c r="BK168" s="1">
        <f>SUM($AT168,$AA168:AO168)-SUM($AV$5:BK$5)*$J168-SUM($AV$6:BK$6)*$K168</f>
        <v>-15360</v>
      </c>
      <c r="BL168" s="1">
        <f>SUM($AT168,$AA168:AP168)-SUM($AV$5:BL$5)*$J168-SUM($AV$6:BL$6)*$K168</f>
        <v>-16640</v>
      </c>
      <c r="BM168" s="1">
        <f>SUM($AT168,$AA168:AQ168)-SUM($AV$5:BM$5)*$J168-SUM($AV$6:BM$6)*$K168</f>
        <v>-17920</v>
      </c>
      <c r="BN168" s="1">
        <f>SUM($AT168,$AA168:AR168)-SUM($AV$5:BN$5)*$J168-SUM($AV$6:BN$6)*$K168</f>
        <v>-18624</v>
      </c>
    </row>
    <row r="169" spans="1:66">
      <c r="A169" s="1">
        <v>186</v>
      </c>
      <c r="B169" s="28" t="s">
        <v>576</v>
      </c>
      <c r="C169" s="1" t="s">
        <v>40</v>
      </c>
      <c r="D169" s="2">
        <v>401041455</v>
      </c>
      <c r="E169" s="3" t="s">
        <v>577</v>
      </c>
      <c r="F169" s="1">
        <v>401502394</v>
      </c>
      <c r="G169" s="1" t="s">
        <v>42</v>
      </c>
      <c r="H169" s="1">
        <v>2</v>
      </c>
      <c r="I169" s="1">
        <v>70</v>
      </c>
      <c r="J169" s="1">
        <v>70</v>
      </c>
      <c r="K169" s="1">
        <v>0</v>
      </c>
      <c r="L169" s="1">
        <v>0</v>
      </c>
      <c r="M169" s="1">
        <f t="shared" si="8"/>
        <v>40740</v>
      </c>
      <c r="N169" s="1">
        <f t="shared" si="9"/>
        <v>40740</v>
      </c>
      <c r="O169" s="2" t="s">
        <v>525</v>
      </c>
      <c r="P169" s="1"/>
      <c r="Q169" s="1">
        <v>4.0000000000000001E-3</v>
      </c>
      <c r="R169" s="1" t="s">
        <v>44</v>
      </c>
      <c r="S169" s="30" t="s">
        <v>423</v>
      </c>
      <c r="T169" s="31" t="s">
        <v>238</v>
      </c>
      <c r="U169" s="1"/>
      <c r="V169" s="1">
        <v>10000</v>
      </c>
      <c r="W169" s="1" t="s">
        <v>239</v>
      </c>
      <c r="X169" s="32" t="s">
        <v>240</v>
      </c>
      <c r="Y169" s="1" t="s">
        <v>241</v>
      </c>
      <c r="Z169" s="2" t="s">
        <v>242</v>
      </c>
      <c r="AA169" s="1"/>
      <c r="AB169" s="1"/>
      <c r="AC169" s="1"/>
      <c r="AD169" s="1"/>
      <c r="AE169" s="1"/>
      <c r="AF169" s="1"/>
      <c r="AG169" s="1"/>
      <c r="AH169" s="1"/>
      <c r="AI169" s="1"/>
      <c r="AJ169" s="1"/>
      <c r="AK169" s="1"/>
      <c r="AL169" s="1"/>
      <c r="AM169" s="1"/>
      <c r="AN169" s="1"/>
      <c r="AO169" s="1"/>
      <c r="AP169" s="1"/>
      <c r="AQ169" s="1"/>
      <c r="AR169" s="1"/>
      <c r="AS169" s="1"/>
      <c r="AT169" s="1"/>
      <c r="AU169" s="1"/>
      <c r="AV169" s="1">
        <f>SUM($AT169,Z169:$AA169)-SUM($AV$5:AV$5)*$J169-SUM($AV$6:AV$6)*$K169</f>
        <v>0</v>
      </c>
      <c r="AW169" s="1">
        <f>SUM($AT169,$AA169:AA169)-SUM($AV$5:AW$5)*$J169-SUM($AV$6:AW$6)*$K169</f>
        <v>0</v>
      </c>
      <c r="AX169" s="1">
        <f>SUM($AT169,$AA169:AB169)-SUM($AV$5:AX$5)*$J169-SUM($AV$6:AX$6)*$K169</f>
        <v>0</v>
      </c>
      <c r="AY169" s="1">
        <f>SUM($AT169,$AA169:AC169)-SUM($AV$5:AY$5)*$J169-SUM($AV$6:AY$6)*$K169</f>
        <v>0</v>
      </c>
      <c r="AZ169" s="1">
        <f>SUM($AT169,$AA169:AD169)-SUM($AV$5:AZ$5)*$J169-SUM($AV$6:AZ$6)*$K169</f>
        <v>-2800</v>
      </c>
      <c r="BA169" s="1">
        <f>SUM($AT169,$AA169:AE169)-SUM($AV$5:BA$5)*$J169-SUM($AV$6:BA$6)*$K169</f>
        <v>-5600</v>
      </c>
      <c r="BB169" s="1">
        <f>SUM($AT169,$AA169:AF169)-SUM($AV$5:BB$5)*$J169-SUM($AV$6:BB$6)*$K169</f>
        <v>-8400</v>
      </c>
      <c r="BC169" s="1">
        <f>SUM($AT169,$AA169:AG169)-SUM($AV$5:BC$5)*$J169-SUM($AV$6:BC$6)*$K169</f>
        <v>-11200</v>
      </c>
      <c r="BD169" s="1">
        <f>SUM($AT169,$AA169:AH169)-SUM($AV$5:BD$5)*$J169-SUM($AV$6:BD$6)*$K169</f>
        <v>-14000</v>
      </c>
      <c r="BE169" s="1">
        <f>SUM($AT169,$AA169:AI169)-SUM($AV$5:BE$5)*$J169-SUM($AV$6:BE$6)*$K169</f>
        <v>-16800</v>
      </c>
      <c r="BF169" s="1">
        <f>SUM($AT169,$AA169:AJ169)-SUM($AV$5:BF$5)*$J169-SUM($AV$6:BF$6)*$K169</f>
        <v>-19600</v>
      </c>
      <c r="BG169" s="1">
        <f>SUM($AT169,$AA169:AK169)-SUM($AV$5:BG$5)*$J169-SUM($AV$6:BG$6)*$K169</f>
        <v>-22400</v>
      </c>
      <c r="BH169" s="1">
        <f>SUM($AT169,$AA169:AL169)-SUM($AV$5:BH$5)*$J169-SUM($AV$6:BH$6)*$K169</f>
        <v>-25200</v>
      </c>
      <c r="BI169" s="1">
        <f>SUM($AT169,$AA169:AM169)-SUM($AV$5:BI$5)*$J169-SUM($AV$6:BI$6)*$K169</f>
        <v>-28000</v>
      </c>
      <c r="BJ169" s="1">
        <f>SUM($AT169,$AA169:AN169)-SUM($AV$5:BJ$5)*$J169-SUM($AV$6:BJ$6)*$K169</f>
        <v>-30800</v>
      </c>
      <c r="BK169" s="1">
        <f>SUM($AT169,$AA169:AO169)-SUM($AV$5:BK$5)*$J169-SUM($AV$6:BK$6)*$K169</f>
        <v>-33600</v>
      </c>
      <c r="BL169" s="1">
        <f>SUM($AT169,$AA169:AP169)-SUM($AV$5:BL$5)*$J169-SUM($AV$6:BL$6)*$K169</f>
        <v>-36400</v>
      </c>
      <c r="BM169" s="1">
        <f>SUM($AT169,$AA169:AQ169)-SUM($AV$5:BM$5)*$J169-SUM($AV$6:BM$6)*$K169</f>
        <v>-39200</v>
      </c>
      <c r="BN169" s="1">
        <f>SUM($AT169,$AA169:AR169)-SUM($AV$5:BN$5)*$J169-SUM($AV$6:BN$6)*$K169</f>
        <v>-40740</v>
      </c>
    </row>
    <row r="170" spans="1:66">
      <c r="A170" s="1">
        <v>187</v>
      </c>
      <c r="B170" s="28" t="s">
        <v>578</v>
      </c>
      <c r="C170" s="1" t="s">
        <v>40</v>
      </c>
      <c r="D170" s="2">
        <v>400693192</v>
      </c>
      <c r="E170" s="3" t="s">
        <v>579</v>
      </c>
      <c r="F170" s="1">
        <v>400275521</v>
      </c>
      <c r="G170" s="1" t="s">
        <v>42</v>
      </c>
      <c r="H170" s="1">
        <v>2</v>
      </c>
      <c r="I170" s="1">
        <v>21</v>
      </c>
      <c r="J170" s="1">
        <v>21</v>
      </c>
      <c r="K170" s="1">
        <v>0</v>
      </c>
      <c r="L170" s="1">
        <v>0</v>
      </c>
      <c r="M170" s="1">
        <f t="shared" si="8"/>
        <v>12222</v>
      </c>
      <c r="N170" s="1">
        <f t="shared" si="9"/>
        <v>12222</v>
      </c>
      <c r="O170" s="2" t="s">
        <v>525</v>
      </c>
      <c r="P170" s="1"/>
      <c r="Q170" s="1">
        <v>4.0000000000000001E-3</v>
      </c>
      <c r="R170" s="1" t="s">
        <v>44</v>
      </c>
      <c r="S170" s="30" t="s">
        <v>423</v>
      </c>
      <c r="T170" s="31" t="s">
        <v>238</v>
      </c>
      <c r="U170" s="1"/>
      <c r="V170" s="1">
        <v>10000</v>
      </c>
      <c r="W170" s="1" t="s">
        <v>239</v>
      </c>
      <c r="X170" s="32" t="s">
        <v>240</v>
      </c>
      <c r="Y170" s="1" t="s">
        <v>241</v>
      </c>
      <c r="Z170" s="2" t="s">
        <v>242</v>
      </c>
      <c r="AA170" s="1"/>
      <c r="AB170" s="1"/>
      <c r="AC170" s="1"/>
      <c r="AD170" s="1"/>
      <c r="AE170" s="1"/>
      <c r="AF170" s="1"/>
      <c r="AG170" s="1"/>
      <c r="AH170" s="1"/>
      <c r="AI170" s="1"/>
      <c r="AJ170" s="1"/>
      <c r="AK170" s="1"/>
      <c r="AL170" s="1"/>
      <c r="AM170" s="1"/>
      <c r="AN170" s="1"/>
      <c r="AO170" s="1"/>
      <c r="AP170" s="1"/>
      <c r="AQ170" s="1"/>
      <c r="AR170" s="1"/>
      <c r="AS170" s="1"/>
      <c r="AT170" s="1"/>
      <c r="AU170" s="1"/>
      <c r="AV170" s="1">
        <f>SUM($AT170,Z170:$AA170)-SUM($AV$5:AV$5)*$J170-SUM($AV$6:AV$6)*$K170</f>
        <v>0</v>
      </c>
      <c r="AW170" s="1">
        <f>SUM($AT170,$AA170:AA170)-SUM($AV$5:AW$5)*$J170-SUM($AV$6:AW$6)*$K170</f>
        <v>0</v>
      </c>
      <c r="AX170" s="1">
        <f>SUM($AT170,$AA170:AB170)-SUM($AV$5:AX$5)*$J170-SUM($AV$6:AX$6)*$K170</f>
        <v>0</v>
      </c>
      <c r="AY170" s="1">
        <f>SUM($AT170,$AA170:AC170)-SUM($AV$5:AY$5)*$J170-SUM($AV$6:AY$6)*$K170</f>
        <v>0</v>
      </c>
      <c r="AZ170" s="1">
        <f>SUM($AT170,$AA170:AD170)-SUM($AV$5:AZ$5)*$J170-SUM($AV$6:AZ$6)*$K170</f>
        <v>-840</v>
      </c>
      <c r="BA170" s="1">
        <f>SUM($AT170,$AA170:AE170)-SUM($AV$5:BA$5)*$J170-SUM($AV$6:BA$6)*$K170</f>
        <v>-1680</v>
      </c>
      <c r="BB170" s="1">
        <f>SUM($AT170,$AA170:AF170)-SUM($AV$5:BB$5)*$J170-SUM($AV$6:BB$6)*$K170</f>
        <v>-2520</v>
      </c>
      <c r="BC170" s="1">
        <f>SUM($AT170,$AA170:AG170)-SUM($AV$5:BC$5)*$J170-SUM($AV$6:BC$6)*$K170</f>
        <v>-3360</v>
      </c>
      <c r="BD170" s="1">
        <f>SUM($AT170,$AA170:AH170)-SUM($AV$5:BD$5)*$J170-SUM($AV$6:BD$6)*$K170</f>
        <v>-4200</v>
      </c>
      <c r="BE170" s="1">
        <f>SUM($AT170,$AA170:AI170)-SUM($AV$5:BE$5)*$J170-SUM($AV$6:BE$6)*$K170</f>
        <v>-5040</v>
      </c>
      <c r="BF170" s="1">
        <f>SUM($AT170,$AA170:AJ170)-SUM($AV$5:BF$5)*$J170-SUM($AV$6:BF$6)*$K170</f>
        <v>-5880</v>
      </c>
      <c r="BG170" s="1">
        <f>SUM($AT170,$AA170:AK170)-SUM($AV$5:BG$5)*$J170-SUM($AV$6:BG$6)*$K170</f>
        <v>-6720</v>
      </c>
      <c r="BH170" s="1">
        <f>SUM($AT170,$AA170:AL170)-SUM($AV$5:BH$5)*$J170-SUM($AV$6:BH$6)*$K170</f>
        <v>-7560</v>
      </c>
      <c r="BI170" s="1">
        <f>SUM($AT170,$AA170:AM170)-SUM($AV$5:BI$5)*$J170-SUM($AV$6:BI$6)*$K170</f>
        <v>-8400</v>
      </c>
      <c r="BJ170" s="1">
        <f>SUM($AT170,$AA170:AN170)-SUM($AV$5:BJ$5)*$J170-SUM($AV$6:BJ$6)*$K170</f>
        <v>-9240</v>
      </c>
      <c r="BK170" s="1">
        <f>SUM($AT170,$AA170:AO170)-SUM($AV$5:BK$5)*$J170-SUM($AV$6:BK$6)*$K170</f>
        <v>-10080</v>
      </c>
      <c r="BL170" s="1">
        <f>SUM($AT170,$AA170:AP170)-SUM($AV$5:BL$5)*$J170-SUM($AV$6:BL$6)*$K170</f>
        <v>-10920</v>
      </c>
      <c r="BM170" s="1">
        <f>SUM($AT170,$AA170:AQ170)-SUM($AV$5:BM$5)*$J170-SUM($AV$6:BM$6)*$K170</f>
        <v>-11760</v>
      </c>
      <c r="BN170" s="1">
        <f>SUM($AT170,$AA170:AR170)-SUM($AV$5:BN$5)*$J170-SUM($AV$6:BN$6)*$K170</f>
        <v>-12222</v>
      </c>
    </row>
    <row r="171" spans="1:66">
      <c r="A171" s="1">
        <v>188</v>
      </c>
      <c r="B171" s="28" t="s">
        <v>580</v>
      </c>
      <c r="C171" s="1" t="s">
        <v>40</v>
      </c>
      <c r="D171" s="2">
        <v>401372496</v>
      </c>
      <c r="E171" s="3" t="s">
        <v>581</v>
      </c>
      <c r="F171" s="1">
        <v>400294244</v>
      </c>
      <c r="G171" s="1" t="s">
        <v>42</v>
      </c>
      <c r="H171" s="1">
        <v>2</v>
      </c>
      <c r="I171" s="1">
        <v>95</v>
      </c>
      <c r="J171" s="1">
        <v>95</v>
      </c>
      <c r="K171" s="1">
        <v>0</v>
      </c>
      <c r="L171" s="1">
        <v>0</v>
      </c>
      <c r="M171" s="1">
        <f t="shared" si="8"/>
        <v>55290</v>
      </c>
      <c r="N171" s="1">
        <f t="shared" si="9"/>
        <v>55290</v>
      </c>
      <c r="O171" s="2" t="s">
        <v>525</v>
      </c>
      <c r="P171" s="1"/>
      <c r="Q171" s="1">
        <v>4.0000000000000001E-3</v>
      </c>
      <c r="R171" s="1" t="s">
        <v>44</v>
      </c>
      <c r="S171" s="30" t="s">
        <v>423</v>
      </c>
      <c r="T171" s="31" t="s">
        <v>238</v>
      </c>
      <c r="U171" s="1"/>
      <c r="V171" s="1">
        <v>10000</v>
      </c>
      <c r="W171" s="1" t="s">
        <v>239</v>
      </c>
      <c r="X171" s="32" t="s">
        <v>240</v>
      </c>
      <c r="Y171" s="1" t="s">
        <v>241</v>
      </c>
      <c r="Z171" s="2" t="s">
        <v>242</v>
      </c>
      <c r="AA171" s="1"/>
      <c r="AB171" s="1"/>
      <c r="AC171" s="1"/>
      <c r="AD171" s="1"/>
      <c r="AE171" s="1"/>
      <c r="AF171" s="1"/>
      <c r="AG171" s="1"/>
      <c r="AH171" s="1"/>
      <c r="AI171" s="1"/>
      <c r="AJ171" s="1"/>
      <c r="AK171" s="1"/>
      <c r="AL171" s="1"/>
      <c r="AM171" s="1"/>
      <c r="AN171" s="1"/>
      <c r="AO171" s="1"/>
      <c r="AP171" s="1"/>
      <c r="AQ171" s="1"/>
      <c r="AR171" s="1"/>
      <c r="AS171" s="1"/>
      <c r="AT171" s="1"/>
      <c r="AU171" s="1"/>
      <c r="AV171" s="1">
        <f>SUM($AT171,Z171:$AA171)-SUM($AV$5:AV$5)*$J171-SUM($AV$6:AV$6)*$K171</f>
        <v>0</v>
      </c>
      <c r="AW171" s="1">
        <f>SUM($AT171,$AA171:AA171)-SUM($AV$5:AW$5)*$J171-SUM($AV$6:AW$6)*$K171</f>
        <v>0</v>
      </c>
      <c r="AX171" s="1">
        <f>SUM($AT171,$AA171:AB171)-SUM($AV$5:AX$5)*$J171-SUM($AV$6:AX$6)*$K171</f>
        <v>0</v>
      </c>
      <c r="AY171" s="1">
        <f>SUM($AT171,$AA171:AC171)-SUM($AV$5:AY$5)*$J171-SUM($AV$6:AY$6)*$K171</f>
        <v>0</v>
      </c>
      <c r="AZ171" s="1">
        <f>SUM($AT171,$AA171:AD171)-SUM($AV$5:AZ$5)*$J171-SUM($AV$6:AZ$6)*$K171</f>
        <v>-3800</v>
      </c>
      <c r="BA171" s="1">
        <f>SUM($AT171,$AA171:AE171)-SUM($AV$5:BA$5)*$J171-SUM($AV$6:BA$6)*$K171</f>
        <v>-7600</v>
      </c>
      <c r="BB171" s="1">
        <f>SUM($AT171,$AA171:AF171)-SUM($AV$5:BB$5)*$J171-SUM($AV$6:BB$6)*$K171</f>
        <v>-11400</v>
      </c>
      <c r="BC171" s="1">
        <f>SUM($AT171,$AA171:AG171)-SUM($AV$5:BC$5)*$J171-SUM($AV$6:BC$6)*$K171</f>
        <v>-15200</v>
      </c>
      <c r="BD171" s="1">
        <f>SUM($AT171,$AA171:AH171)-SUM($AV$5:BD$5)*$J171-SUM($AV$6:BD$6)*$K171</f>
        <v>-19000</v>
      </c>
      <c r="BE171" s="1">
        <f>SUM($AT171,$AA171:AI171)-SUM($AV$5:BE$5)*$J171-SUM($AV$6:BE$6)*$K171</f>
        <v>-22800</v>
      </c>
      <c r="BF171" s="1">
        <f>SUM($AT171,$AA171:AJ171)-SUM($AV$5:BF$5)*$J171-SUM($AV$6:BF$6)*$K171</f>
        <v>-26600</v>
      </c>
      <c r="BG171" s="1">
        <f>SUM($AT171,$AA171:AK171)-SUM($AV$5:BG$5)*$J171-SUM($AV$6:BG$6)*$K171</f>
        <v>-30400</v>
      </c>
      <c r="BH171" s="1">
        <f>SUM($AT171,$AA171:AL171)-SUM($AV$5:BH$5)*$J171-SUM($AV$6:BH$6)*$K171</f>
        <v>-34200</v>
      </c>
      <c r="BI171" s="1">
        <f>SUM($AT171,$AA171:AM171)-SUM($AV$5:BI$5)*$J171-SUM($AV$6:BI$6)*$K171</f>
        <v>-38000</v>
      </c>
      <c r="BJ171" s="1">
        <f>SUM($AT171,$AA171:AN171)-SUM($AV$5:BJ$5)*$J171-SUM($AV$6:BJ$6)*$K171</f>
        <v>-41800</v>
      </c>
      <c r="BK171" s="1">
        <f>SUM($AT171,$AA171:AO171)-SUM($AV$5:BK$5)*$J171-SUM($AV$6:BK$6)*$K171</f>
        <v>-45600</v>
      </c>
      <c r="BL171" s="1">
        <f>SUM($AT171,$AA171:AP171)-SUM($AV$5:BL$5)*$J171-SUM($AV$6:BL$6)*$K171</f>
        <v>-49400</v>
      </c>
      <c r="BM171" s="1">
        <f>SUM($AT171,$AA171:AQ171)-SUM($AV$5:BM$5)*$J171-SUM($AV$6:BM$6)*$K171</f>
        <v>-53200</v>
      </c>
      <c r="BN171" s="1">
        <f>SUM($AT171,$AA171:AR171)-SUM($AV$5:BN$5)*$J171-SUM($AV$6:BN$6)*$K171</f>
        <v>-55290</v>
      </c>
    </row>
    <row r="172" spans="1:66">
      <c r="A172" s="1">
        <v>189</v>
      </c>
      <c r="B172" s="28" t="s">
        <v>582</v>
      </c>
      <c r="C172" s="1" t="s">
        <v>40</v>
      </c>
      <c r="D172" s="2">
        <v>400658327</v>
      </c>
      <c r="E172" s="3" t="s">
        <v>583</v>
      </c>
      <c r="F172" s="1">
        <v>400275597</v>
      </c>
      <c r="G172" s="1" t="s">
        <v>42</v>
      </c>
      <c r="H172" s="1">
        <v>2</v>
      </c>
      <c r="I172" s="1">
        <v>66</v>
      </c>
      <c r="J172" s="1">
        <v>66</v>
      </c>
      <c r="K172" s="1">
        <v>0</v>
      </c>
      <c r="L172" s="1">
        <v>0</v>
      </c>
      <c r="M172" s="1">
        <f t="shared" si="8"/>
        <v>38412</v>
      </c>
      <c r="N172" s="1">
        <f t="shared" si="9"/>
        <v>38412</v>
      </c>
      <c r="O172" s="2" t="s">
        <v>525</v>
      </c>
      <c r="P172" s="1"/>
      <c r="Q172" s="1">
        <v>4.0000000000000001E-3</v>
      </c>
      <c r="R172" s="1" t="s">
        <v>44</v>
      </c>
      <c r="S172" s="30" t="s">
        <v>423</v>
      </c>
      <c r="T172" s="31" t="s">
        <v>238</v>
      </c>
      <c r="U172" s="1"/>
      <c r="V172" s="1">
        <v>10000</v>
      </c>
      <c r="W172" s="1" t="s">
        <v>239</v>
      </c>
      <c r="X172" s="32" t="s">
        <v>240</v>
      </c>
      <c r="Y172" s="1" t="s">
        <v>241</v>
      </c>
      <c r="Z172" s="2" t="s">
        <v>242</v>
      </c>
      <c r="AA172" s="1"/>
      <c r="AB172" s="1"/>
      <c r="AC172" s="1"/>
      <c r="AD172" s="1"/>
      <c r="AE172" s="1"/>
      <c r="AF172" s="1"/>
      <c r="AG172" s="1"/>
      <c r="AH172" s="1"/>
      <c r="AI172" s="1"/>
      <c r="AJ172" s="1"/>
      <c r="AK172" s="1"/>
      <c r="AL172" s="1"/>
      <c r="AM172" s="1"/>
      <c r="AN172" s="1"/>
      <c r="AO172" s="1"/>
      <c r="AP172" s="1"/>
      <c r="AQ172" s="1"/>
      <c r="AR172" s="1"/>
      <c r="AS172" s="1"/>
      <c r="AT172" s="1"/>
      <c r="AU172" s="1"/>
      <c r="AV172" s="1">
        <f>SUM($AT172,Z172:$AA172)-SUM($AV$5:AV$5)*$J172-SUM($AV$6:AV$6)*$K172</f>
        <v>0</v>
      </c>
      <c r="AW172" s="1">
        <f>SUM($AT172,$AA172:AA172)-SUM($AV$5:AW$5)*$J172-SUM($AV$6:AW$6)*$K172</f>
        <v>0</v>
      </c>
      <c r="AX172" s="1">
        <f>SUM($AT172,$AA172:AB172)-SUM($AV$5:AX$5)*$J172-SUM($AV$6:AX$6)*$K172</f>
        <v>0</v>
      </c>
      <c r="AY172" s="1">
        <f>SUM($AT172,$AA172:AC172)-SUM($AV$5:AY$5)*$J172-SUM($AV$6:AY$6)*$K172</f>
        <v>0</v>
      </c>
      <c r="AZ172" s="1">
        <f>SUM($AT172,$AA172:AD172)-SUM($AV$5:AZ$5)*$J172-SUM($AV$6:AZ$6)*$K172</f>
        <v>-2640</v>
      </c>
      <c r="BA172" s="1">
        <f>SUM($AT172,$AA172:AE172)-SUM($AV$5:BA$5)*$J172-SUM($AV$6:BA$6)*$K172</f>
        <v>-5280</v>
      </c>
      <c r="BB172" s="1">
        <f>SUM($AT172,$AA172:AF172)-SUM($AV$5:BB$5)*$J172-SUM($AV$6:BB$6)*$K172</f>
        <v>-7920</v>
      </c>
      <c r="BC172" s="1">
        <f>SUM($AT172,$AA172:AG172)-SUM($AV$5:BC$5)*$J172-SUM($AV$6:BC$6)*$K172</f>
        <v>-10560</v>
      </c>
      <c r="BD172" s="1">
        <f>SUM($AT172,$AA172:AH172)-SUM($AV$5:BD$5)*$J172-SUM($AV$6:BD$6)*$K172</f>
        <v>-13200</v>
      </c>
      <c r="BE172" s="1">
        <f>SUM($AT172,$AA172:AI172)-SUM($AV$5:BE$5)*$J172-SUM($AV$6:BE$6)*$K172</f>
        <v>-15840</v>
      </c>
      <c r="BF172" s="1">
        <f>SUM($AT172,$AA172:AJ172)-SUM($AV$5:BF$5)*$J172-SUM($AV$6:BF$6)*$K172</f>
        <v>-18480</v>
      </c>
      <c r="BG172" s="1">
        <f>SUM($AT172,$AA172:AK172)-SUM($AV$5:BG$5)*$J172-SUM($AV$6:BG$6)*$K172</f>
        <v>-21120</v>
      </c>
      <c r="BH172" s="1">
        <f>SUM($AT172,$AA172:AL172)-SUM($AV$5:BH$5)*$J172-SUM($AV$6:BH$6)*$K172</f>
        <v>-23760</v>
      </c>
      <c r="BI172" s="1">
        <f>SUM($AT172,$AA172:AM172)-SUM($AV$5:BI$5)*$J172-SUM($AV$6:BI$6)*$K172</f>
        <v>-26400</v>
      </c>
      <c r="BJ172" s="1">
        <f>SUM($AT172,$AA172:AN172)-SUM($AV$5:BJ$5)*$J172-SUM($AV$6:BJ$6)*$K172</f>
        <v>-29040</v>
      </c>
      <c r="BK172" s="1">
        <f>SUM($AT172,$AA172:AO172)-SUM($AV$5:BK$5)*$J172-SUM($AV$6:BK$6)*$K172</f>
        <v>-31680</v>
      </c>
      <c r="BL172" s="1">
        <f>SUM($AT172,$AA172:AP172)-SUM($AV$5:BL$5)*$J172-SUM($AV$6:BL$6)*$K172</f>
        <v>-34320</v>
      </c>
      <c r="BM172" s="1">
        <f>SUM($AT172,$AA172:AQ172)-SUM($AV$5:BM$5)*$J172-SUM($AV$6:BM$6)*$K172</f>
        <v>-36960</v>
      </c>
      <c r="BN172" s="1">
        <f>SUM($AT172,$AA172:AR172)-SUM($AV$5:BN$5)*$J172-SUM($AV$6:BN$6)*$K172</f>
        <v>-38412</v>
      </c>
    </row>
    <row r="173" spans="1:66">
      <c r="A173" s="1">
        <v>190</v>
      </c>
      <c r="B173" s="28" t="s">
        <v>584</v>
      </c>
      <c r="C173" s="1" t="s">
        <v>40</v>
      </c>
      <c r="D173" s="2">
        <v>400658330</v>
      </c>
      <c r="E173" s="3" t="s">
        <v>585</v>
      </c>
      <c r="F173" s="1">
        <v>400275755</v>
      </c>
      <c r="G173" s="1" t="s">
        <v>42</v>
      </c>
      <c r="H173" s="1">
        <v>2</v>
      </c>
      <c r="I173" s="1">
        <v>131</v>
      </c>
      <c r="J173" s="1">
        <v>131</v>
      </c>
      <c r="K173" s="1">
        <v>0</v>
      </c>
      <c r="L173" s="1">
        <v>0</v>
      </c>
      <c r="M173" s="1">
        <f t="shared" si="8"/>
        <v>76242</v>
      </c>
      <c r="N173" s="1">
        <f t="shared" si="9"/>
        <v>76242</v>
      </c>
      <c r="O173" s="2" t="s">
        <v>525</v>
      </c>
      <c r="P173" s="1"/>
      <c r="Q173" s="1">
        <v>4.0000000000000001E-3</v>
      </c>
      <c r="R173" s="1" t="s">
        <v>44</v>
      </c>
      <c r="S173" s="30" t="s">
        <v>423</v>
      </c>
      <c r="T173" s="31" t="s">
        <v>238</v>
      </c>
      <c r="U173" s="1"/>
      <c r="V173" s="1">
        <v>10000</v>
      </c>
      <c r="W173" s="1" t="s">
        <v>239</v>
      </c>
      <c r="X173" s="32" t="s">
        <v>240</v>
      </c>
      <c r="Y173" s="1" t="s">
        <v>241</v>
      </c>
      <c r="Z173" s="2" t="s">
        <v>242</v>
      </c>
      <c r="AA173" s="1"/>
      <c r="AB173" s="1"/>
      <c r="AC173" s="1"/>
      <c r="AD173" s="1"/>
      <c r="AE173" s="1"/>
      <c r="AF173" s="1"/>
      <c r="AG173" s="1"/>
      <c r="AH173" s="1"/>
      <c r="AI173" s="1"/>
      <c r="AJ173" s="1"/>
      <c r="AK173" s="1"/>
      <c r="AL173" s="1"/>
      <c r="AM173" s="1"/>
      <c r="AN173" s="1"/>
      <c r="AO173" s="1"/>
      <c r="AP173" s="1"/>
      <c r="AQ173" s="1"/>
      <c r="AR173" s="1"/>
      <c r="AS173" s="1"/>
      <c r="AT173" s="1"/>
      <c r="AU173" s="1"/>
      <c r="AV173" s="1">
        <f>SUM($AT173,Z173:$AA173)-SUM($AV$5:AV$5)*$J173-SUM($AV$6:AV$6)*$K173</f>
        <v>0</v>
      </c>
      <c r="AW173" s="1">
        <f>SUM($AT173,$AA173:AA173)-SUM($AV$5:AW$5)*$J173-SUM($AV$6:AW$6)*$K173</f>
        <v>0</v>
      </c>
      <c r="AX173" s="1">
        <f>SUM($AT173,$AA173:AB173)-SUM($AV$5:AX$5)*$J173-SUM($AV$6:AX$6)*$K173</f>
        <v>0</v>
      </c>
      <c r="AY173" s="1">
        <f>SUM($AT173,$AA173:AC173)-SUM($AV$5:AY$5)*$J173-SUM($AV$6:AY$6)*$K173</f>
        <v>0</v>
      </c>
      <c r="AZ173" s="1">
        <f>SUM($AT173,$AA173:AD173)-SUM($AV$5:AZ$5)*$J173-SUM($AV$6:AZ$6)*$K173</f>
        <v>-5240</v>
      </c>
      <c r="BA173" s="1">
        <f>SUM($AT173,$AA173:AE173)-SUM($AV$5:BA$5)*$J173-SUM($AV$6:BA$6)*$K173</f>
        <v>-10480</v>
      </c>
      <c r="BB173" s="1">
        <f>SUM($AT173,$AA173:AF173)-SUM($AV$5:BB$5)*$J173-SUM($AV$6:BB$6)*$K173</f>
        <v>-15720</v>
      </c>
      <c r="BC173" s="1">
        <f>SUM($AT173,$AA173:AG173)-SUM($AV$5:BC$5)*$J173-SUM($AV$6:BC$6)*$K173</f>
        <v>-20960</v>
      </c>
      <c r="BD173" s="1">
        <f>SUM($AT173,$AA173:AH173)-SUM($AV$5:BD$5)*$J173-SUM($AV$6:BD$6)*$K173</f>
        <v>-26200</v>
      </c>
      <c r="BE173" s="1">
        <f>SUM($AT173,$AA173:AI173)-SUM($AV$5:BE$5)*$J173-SUM($AV$6:BE$6)*$K173</f>
        <v>-31440</v>
      </c>
      <c r="BF173" s="1">
        <f>SUM($AT173,$AA173:AJ173)-SUM($AV$5:BF$5)*$J173-SUM($AV$6:BF$6)*$K173</f>
        <v>-36680</v>
      </c>
      <c r="BG173" s="1">
        <f>SUM($AT173,$AA173:AK173)-SUM($AV$5:BG$5)*$J173-SUM($AV$6:BG$6)*$K173</f>
        <v>-41920</v>
      </c>
      <c r="BH173" s="1">
        <f>SUM($AT173,$AA173:AL173)-SUM($AV$5:BH$5)*$J173-SUM($AV$6:BH$6)*$K173</f>
        <v>-47160</v>
      </c>
      <c r="BI173" s="1">
        <f>SUM($AT173,$AA173:AM173)-SUM($AV$5:BI$5)*$J173-SUM($AV$6:BI$6)*$K173</f>
        <v>-52400</v>
      </c>
      <c r="BJ173" s="1">
        <f>SUM($AT173,$AA173:AN173)-SUM($AV$5:BJ$5)*$J173-SUM($AV$6:BJ$6)*$K173</f>
        <v>-57640</v>
      </c>
      <c r="BK173" s="1">
        <f>SUM($AT173,$AA173:AO173)-SUM($AV$5:BK$5)*$J173-SUM($AV$6:BK$6)*$K173</f>
        <v>-62880</v>
      </c>
      <c r="BL173" s="1">
        <f>SUM($AT173,$AA173:AP173)-SUM($AV$5:BL$5)*$J173-SUM($AV$6:BL$6)*$K173</f>
        <v>-68120</v>
      </c>
      <c r="BM173" s="1">
        <f>SUM($AT173,$AA173:AQ173)-SUM($AV$5:BM$5)*$J173-SUM($AV$6:BM$6)*$K173</f>
        <v>-73360</v>
      </c>
      <c r="BN173" s="1">
        <f>SUM($AT173,$AA173:AR173)-SUM($AV$5:BN$5)*$J173-SUM($AV$6:BN$6)*$K173</f>
        <v>-76242</v>
      </c>
    </row>
    <row r="174" spans="1:66">
      <c r="A174" s="1">
        <v>191</v>
      </c>
      <c r="B174" s="28" t="s">
        <v>586</v>
      </c>
      <c r="C174" s="1" t="s">
        <v>40</v>
      </c>
      <c r="D174" s="2">
        <v>401282161</v>
      </c>
      <c r="E174" s="3" t="s">
        <v>587</v>
      </c>
      <c r="F174" s="1">
        <v>400275571</v>
      </c>
      <c r="G174" s="1" t="s">
        <v>42</v>
      </c>
      <c r="H174" s="1">
        <v>2</v>
      </c>
      <c r="I174" s="1">
        <v>17</v>
      </c>
      <c r="J174" s="1">
        <v>17</v>
      </c>
      <c r="K174" s="1">
        <v>0</v>
      </c>
      <c r="L174" s="1">
        <v>0</v>
      </c>
      <c r="M174" s="1">
        <f t="shared" si="8"/>
        <v>9894</v>
      </c>
      <c r="N174" s="1">
        <f t="shared" si="9"/>
        <v>9894</v>
      </c>
      <c r="O174" s="2" t="s">
        <v>525</v>
      </c>
      <c r="P174" s="1"/>
      <c r="Q174" s="1">
        <v>4.0000000000000001E-3</v>
      </c>
      <c r="R174" s="1" t="s">
        <v>44</v>
      </c>
      <c r="S174" s="30" t="s">
        <v>423</v>
      </c>
      <c r="T174" s="31" t="s">
        <v>238</v>
      </c>
      <c r="U174" s="1"/>
      <c r="V174" s="1">
        <v>10000</v>
      </c>
      <c r="W174" s="1" t="s">
        <v>239</v>
      </c>
      <c r="X174" s="32" t="s">
        <v>240</v>
      </c>
      <c r="Y174" s="1" t="s">
        <v>241</v>
      </c>
      <c r="Z174" s="2" t="s">
        <v>242</v>
      </c>
      <c r="AA174" s="1"/>
      <c r="AB174" s="1"/>
      <c r="AC174" s="1"/>
      <c r="AD174" s="1"/>
      <c r="AE174" s="1"/>
      <c r="AF174" s="1"/>
      <c r="AG174" s="1"/>
      <c r="AH174" s="1"/>
      <c r="AI174" s="1"/>
      <c r="AJ174" s="1"/>
      <c r="AK174" s="1"/>
      <c r="AL174" s="1"/>
      <c r="AM174" s="1"/>
      <c r="AN174" s="1"/>
      <c r="AO174" s="1"/>
      <c r="AP174" s="1"/>
      <c r="AQ174" s="1"/>
      <c r="AR174" s="1"/>
      <c r="AS174" s="1"/>
      <c r="AT174" s="1"/>
      <c r="AU174" s="1"/>
      <c r="AV174" s="1">
        <f>SUM($AT174,Z174:$AA174)-SUM($AV$5:AV$5)*$J174-SUM($AV$6:AV$6)*$K174</f>
        <v>0</v>
      </c>
      <c r="AW174" s="1">
        <f>SUM($AT174,$AA174:AA174)-SUM($AV$5:AW$5)*$J174-SUM($AV$6:AW$6)*$K174</f>
        <v>0</v>
      </c>
      <c r="AX174" s="1">
        <f>SUM($AT174,$AA174:AB174)-SUM($AV$5:AX$5)*$J174-SUM($AV$6:AX$6)*$K174</f>
        <v>0</v>
      </c>
      <c r="AY174" s="1">
        <f>SUM($AT174,$AA174:AC174)-SUM($AV$5:AY$5)*$J174-SUM($AV$6:AY$6)*$K174</f>
        <v>0</v>
      </c>
      <c r="AZ174" s="1">
        <f>SUM($AT174,$AA174:AD174)-SUM($AV$5:AZ$5)*$J174-SUM($AV$6:AZ$6)*$K174</f>
        <v>-680</v>
      </c>
      <c r="BA174" s="1">
        <f>SUM($AT174,$AA174:AE174)-SUM($AV$5:BA$5)*$J174-SUM($AV$6:BA$6)*$K174</f>
        <v>-1360</v>
      </c>
      <c r="BB174" s="1">
        <f>SUM($AT174,$AA174:AF174)-SUM($AV$5:BB$5)*$J174-SUM($AV$6:BB$6)*$K174</f>
        <v>-2040</v>
      </c>
      <c r="BC174" s="1">
        <f>SUM($AT174,$AA174:AG174)-SUM($AV$5:BC$5)*$J174-SUM($AV$6:BC$6)*$K174</f>
        <v>-2720</v>
      </c>
      <c r="BD174" s="1">
        <f>SUM($AT174,$AA174:AH174)-SUM($AV$5:BD$5)*$J174-SUM($AV$6:BD$6)*$K174</f>
        <v>-3400</v>
      </c>
      <c r="BE174" s="1">
        <f>SUM($AT174,$AA174:AI174)-SUM($AV$5:BE$5)*$J174-SUM($AV$6:BE$6)*$K174</f>
        <v>-4080</v>
      </c>
      <c r="BF174" s="1">
        <f>SUM($AT174,$AA174:AJ174)-SUM($AV$5:BF$5)*$J174-SUM($AV$6:BF$6)*$K174</f>
        <v>-4760</v>
      </c>
      <c r="BG174" s="1">
        <f>SUM($AT174,$AA174:AK174)-SUM($AV$5:BG$5)*$J174-SUM($AV$6:BG$6)*$K174</f>
        <v>-5440</v>
      </c>
      <c r="BH174" s="1">
        <f>SUM($AT174,$AA174:AL174)-SUM($AV$5:BH$5)*$J174-SUM($AV$6:BH$6)*$K174</f>
        <v>-6120</v>
      </c>
      <c r="BI174" s="1">
        <f>SUM($AT174,$AA174:AM174)-SUM($AV$5:BI$5)*$J174-SUM($AV$6:BI$6)*$K174</f>
        <v>-6800</v>
      </c>
      <c r="BJ174" s="1">
        <f>SUM($AT174,$AA174:AN174)-SUM($AV$5:BJ$5)*$J174-SUM($AV$6:BJ$6)*$K174</f>
        <v>-7480</v>
      </c>
      <c r="BK174" s="1">
        <f>SUM($AT174,$AA174:AO174)-SUM($AV$5:BK$5)*$J174-SUM($AV$6:BK$6)*$K174</f>
        <v>-8160</v>
      </c>
      <c r="BL174" s="1">
        <f>SUM($AT174,$AA174:AP174)-SUM($AV$5:BL$5)*$J174-SUM($AV$6:BL$6)*$K174</f>
        <v>-8840</v>
      </c>
      <c r="BM174" s="1">
        <f>SUM($AT174,$AA174:AQ174)-SUM($AV$5:BM$5)*$J174-SUM($AV$6:BM$6)*$K174</f>
        <v>-9520</v>
      </c>
      <c r="BN174" s="1">
        <f>SUM($AT174,$AA174:AR174)-SUM($AV$5:BN$5)*$J174-SUM($AV$6:BN$6)*$K174</f>
        <v>-9894</v>
      </c>
    </row>
    <row r="175" spans="1:66">
      <c r="A175" s="1">
        <v>192</v>
      </c>
      <c r="B175" s="28" t="s">
        <v>588</v>
      </c>
      <c r="C175" s="1" t="s">
        <v>40</v>
      </c>
      <c r="D175" s="2">
        <v>401308902</v>
      </c>
      <c r="E175" s="3" t="s">
        <v>589</v>
      </c>
      <c r="F175" s="1">
        <v>400275589</v>
      </c>
      <c r="G175" s="1" t="s">
        <v>42</v>
      </c>
      <c r="H175" s="1">
        <v>2</v>
      </c>
      <c r="I175" s="1">
        <v>36</v>
      </c>
      <c r="J175" s="1">
        <v>36</v>
      </c>
      <c r="K175" s="1">
        <v>0</v>
      </c>
      <c r="L175" s="1">
        <v>0</v>
      </c>
      <c r="M175" s="1">
        <f t="shared" si="8"/>
        <v>20952</v>
      </c>
      <c r="N175" s="1">
        <f t="shared" si="9"/>
        <v>20952</v>
      </c>
      <c r="O175" s="2" t="s">
        <v>380</v>
      </c>
      <c r="P175" s="1"/>
      <c r="Q175" s="1">
        <v>4.0000000000000001E-3</v>
      </c>
      <c r="R175" s="1" t="s">
        <v>44</v>
      </c>
      <c r="S175" s="30" t="s">
        <v>423</v>
      </c>
      <c r="T175" s="31" t="s">
        <v>238</v>
      </c>
      <c r="U175" s="1"/>
      <c r="V175" s="1">
        <v>10000</v>
      </c>
      <c r="W175" s="1" t="s">
        <v>239</v>
      </c>
      <c r="X175" s="32" t="s">
        <v>240</v>
      </c>
      <c r="Y175" s="1" t="s">
        <v>241</v>
      </c>
      <c r="Z175" s="2" t="s">
        <v>242</v>
      </c>
      <c r="AA175" s="1"/>
      <c r="AB175" s="1"/>
      <c r="AC175" s="1"/>
      <c r="AD175" s="1"/>
      <c r="AE175" s="1"/>
      <c r="AF175" s="1"/>
      <c r="AG175" s="1"/>
      <c r="AH175" s="1"/>
      <c r="AI175" s="1"/>
      <c r="AJ175" s="1"/>
      <c r="AK175" s="1"/>
      <c r="AL175" s="1"/>
      <c r="AM175" s="1"/>
      <c r="AN175" s="1"/>
      <c r="AO175" s="1"/>
      <c r="AP175" s="1"/>
      <c r="AQ175" s="1"/>
      <c r="AR175" s="1"/>
      <c r="AS175" s="1"/>
      <c r="AT175" s="1"/>
      <c r="AU175" s="1"/>
      <c r="AV175" s="1">
        <f>SUM($AT175,Z175:$AA175)-SUM($AV$5:AV$5)*$J175-SUM($AV$6:AV$6)*$K175</f>
        <v>0</v>
      </c>
      <c r="AW175" s="1">
        <f>SUM($AT175,$AA175:AA175)-SUM($AV$5:AW$5)*$J175-SUM($AV$6:AW$6)*$K175</f>
        <v>0</v>
      </c>
      <c r="AX175" s="1">
        <f>SUM($AT175,$AA175:AB175)-SUM($AV$5:AX$5)*$J175-SUM($AV$6:AX$6)*$K175</f>
        <v>0</v>
      </c>
      <c r="AY175" s="1">
        <f>SUM($AT175,$AA175:AC175)-SUM($AV$5:AY$5)*$J175-SUM($AV$6:AY$6)*$K175</f>
        <v>0</v>
      </c>
      <c r="AZ175" s="1">
        <f>SUM($AT175,$AA175:AD175)-SUM($AV$5:AZ$5)*$J175-SUM($AV$6:AZ$6)*$K175</f>
        <v>-1440</v>
      </c>
      <c r="BA175" s="1">
        <f>SUM($AT175,$AA175:AE175)-SUM($AV$5:BA$5)*$J175-SUM($AV$6:BA$6)*$K175</f>
        <v>-2880</v>
      </c>
      <c r="BB175" s="1">
        <f>SUM($AT175,$AA175:AF175)-SUM($AV$5:BB$5)*$J175-SUM($AV$6:BB$6)*$K175</f>
        <v>-4320</v>
      </c>
      <c r="BC175" s="1">
        <f>SUM($AT175,$AA175:AG175)-SUM($AV$5:BC$5)*$J175-SUM($AV$6:BC$6)*$K175</f>
        <v>-5760</v>
      </c>
      <c r="BD175" s="1">
        <f>SUM($AT175,$AA175:AH175)-SUM($AV$5:BD$5)*$J175-SUM($AV$6:BD$6)*$K175</f>
        <v>-7200</v>
      </c>
      <c r="BE175" s="1">
        <f>SUM($AT175,$AA175:AI175)-SUM($AV$5:BE$5)*$J175-SUM($AV$6:BE$6)*$K175</f>
        <v>-8640</v>
      </c>
      <c r="BF175" s="1">
        <f>SUM($AT175,$AA175:AJ175)-SUM($AV$5:BF$5)*$J175-SUM($AV$6:BF$6)*$K175</f>
        <v>-10080</v>
      </c>
      <c r="BG175" s="1">
        <f>SUM($AT175,$AA175:AK175)-SUM($AV$5:BG$5)*$J175-SUM($AV$6:BG$6)*$K175</f>
        <v>-11520</v>
      </c>
      <c r="BH175" s="1">
        <f>SUM($AT175,$AA175:AL175)-SUM($AV$5:BH$5)*$J175-SUM($AV$6:BH$6)*$K175</f>
        <v>-12960</v>
      </c>
      <c r="BI175" s="1">
        <f>SUM($AT175,$AA175:AM175)-SUM($AV$5:BI$5)*$J175-SUM($AV$6:BI$6)*$K175</f>
        <v>-14400</v>
      </c>
      <c r="BJ175" s="1">
        <f>SUM($AT175,$AA175:AN175)-SUM($AV$5:BJ$5)*$J175-SUM($AV$6:BJ$6)*$K175</f>
        <v>-15840</v>
      </c>
      <c r="BK175" s="1">
        <f>SUM($AT175,$AA175:AO175)-SUM($AV$5:BK$5)*$J175-SUM($AV$6:BK$6)*$K175</f>
        <v>-17280</v>
      </c>
      <c r="BL175" s="1">
        <f>SUM($AT175,$AA175:AP175)-SUM($AV$5:BL$5)*$J175-SUM($AV$6:BL$6)*$K175</f>
        <v>-18720</v>
      </c>
      <c r="BM175" s="1">
        <f>SUM($AT175,$AA175:AQ175)-SUM($AV$5:BM$5)*$J175-SUM($AV$6:BM$6)*$K175</f>
        <v>-20160</v>
      </c>
      <c r="BN175" s="1">
        <f>SUM($AT175,$AA175:AR175)-SUM($AV$5:BN$5)*$J175-SUM($AV$6:BN$6)*$K175</f>
        <v>-20952</v>
      </c>
    </row>
    <row r="176" spans="1:66">
      <c r="A176" s="1">
        <v>193</v>
      </c>
      <c r="B176" s="28" t="s">
        <v>590</v>
      </c>
      <c r="C176" s="1" t="s">
        <v>40</v>
      </c>
      <c r="D176" s="2">
        <v>400658331</v>
      </c>
      <c r="E176" s="3" t="s">
        <v>591</v>
      </c>
      <c r="F176" s="1">
        <v>400275598</v>
      </c>
      <c r="G176" s="1" t="s">
        <v>42</v>
      </c>
      <c r="H176" s="1">
        <v>2</v>
      </c>
      <c r="I176" s="1">
        <v>1</v>
      </c>
      <c r="J176" s="1">
        <v>1</v>
      </c>
      <c r="K176" s="1">
        <v>0</v>
      </c>
      <c r="L176" s="1">
        <v>0</v>
      </c>
      <c r="M176" s="1">
        <f t="shared" si="8"/>
        <v>582</v>
      </c>
      <c r="N176" s="1">
        <f t="shared" si="9"/>
        <v>582</v>
      </c>
      <c r="O176" s="2" t="s">
        <v>525</v>
      </c>
      <c r="P176" s="1"/>
      <c r="Q176" s="1">
        <v>4.0000000000000001E-3</v>
      </c>
      <c r="R176" s="1" t="s">
        <v>44</v>
      </c>
      <c r="S176" s="30" t="s">
        <v>423</v>
      </c>
      <c r="T176" s="31" t="s">
        <v>238</v>
      </c>
      <c r="U176" s="1"/>
      <c r="V176" s="1">
        <v>10000</v>
      </c>
      <c r="W176" s="1" t="s">
        <v>239</v>
      </c>
      <c r="X176" s="32" t="s">
        <v>240</v>
      </c>
      <c r="Y176" s="1" t="s">
        <v>241</v>
      </c>
      <c r="Z176" s="2" t="s">
        <v>242</v>
      </c>
      <c r="AA176" s="1"/>
      <c r="AB176" s="1"/>
      <c r="AC176" s="1"/>
      <c r="AD176" s="1"/>
      <c r="AE176" s="1"/>
      <c r="AF176" s="1"/>
      <c r="AG176" s="1"/>
      <c r="AH176" s="1"/>
      <c r="AI176" s="1"/>
      <c r="AJ176" s="1"/>
      <c r="AK176" s="1"/>
      <c r="AL176" s="1"/>
      <c r="AM176" s="1"/>
      <c r="AN176" s="1"/>
      <c r="AO176" s="1"/>
      <c r="AP176" s="1"/>
      <c r="AQ176" s="1"/>
      <c r="AR176" s="1"/>
      <c r="AS176" s="1"/>
      <c r="AT176" s="1"/>
      <c r="AU176" s="1"/>
      <c r="AV176" s="1">
        <f>SUM($AT176,Z176:$AA176)-SUM($AV$5:AV$5)*$J176-SUM($AV$6:AV$6)*$K176</f>
        <v>0</v>
      </c>
      <c r="AW176" s="1">
        <f>SUM($AT176,$AA176:AA176)-SUM($AV$5:AW$5)*$J176-SUM($AV$6:AW$6)*$K176</f>
        <v>0</v>
      </c>
      <c r="AX176" s="1">
        <f>SUM($AT176,$AA176:AB176)-SUM($AV$5:AX$5)*$J176-SUM($AV$6:AX$6)*$K176</f>
        <v>0</v>
      </c>
      <c r="AY176" s="1">
        <f>SUM($AT176,$AA176:AC176)-SUM($AV$5:AY$5)*$J176-SUM($AV$6:AY$6)*$K176</f>
        <v>0</v>
      </c>
      <c r="AZ176" s="1">
        <f>SUM($AT176,$AA176:AD176)-SUM($AV$5:AZ$5)*$J176-SUM($AV$6:AZ$6)*$K176</f>
        <v>-40</v>
      </c>
      <c r="BA176" s="1">
        <f>SUM($AT176,$AA176:AE176)-SUM($AV$5:BA$5)*$J176-SUM($AV$6:BA$6)*$K176</f>
        <v>-80</v>
      </c>
      <c r="BB176" s="1">
        <f>SUM($AT176,$AA176:AF176)-SUM($AV$5:BB$5)*$J176-SUM($AV$6:BB$6)*$K176</f>
        <v>-120</v>
      </c>
      <c r="BC176" s="1">
        <f>SUM($AT176,$AA176:AG176)-SUM($AV$5:BC$5)*$J176-SUM($AV$6:BC$6)*$K176</f>
        <v>-160</v>
      </c>
      <c r="BD176" s="1">
        <f>SUM($AT176,$AA176:AH176)-SUM($AV$5:BD$5)*$J176-SUM($AV$6:BD$6)*$K176</f>
        <v>-200</v>
      </c>
      <c r="BE176" s="1">
        <f>SUM($AT176,$AA176:AI176)-SUM($AV$5:BE$5)*$J176-SUM($AV$6:BE$6)*$K176</f>
        <v>-240</v>
      </c>
      <c r="BF176" s="1">
        <f>SUM($AT176,$AA176:AJ176)-SUM($AV$5:BF$5)*$J176-SUM($AV$6:BF$6)*$K176</f>
        <v>-280</v>
      </c>
      <c r="BG176" s="1">
        <f>SUM($AT176,$AA176:AK176)-SUM($AV$5:BG$5)*$J176-SUM($AV$6:BG$6)*$K176</f>
        <v>-320</v>
      </c>
      <c r="BH176" s="1">
        <f>SUM($AT176,$AA176:AL176)-SUM($AV$5:BH$5)*$J176-SUM($AV$6:BH$6)*$K176</f>
        <v>-360</v>
      </c>
      <c r="BI176" s="1">
        <f>SUM($AT176,$AA176:AM176)-SUM($AV$5:BI$5)*$J176-SUM($AV$6:BI$6)*$K176</f>
        <v>-400</v>
      </c>
      <c r="BJ176" s="1">
        <f>SUM($AT176,$AA176:AN176)-SUM($AV$5:BJ$5)*$J176-SUM($AV$6:BJ$6)*$K176</f>
        <v>-440</v>
      </c>
      <c r="BK176" s="1">
        <f>SUM($AT176,$AA176:AO176)-SUM($AV$5:BK$5)*$J176-SUM($AV$6:BK$6)*$K176</f>
        <v>-480</v>
      </c>
      <c r="BL176" s="1">
        <f>SUM($AT176,$AA176:AP176)-SUM($AV$5:BL$5)*$J176-SUM($AV$6:BL$6)*$K176</f>
        <v>-520</v>
      </c>
      <c r="BM176" s="1">
        <f>SUM($AT176,$AA176:AQ176)-SUM($AV$5:BM$5)*$J176-SUM($AV$6:BM$6)*$K176</f>
        <v>-560</v>
      </c>
      <c r="BN176" s="1">
        <f>SUM($AT176,$AA176:AR176)-SUM($AV$5:BN$5)*$J176-SUM($AV$6:BN$6)*$K176</f>
        <v>-582</v>
      </c>
    </row>
    <row r="177" spans="1:66">
      <c r="A177" s="1">
        <v>194</v>
      </c>
      <c r="B177" s="28" t="s">
        <v>592</v>
      </c>
      <c r="C177" s="1" t="s">
        <v>40</v>
      </c>
      <c r="D177" s="2">
        <v>401234955</v>
      </c>
      <c r="E177" s="3" t="s">
        <v>593</v>
      </c>
      <c r="F177" s="1">
        <v>400275565</v>
      </c>
      <c r="G177" s="1" t="s">
        <v>42</v>
      </c>
      <c r="H177" s="1">
        <v>2</v>
      </c>
      <c r="I177" s="1">
        <v>4</v>
      </c>
      <c r="J177" s="1">
        <v>4</v>
      </c>
      <c r="K177" s="1">
        <v>0</v>
      </c>
      <c r="L177" s="1">
        <v>0</v>
      </c>
      <c r="M177" s="1">
        <f t="shared" si="8"/>
        <v>2328</v>
      </c>
      <c r="N177" s="1">
        <f t="shared" si="9"/>
        <v>2328</v>
      </c>
      <c r="O177" s="2" t="s">
        <v>525</v>
      </c>
      <c r="P177" s="1"/>
      <c r="Q177" s="1">
        <v>4.0000000000000001E-3</v>
      </c>
      <c r="R177" s="1" t="s">
        <v>44</v>
      </c>
      <c r="S177" s="30" t="s">
        <v>423</v>
      </c>
      <c r="T177" s="31" t="s">
        <v>238</v>
      </c>
      <c r="U177" s="1"/>
      <c r="V177" s="1">
        <v>10000</v>
      </c>
      <c r="W177" s="1" t="s">
        <v>239</v>
      </c>
      <c r="X177" s="32" t="s">
        <v>240</v>
      </c>
      <c r="Y177" s="1" t="s">
        <v>241</v>
      </c>
      <c r="Z177" s="2" t="s">
        <v>242</v>
      </c>
      <c r="AA177" s="1"/>
      <c r="AB177" s="1"/>
      <c r="AC177" s="1"/>
      <c r="AD177" s="1"/>
      <c r="AE177" s="1"/>
      <c r="AF177" s="1"/>
      <c r="AG177" s="1"/>
      <c r="AH177" s="1"/>
      <c r="AI177" s="1"/>
      <c r="AJ177" s="1"/>
      <c r="AK177" s="1"/>
      <c r="AL177" s="1"/>
      <c r="AM177" s="1"/>
      <c r="AN177" s="1"/>
      <c r="AO177" s="1"/>
      <c r="AP177" s="1"/>
      <c r="AQ177" s="1"/>
      <c r="AR177" s="1"/>
      <c r="AS177" s="1"/>
      <c r="AT177" s="1"/>
      <c r="AU177" s="1"/>
      <c r="AV177" s="1">
        <f>SUM($AT177,Z177:$AA177)-SUM($AV$5:AV$5)*$J177-SUM($AV$6:AV$6)*$K177</f>
        <v>0</v>
      </c>
      <c r="AW177" s="1">
        <f>SUM($AT177,$AA177:AA177)-SUM($AV$5:AW$5)*$J177-SUM($AV$6:AW$6)*$K177</f>
        <v>0</v>
      </c>
      <c r="AX177" s="1">
        <f>SUM($AT177,$AA177:AB177)-SUM($AV$5:AX$5)*$J177-SUM($AV$6:AX$6)*$K177</f>
        <v>0</v>
      </c>
      <c r="AY177" s="1">
        <f>SUM($AT177,$AA177:AC177)-SUM($AV$5:AY$5)*$J177-SUM($AV$6:AY$6)*$K177</f>
        <v>0</v>
      </c>
      <c r="AZ177" s="1">
        <f>SUM($AT177,$AA177:AD177)-SUM($AV$5:AZ$5)*$J177-SUM($AV$6:AZ$6)*$K177</f>
        <v>-160</v>
      </c>
      <c r="BA177" s="1">
        <f>SUM($AT177,$AA177:AE177)-SUM($AV$5:BA$5)*$J177-SUM($AV$6:BA$6)*$K177</f>
        <v>-320</v>
      </c>
      <c r="BB177" s="1">
        <f>SUM($AT177,$AA177:AF177)-SUM($AV$5:BB$5)*$J177-SUM($AV$6:BB$6)*$K177</f>
        <v>-480</v>
      </c>
      <c r="BC177" s="1">
        <f>SUM($AT177,$AA177:AG177)-SUM($AV$5:BC$5)*$J177-SUM($AV$6:BC$6)*$K177</f>
        <v>-640</v>
      </c>
      <c r="BD177" s="1">
        <f>SUM($AT177,$AA177:AH177)-SUM($AV$5:BD$5)*$J177-SUM($AV$6:BD$6)*$K177</f>
        <v>-800</v>
      </c>
      <c r="BE177" s="1">
        <f>SUM($AT177,$AA177:AI177)-SUM($AV$5:BE$5)*$J177-SUM($AV$6:BE$6)*$K177</f>
        <v>-960</v>
      </c>
      <c r="BF177" s="1">
        <f>SUM($AT177,$AA177:AJ177)-SUM($AV$5:BF$5)*$J177-SUM($AV$6:BF$6)*$K177</f>
        <v>-1120</v>
      </c>
      <c r="BG177" s="1">
        <f>SUM($AT177,$AA177:AK177)-SUM($AV$5:BG$5)*$J177-SUM($AV$6:BG$6)*$K177</f>
        <v>-1280</v>
      </c>
      <c r="BH177" s="1">
        <f>SUM($AT177,$AA177:AL177)-SUM($AV$5:BH$5)*$J177-SUM($AV$6:BH$6)*$K177</f>
        <v>-1440</v>
      </c>
      <c r="BI177" s="1">
        <f>SUM($AT177,$AA177:AM177)-SUM($AV$5:BI$5)*$J177-SUM($AV$6:BI$6)*$K177</f>
        <v>-1600</v>
      </c>
      <c r="BJ177" s="1">
        <f>SUM($AT177,$AA177:AN177)-SUM($AV$5:BJ$5)*$J177-SUM($AV$6:BJ$6)*$K177</f>
        <v>-1760</v>
      </c>
      <c r="BK177" s="1">
        <f>SUM($AT177,$AA177:AO177)-SUM($AV$5:BK$5)*$J177-SUM($AV$6:BK$6)*$K177</f>
        <v>-1920</v>
      </c>
      <c r="BL177" s="1">
        <f>SUM($AT177,$AA177:AP177)-SUM($AV$5:BL$5)*$J177-SUM($AV$6:BL$6)*$K177</f>
        <v>-2080</v>
      </c>
      <c r="BM177" s="1">
        <f>SUM($AT177,$AA177:AQ177)-SUM($AV$5:BM$5)*$J177-SUM($AV$6:BM$6)*$K177</f>
        <v>-2240</v>
      </c>
      <c r="BN177" s="1">
        <f>SUM($AT177,$AA177:AR177)-SUM($AV$5:BN$5)*$J177-SUM($AV$6:BN$6)*$K177</f>
        <v>-2328</v>
      </c>
    </row>
    <row r="178" spans="1:66">
      <c r="A178" s="1">
        <v>195</v>
      </c>
      <c r="B178" s="28" t="s">
        <v>594</v>
      </c>
      <c r="C178" s="1" t="s">
        <v>40</v>
      </c>
      <c r="D178" s="2">
        <v>401679598</v>
      </c>
      <c r="E178" s="3" t="s">
        <v>595</v>
      </c>
      <c r="F178" s="1">
        <v>400294252</v>
      </c>
      <c r="G178" s="1" t="s">
        <v>42</v>
      </c>
      <c r="H178" s="1">
        <v>2</v>
      </c>
      <c r="I178" s="1">
        <v>14</v>
      </c>
      <c r="J178" s="1">
        <v>14</v>
      </c>
      <c r="K178" s="1">
        <v>0</v>
      </c>
      <c r="L178" s="1">
        <v>0</v>
      </c>
      <c r="M178" s="1">
        <f t="shared" si="8"/>
        <v>8148</v>
      </c>
      <c r="N178" s="1">
        <f t="shared" si="9"/>
        <v>8148</v>
      </c>
      <c r="O178" s="2" t="s">
        <v>525</v>
      </c>
      <c r="P178" s="1"/>
      <c r="Q178" s="1">
        <v>4.0000000000000001E-3</v>
      </c>
      <c r="R178" s="1" t="s">
        <v>44</v>
      </c>
      <c r="S178" s="30" t="s">
        <v>423</v>
      </c>
      <c r="T178" s="31" t="s">
        <v>238</v>
      </c>
      <c r="U178" s="1"/>
      <c r="V178" s="1">
        <v>10000</v>
      </c>
      <c r="W178" s="1" t="s">
        <v>239</v>
      </c>
      <c r="X178" s="32" t="s">
        <v>240</v>
      </c>
      <c r="Y178" s="1" t="s">
        <v>241</v>
      </c>
      <c r="Z178" s="2" t="s">
        <v>242</v>
      </c>
      <c r="AA178" s="1"/>
      <c r="AB178" s="1"/>
      <c r="AC178" s="1"/>
      <c r="AD178" s="1"/>
      <c r="AE178" s="1"/>
      <c r="AF178" s="1"/>
      <c r="AG178" s="1"/>
      <c r="AH178" s="1"/>
      <c r="AI178" s="1"/>
      <c r="AJ178" s="1"/>
      <c r="AK178" s="1"/>
      <c r="AL178" s="1"/>
      <c r="AM178" s="1"/>
      <c r="AN178" s="1"/>
      <c r="AO178" s="1"/>
      <c r="AP178" s="1"/>
      <c r="AQ178" s="1"/>
      <c r="AR178" s="1"/>
      <c r="AS178" s="1"/>
      <c r="AT178" s="1"/>
      <c r="AU178" s="1"/>
      <c r="AV178" s="1">
        <f>SUM($AT178,Z178:$AA178)-SUM($AV$5:AV$5)*$J178-SUM($AV$6:AV$6)*$K178</f>
        <v>0</v>
      </c>
      <c r="AW178" s="1">
        <f>SUM($AT178,$AA178:AA178)-SUM($AV$5:AW$5)*$J178-SUM($AV$6:AW$6)*$K178</f>
        <v>0</v>
      </c>
      <c r="AX178" s="1">
        <f>SUM($AT178,$AA178:AB178)-SUM($AV$5:AX$5)*$J178-SUM($AV$6:AX$6)*$K178</f>
        <v>0</v>
      </c>
      <c r="AY178" s="1">
        <f>SUM($AT178,$AA178:AC178)-SUM($AV$5:AY$5)*$J178-SUM($AV$6:AY$6)*$K178</f>
        <v>0</v>
      </c>
      <c r="AZ178" s="1">
        <f>SUM($AT178,$AA178:AD178)-SUM($AV$5:AZ$5)*$J178-SUM($AV$6:AZ$6)*$K178</f>
        <v>-560</v>
      </c>
      <c r="BA178" s="1">
        <f>SUM($AT178,$AA178:AE178)-SUM($AV$5:BA$5)*$J178-SUM($AV$6:BA$6)*$K178</f>
        <v>-1120</v>
      </c>
      <c r="BB178" s="1">
        <f>SUM($AT178,$AA178:AF178)-SUM($AV$5:BB$5)*$J178-SUM($AV$6:BB$6)*$K178</f>
        <v>-1680</v>
      </c>
      <c r="BC178" s="1">
        <f>SUM($AT178,$AA178:AG178)-SUM($AV$5:BC$5)*$J178-SUM($AV$6:BC$6)*$K178</f>
        <v>-2240</v>
      </c>
      <c r="BD178" s="1">
        <f>SUM($AT178,$AA178:AH178)-SUM($AV$5:BD$5)*$J178-SUM($AV$6:BD$6)*$K178</f>
        <v>-2800</v>
      </c>
      <c r="BE178" s="1">
        <f>SUM($AT178,$AA178:AI178)-SUM($AV$5:BE$5)*$J178-SUM($AV$6:BE$6)*$K178</f>
        <v>-3360</v>
      </c>
      <c r="BF178" s="1">
        <f>SUM($AT178,$AA178:AJ178)-SUM($AV$5:BF$5)*$J178-SUM($AV$6:BF$6)*$K178</f>
        <v>-3920</v>
      </c>
      <c r="BG178" s="1">
        <f>SUM($AT178,$AA178:AK178)-SUM($AV$5:BG$5)*$J178-SUM($AV$6:BG$6)*$K178</f>
        <v>-4480</v>
      </c>
      <c r="BH178" s="1">
        <f>SUM($AT178,$AA178:AL178)-SUM($AV$5:BH$5)*$J178-SUM($AV$6:BH$6)*$K178</f>
        <v>-5040</v>
      </c>
      <c r="BI178" s="1">
        <f>SUM($AT178,$AA178:AM178)-SUM($AV$5:BI$5)*$J178-SUM($AV$6:BI$6)*$K178</f>
        <v>-5600</v>
      </c>
      <c r="BJ178" s="1">
        <f>SUM($AT178,$AA178:AN178)-SUM($AV$5:BJ$5)*$J178-SUM($AV$6:BJ$6)*$K178</f>
        <v>-6160</v>
      </c>
      <c r="BK178" s="1">
        <f>SUM($AT178,$AA178:AO178)-SUM($AV$5:BK$5)*$J178-SUM($AV$6:BK$6)*$K178</f>
        <v>-6720</v>
      </c>
      <c r="BL178" s="1">
        <f>SUM($AT178,$AA178:AP178)-SUM($AV$5:BL$5)*$J178-SUM($AV$6:BL$6)*$K178</f>
        <v>-7280</v>
      </c>
      <c r="BM178" s="1">
        <f>SUM($AT178,$AA178:AQ178)-SUM($AV$5:BM$5)*$J178-SUM($AV$6:BM$6)*$K178</f>
        <v>-7840</v>
      </c>
      <c r="BN178" s="1">
        <f>SUM($AT178,$AA178:AR178)-SUM($AV$5:BN$5)*$J178-SUM($AV$6:BN$6)*$K178</f>
        <v>-8148</v>
      </c>
    </row>
    <row r="179" spans="1:66">
      <c r="A179" s="1">
        <v>196</v>
      </c>
      <c r="B179" s="28" t="s">
        <v>596</v>
      </c>
      <c r="C179" s="1" t="s">
        <v>40</v>
      </c>
      <c r="D179" s="2">
        <v>414258414</v>
      </c>
      <c r="E179" s="3" t="s">
        <v>597</v>
      </c>
      <c r="F179" s="1">
        <v>400294254</v>
      </c>
      <c r="G179" s="1" t="s">
        <v>42</v>
      </c>
      <c r="H179" s="1">
        <v>2</v>
      </c>
      <c r="I179" s="1">
        <v>15</v>
      </c>
      <c r="J179" s="1">
        <v>15</v>
      </c>
      <c r="K179" s="1">
        <v>0</v>
      </c>
      <c r="L179" s="1">
        <v>0</v>
      </c>
      <c r="M179" s="1">
        <f t="shared" si="8"/>
        <v>8730</v>
      </c>
      <c r="N179" s="1">
        <f t="shared" si="9"/>
        <v>8730</v>
      </c>
      <c r="O179" s="2" t="s">
        <v>598</v>
      </c>
      <c r="P179" s="1"/>
      <c r="Q179" s="1">
        <v>4.0000000000000001E-3</v>
      </c>
      <c r="R179" s="1" t="s">
        <v>44</v>
      </c>
      <c r="S179" s="30" t="s">
        <v>423</v>
      </c>
      <c r="T179" s="31" t="s">
        <v>238</v>
      </c>
      <c r="U179" s="1"/>
      <c r="V179" s="1">
        <v>10000</v>
      </c>
      <c r="W179" s="1" t="s">
        <v>239</v>
      </c>
      <c r="X179" s="32" t="s">
        <v>240</v>
      </c>
      <c r="Y179" s="1" t="s">
        <v>241</v>
      </c>
      <c r="Z179" s="2" t="s">
        <v>242</v>
      </c>
      <c r="AA179" s="1"/>
      <c r="AB179" s="1"/>
      <c r="AC179" s="1"/>
      <c r="AD179" s="1"/>
      <c r="AE179" s="1"/>
      <c r="AF179" s="1"/>
      <c r="AG179" s="1"/>
      <c r="AH179" s="1"/>
      <c r="AI179" s="1"/>
      <c r="AJ179" s="1"/>
      <c r="AK179" s="1"/>
      <c r="AL179" s="1"/>
      <c r="AM179" s="1"/>
      <c r="AN179" s="1"/>
      <c r="AO179" s="1"/>
      <c r="AP179" s="1"/>
      <c r="AQ179" s="1"/>
      <c r="AR179" s="1"/>
      <c r="AS179" s="1"/>
      <c r="AT179" s="1"/>
      <c r="AU179" s="1"/>
      <c r="AV179" s="1">
        <f>SUM($AT179,Z179:$AA179)-SUM($AV$5:AV$5)*$J179-SUM($AV$6:AV$6)*$K179</f>
        <v>0</v>
      </c>
      <c r="AW179" s="1">
        <f>SUM($AT179,$AA179:AA179)-SUM($AV$5:AW$5)*$J179-SUM($AV$6:AW$6)*$K179</f>
        <v>0</v>
      </c>
      <c r="AX179" s="1">
        <f>SUM($AT179,$AA179:AB179)-SUM($AV$5:AX$5)*$J179-SUM($AV$6:AX$6)*$K179</f>
        <v>0</v>
      </c>
      <c r="AY179" s="1">
        <f>SUM($AT179,$AA179:AC179)-SUM($AV$5:AY$5)*$J179-SUM($AV$6:AY$6)*$K179</f>
        <v>0</v>
      </c>
      <c r="AZ179" s="1">
        <f>SUM($AT179,$AA179:AD179)-SUM($AV$5:AZ$5)*$J179-SUM($AV$6:AZ$6)*$K179</f>
        <v>-600</v>
      </c>
      <c r="BA179" s="1">
        <f>SUM($AT179,$AA179:AE179)-SUM($AV$5:BA$5)*$J179-SUM($AV$6:BA$6)*$K179</f>
        <v>-1200</v>
      </c>
      <c r="BB179" s="1">
        <f>SUM($AT179,$AA179:AF179)-SUM($AV$5:BB$5)*$J179-SUM($AV$6:BB$6)*$K179</f>
        <v>-1800</v>
      </c>
      <c r="BC179" s="1">
        <f>SUM($AT179,$AA179:AG179)-SUM($AV$5:BC$5)*$J179-SUM($AV$6:BC$6)*$K179</f>
        <v>-2400</v>
      </c>
      <c r="BD179" s="1">
        <f>SUM($AT179,$AA179:AH179)-SUM($AV$5:BD$5)*$J179-SUM($AV$6:BD$6)*$K179</f>
        <v>-3000</v>
      </c>
      <c r="BE179" s="1">
        <f>SUM($AT179,$AA179:AI179)-SUM($AV$5:BE$5)*$J179-SUM($AV$6:BE$6)*$K179</f>
        <v>-3600</v>
      </c>
      <c r="BF179" s="1">
        <f>SUM($AT179,$AA179:AJ179)-SUM($AV$5:BF$5)*$J179-SUM($AV$6:BF$6)*$K179</f>
        <v>-4200</v>
      </c>
      <c r="BG179" s="1">
        <f>SUM($AT179,$AA179:AK179)-SUM($AV$5:BG$5)*$J179-SUM($AV$6:BG$6)*$K179</f>
        <v>-4800</v>
      </c>
      <c r="BH179" s="1">
        <f>SUM($AT179,$AA179:AL179)-SUM($AV$5:BH$5)*$J179-SUM($AV$6:BH$6)*$K179</f>
        <v>-5400</v>
      </c>
      <c r="BI179" s="1">
        <f>SUM($AT179,$AA179:AM179)-SUM($AV$5:BI$5)*$J179-SUM($AV$6:BI$6)*$K179</f>
        <v>-6000</v>
      </c>
      <c r="BJ179" s="1">
        <f>SUM($AT179,$AA179:AN179)-SUM($AV$5:BJ$5)*$J179-SUM($AV$6:BJ$6)*$K179</f>
        <v>-6600</v>
      </c>
      <c r="BK179" s="1">
        <f>SUM($AT179,$AA179:AO179)-SUM($AV$5:BK$5)*$J179-SUM($AV$6:BK$6)*$K179</f>
        <v>-7200</v>
      </c>
      <c r="BL179" s="1">
        <f>SUM($AT179,$AA179:AP179)-SUM($AV$5:BL$5)*$J179-SUM($AV$6:BL$6)*$K179</f>
        <v>-7800</v>
      </c>
      <c r="BM179" s="1">
        <f>SUM($AT179,$AA179:AQ179)-SUM($AV$5:BM$5)*$J179-SUM($AV$6:BM$6)*$K179</f>
        <v>-8400</v>
      </c>
      <c r="BN179" s="1">
        <f>SUM($AT179,$AA179:AR179)-SUM($AV$5:BN$5)*$J179-SUM($AV$6:BN$6)*$K179</f>
        <v>-8730</v>
      </c>
    </row>
    <row r="180" spans="1:66">
      <c r="A180" s="1">
        <v>197</v>
      </c>
      <c r="B180" s="28" t="s">
        <v>599</v>
      </c>
      <c r="C180" s="1" t="s">
        <v>40</v>
      </c>
      <c r="D180" s="2">
        <v>400679613</v>
      </c>
      <c r="E180" s="3" t="s">
        <v>600</v>
      </c>
      <c r="F180" s="1" t="s">
        <v>601</v>
      </c>
      <c r="G180" s="1" t="s">
        <v>42</v>
      </c>
      <c r="H180" s="1">
        <v>2</v>
      </c>
      <c r="I180" s="1">
        <v>70</v>
      </c>
      <c r="J180" s="1">
        <v>53</v>
      </c>
      <c r="K180" s="1">
        <v>0</v>
      </c>
      <c r="L180" s="1">
        <v>17</v>
      </c>
      <c r="M180" s="1">
        <f t="shared" si="8"/>
        <v>35538</v>
      </c>
      <c r="N180" s="1">
        <f t="shared" si="9"/>
        <v>35538</v>
      </c>
      <c r="O180" s="2" t="s">
        <v>525</v>
      </c>
      <c r="P180" s="1"/>
      <c r="Q180" s="1">
        <v>4.0000000000000001E-3</v>
      </c>
      <c r="R180" s="1" t="s">
        <v>44</v>
      </c>
      <c r="S180" s="30" t="s">
        <v>423</v>
      </c>
      <c r="T180" s="31" t="s">
        <v>238</v>
      </c>
      <c r="U180" s="1">
        <v>5000</v>
      </c>
      <c r="V180" s="1">
        <v>5000</v>
      </c>
      <c r="W180" s="1" t="s">
        <v>239</v>
      </c>
      <c r="X180" s="32" t="s">
        <v>240</v>
      </c>
      <c r="Y180" s="1" t="s">
        <v>241</v>
      </c>
      <c r="Z180" s="2" t="s">
        <v>242</v>
      </c>
      <c r="AA180" s="1"/>
      <c r="AB180" s="1"/>
      <c r="AC180" s="1"/>
      <c r="AD180" s="1"/>
      <c r="AE180" s="1"/>
      <c r="AF180" s="1"/>
      <c r="AG180" s="1"/>
      <c r="AH180" s="1"/>
      <c r="AI180" s="1"/>
      <c r="AJ180" s="1"/>
      <c r="AK180" s="1"/>
      <c r="AL180" s="1"/>
      <c r="AM180" s="1"/>
      <c r="AN180" s="1"/>
      <c r="AO180" s="1"/>
      <c r="AP180" s="1"/>
      <c r="AQ180" s="1"/>
      <c r="AR180" s="1"/>
      <c r="AS180" s="1"/>
      <c r="AT180" s="1"/>
      <c r="AU180" s="1"/>
      <c r="AV180" s="1">
        <f>SUM($AT180,Z180:$AA180)-SUM($AV$5:AV$5)*$J180-SUM($AV$6:AV$6)*$K180</f>
        <v>0</v>
      </c>
      <c r="AW180" s="1">
        <f>SUM($AT180,$AA180:AA180)-SUM($AV$5:AW$5)*$J180-SUM($AV$6:AW$6)*$K180</f>
        <v>0</v>
      </c>
      <c r="AX180" s="1">
        <f>SUM($AT180,$AA180:AB180)-SUM($AV$5:AX$5)*$J180-SUM($AV$6:AX$6)*$K180</f>
        <v>0</v>
      </c>
      <c r="AY180" s="1">
        <f>SUM($AT180,$AA180:AC180)-SUM($AV$5:AY$5)*$J180-SUM($AV$6:AY$6)*$K180</f>
        <v>0</v>
      </c>
      <c r="AZ180" s="1">
        <f>SUM($AT180,$AA180:AD180)-SUM($AV$5:AZ$5)*$J180-SUM($AV$6:AZ$6)*$K180</f>
        <v>-2120</v>
      </c>
      <c r="BA180" s="1">
        <f>SUM($AT180,$AA180:AE180)-SUM($AV$5:BA$5)*$J180-SUM($AV$6:BA$6)*$K180</f>
        <v>-4240</v>
      </c>
      <c r="BB180" s="1">
        <f>SUM($AT180,$AA180:AF180)-SUM($AV$5:BB$5)*$J180-SUM($AV$6:BB$6)*$K180</f>
        <v>-6360</v>
      </c>
      <c r="BC180" s="1">
        <f>SUM($AT180,$AA180:AG180)-SUM($AV$5:BC$5)*$J180-SUM($AV$6:BC$6)*$K180</f>
        <v>-8480</v>
      </c>
      <c r="BD180" s="1">
        <f>SUM($AT180,$AA180:AH180)-SUM($AV$5:BD$5)*$J180-SUM($AV$6:BD$6)*$K180</f>
        <v>-10600</v>
      </c>
      <c r="BE180" s="1">
        <f>SUM($AT180,$AA180:AI180)-SUM($AV$5:BE$5)*$J180-SUM($AV$6:BE$6)*$K180</f>
        <v>-12720</v>
      </c>
      <c r="BF180" s="1">
        <f>SUM($AT180,$AA180:AJ180)-SUM($AV$5:BF$5)*$J180-SUM($AV$6:BF$6)*$K180</f>
        <v>-14840</v>
      </c>
      <c r="BG180" s="1">
        <f>SUM($AT180,$AA180:AK180)-SUM($AV$5:BG$5)*$J180-SUM($AV$6:BG$6)*$K180</f>
        <v>-16960</v>
      </c>
      <c r="BH180" s="1">
        <f>SUM($AT180,$AA180:AL180)-SUM($AV$5:BH$5)*$J180-SUM($AV$6:BH$6)*$K180</f>
        <v>-19080</v>
      </c>
      <c r="BI180" s="1">
        <f>SUM($AT180,$AA180:AM180)-SUM($AV$5:BI$5)*$J180-SUM($AV$6:BI$6)*$K180</f>
        <v>-21200</v>
      </c>
      <c r="BJ180" s="1">
        <f>SUM($AT180,$AA180:AN180)-SUM($AV$5:BJ$5)*$J180-SUM($AV$6:BJ$6)*$K180</f>
        <v>-23320</v>
      </c>
      <c r="BK180" s="1">
        <f>SUM($AT180,$AA180:AO180)-SUM($AV$5:BK$5)*$J180-SUM($AV$6:BK$6)*$K180</f>
        <v>-25440</v>
      </c>
      <c r="BL180" s="1">
        <f>SUM($AT180,$AA180:AP180)-SUM($AV$5:BL$5)*$J180-SUM($AV$6:BL$6)*$K180</f>
        <v>-27560</v>
      </c>
      <c r="BM180" s="1">
        <f>SUM($AT180,$AA180:AQ180)-SUM($AV$5:BM$5)*$J180-SUM($AV$6:BM$6)*$K180</f>
        <v>-29680</v>
      </c>
      <c r="BN180" s="1">
        <f>SUM($AT180,$AA180:AR180)-SUM($AV$5:BN$5)*$J180-SUM($AV$6:BN$6)*$K180</f>
        <v>-30846</v>
      </c>
    </row>
    <row r="181" spans="1:66">
      <c r="A181" s="1">
        <v>198</v>
      </c>
      <c r="B181" s="28" t="s">
        <v>602</v>
      </c>
      <c r="C181" s="1" t="s">
        <v>40</v>
      </c>
      <c r="D181" s="2">
        <v>400693196</v>
      </c>
      <c r="E181" s="3" t="s">
        <v>603</v>
      </c>
      <c r="F181" s="1" t="s">
        <v>604</v>
      </c>
      <c r="G181" s="1" t="s">
        <v>42</v>
      </c>
      <c r="H181" s="1">
        <v>2</v>
      </c>
      <c r="I181" s="1">
        <v>28</v>
      </c>
      <c r="J181" s="1">
        <v>28</v>
      </c>
      <c r="K181" s="1">
        <v>0</v>
      </c>
      <c r="L181" s="1">
        <v>0</v>
      </c>
      <c r="M181" s="1">
        <f t="shared" si="8"/>
        <v>16296</v>
      </c>
      <c r="N181" s="1">
        <f t="shared" si="9"/>
        <v>16296</v>
      </c>
      <c r="O181" s="2" t="s">
        <v>525</v>
      </c>
      <c r="P181" s="1"/>
      <c r="Q181" s="1">
        <v>4.0000000000000001E-3</v>
      </c>
      <c r="R181" s="1" t="s">
        <v>44</v>
      </c>
      <c r="S181" s="30" t="s">
        <v>423</v>
      </c>
      <c r="T181" s="31" t="s">
        <v>238</v>
      </c>
      <c r="U181" s="1"/>
      <c r="V181" s="1">
        <v>5000</v>
      </c>
      <c r="W181" s="1" t="s">
        <v>239</v>
      </c>
      <c r="X181" s="32" t="s">
        <v>240</v>
      </c>
      <c r="Y181" s="1" t="s">
        <v>241</v>
      </c>
      <c r="Z181" s="2" t="s">
        <v>242</v>
      </c>
      <c r="AA181" s="1"/>
      <c r="AB181" s="1"/>
      <c r="AC181" s="1"/>
      <c r="AD181" s="1"/>
      <c r="AE181" s="1"/>
      <c r="AF181" s="1"/>
      <c r="AG181" s="1"/>
      <c r="AH181" s="1"/>
      <c r="AI181" s="1"/>
      <c r="AJ181" s="1"/>
      <c r="AK181" s="1"/>
      <c r="AL181" s="1"/>
      <c r="AM181" s="1"/>
      <c r="AN181" s="1"/>
      <c r="AO181" s="1"/>
      <c r="AP181" s="1"/>
      <c r="AQ181" s="1"/>
      <c r="AR181" s="1"/>
      <c r="AS181" s="1"/>
      <c r="AT181" s="1"/>
      <c r="AU181" s="1"/>
      <c r="AV181" s="1">
        <f>SUM($AT181,Z181:$AA181)-SUM($AV$5:AV$5)*$J181-SUM($AV$6:AV$6)*$K181</f>
        <v>0</v>
      </c>
      <c r="AW181" s="1">
        <f>SUM($AT181,$AA181:AA181)-SUM($AV$5:AW$5)*$J181-SUM($AV$6:AW$6)*$K181</f>
        <v>0</v>
      </c>
      <c r="AX181" s="1">
        <f>SUM($AT181,$AA181:AB181)-SUM($AV$5:AX$5)*$J181-SUM($AV$6:AX$6)*$K181</f>
        <v>0</v>
      </c>
      <c r="AY181" s="1">
        <f>SUM($AT181,$AA181:AC181)-SUM($AV$5:AY$5)*$J181-SUM($AV$6:AY$6)*$K181</f>
        <v>0</v>
      </c>
      <c r="AZ181" s="1">
        <f>SUM($AT181,$AA181:AD181)-SUM($AV$5:AZ$5)*$J181-SUM($AV$6:AZ$6)*$K181</f>
        <v>-1120</v>
      </c>
      <c r="BA181" s="1">
        <f>SUM($AT181,$AA181:AE181)-SUM($AV$5:BA$5)*$J181-SUM($AV$6:BA$6)*$K181</f>
        <v>-2240</v>
      </c>
      <c r="BB181" s="1">
        <f>SUM($AT181,$AA181:AF181)-SUM($AV$5:BB$5)*$J181-SUM($AV$6:BB$6)*$K181</f>
        <v>-3360</v>
      </c>
      <c r="BC181" s="1">
        <f>SUM($AT181,$AA181:AG181)-SUM($AV$5:BC$5)*$J181-SUM($AV$6:BC$6)*$K181</f>
        <v>-4480</v>
      </c>
      <c r="BD181" s="1">
        <f>SUM($AT181,$AA181:AH181)-SUM($AV$5:BD$5)*$J181-SUM($AV$6:BD$6)*$K181</f>
        <v>-5600</v>
      </c>
      <c r="BE181" s="1">
        <f>SUM($AT181,$AA181:AI181)-SUM($AV$5:BE$5)*$J181-SUM($AV$6:BE$6)*$K181</f>
        <v>-6720</v>
      </c>
      <c r="BF181" s="1">
        <f>SUM($AT181,$AA181:AJ181)-SUM($AV$5:BF$5)*$J181-SUM($AV$6:BF$6)*$K181</f>
        <v>-7840</v>
      </c>
      <c r="BG181" s="1">
        <f>SUM($AT181,$AA181:AK181)-SUM($AV$5:BG$5)*$J181-SUM($AV$6:BG$6)*$K181</f>
        <v>-8960</v>
      </c>
      <c r="BH181" s="1">
        <f>SUM($AT181,$AA181:AL181)-SUM($AV$5:BH$5)*$J181-SUM($AV$6:BH$6)*$K181</f>
        <v>-10080</v>
      </c>
      <c r="BI181" s="1">
        <f>SUM($AT181,$AA181:AM181)-SUM($AV$5:BI$5)*$J181-SUM($AV$6:BI$6)*$K181</f>
        <v>-11200</v>
      </c>
      <c r="BJ181" s="1">
        <f>SUM($AT181,$AA181:AN181)-SUM($AV$5:BJ$5)*$J181-SUM($AV$6:BJ$6)*$K181</f>
        <v>-12320</v>
      </c>
      <c r="BK181" s="1">
        <f>SUM($AT181,$AA181:AO181)-SUM($AV$5:BK$5)*$J181-SUM($AV$6:BK$6)*$K181</f>
        <v>-13440</v>
      </c>
      <c r="BL181" s="1">
        <f>SUM($AT181,$AA181:AP181)-SUM($AV$5:BL$5)*$J181-SUM($AV$6:BL$6)*$K181</f>
        <v>-14560</v>
      </c>
      <c r="BM181" s="1">
        <f>SUM($AT181,$AA181:AQ181)-SUM($AV$5:BM$5)*$J181-SUM($AV$6:BM$6)*$K181</f>
        <v>-15680</v>
      </c>
      <c r="BN181" s="1">
        <f>SUM($AT181,$AA181:AR181)-SUM($AV$5:BN$5)*$J181-SUM($AV$6:BN$6)*$K181</f>
        <v>-16296</v>
      </c>
    </row>
    <row r="182" spans="1:66">
      <c r="A182" s="1">
        <v>199</v>
      </c>
      <c r="B182" s="28" t="s">
        <v>605</v>
      </c>
      <c r="C182" s="1" t="s">
        <v>40</v>
      </c>
      <c r="D182" s="2">
        <v>400693201</v>
      </c>
      <c r="E182" s="3" t="s">
        <v>606</v>
      </c>
      <c r="F182" s="1" t="s">
        <v>607</v>
      </c>
      <c r="G182" s="1" t="s">
        <v>42</v>
      </c>
      <c r="H182" s="1">
        <v>2</v>
      </c>
      <c r="I182" s="1">
        <v>46</v>
      </c>
      <c r="J182" s="1">
        <v>1</v>
      </c>
      <c r="K182" s="1">
        <v>0</v>
      </c>
      <c r="L182" s="1">
        <v>45</v>
      </c>
      <c r="M182" s="1">
        <f t="shared" si="8"/>
        <v>13002</v>
      </c>
      <c r="N182" s="1">
        <f t="shared" si="9"/>
        <v>13002</v>
      </c>
      <c r="O182" s="2" t="s">
        <v>525</v>
      </c>
      <c r="P182" s="1"/>
      <c r="Q182" s="1">
        <v>4.0000000000000001E-3</v>
      </c>
      <c r="R182" s="1" t="s">
        <v>44</v>
      </c>
      <c r="S182" s="30" t="s">
        <v>423</v>
      </c>
      <c r="T182" s="31" t="s">
        <v>238</v>
      </c>
      <c r="U182" s="1">
        <v>5000</v>
      </c>
      <c r="V182" s="1">
        <v>5000</v>
      </c>
      <c r="W182" s="1" t="s">
        <v>239</v>
      </c>
      <c r="X182" s="32" t="s">
        <v>240</v>
      </c>
      <c r="Y182" s="1" t="s">
        <v>241</v>
      </c>
      <c r="Z182" s="2" t="s">
        <v>242</v>
      </c>
      <c r="AA182" s="1"/>
      <c r="AB182" s="1"/>
      <c r="AC182" s="1"/>
      <c r="AD182" s="1"/>
      <c r="AE182" s="1"/>
      <c r="AF182" s="1"/>
      <c r="AG182" s="1"/>
      <c r="AH182" s="1"/>
      <c r="AI182" s="1"/>
      <c r="AJ182" s="1"/>
      <c r="AK182" s="1"/>
      <c r="AL182" s="1"/>
      <c r="AM182" s="1"/>
      <c r="AN182" s="1"/>
      <c r="AO182" s="1"/>
      <c r="AP182" s="1"/>
      <c r="AQ182" s="1"/>
      <c r="AR182" s="1"/>
      <c r="AS182" s="1"/>
      <c r="AT182" s="1"/>
      <c r="AU182" s="1"/>
      <c r="AV182" s="1">
        <f>SUM($AT182,Z182:$AA182)-SUM($AV$5:AV$5)*$J182-SUM($AV$6:AV$6)*$K182</f>
        <v>0</v>
      </c>
      <c r="AW182" s="1">
        <f>SUM($AT182,$AA182:AA182)-SUM($AV$5:AW$5)*$J182-SUM($AV$6:AW$6)*$K182</f>
        <v>0</v>
      </c>
      <c r="AX182" s="1">
        <f>SUM($AT182,$AA182:AB182)-SUM($AV$5:AX$5)*$J182-SUM($AV$6:AX$6)*$K182</f>
        <v>0</v>
      </c>
      <c r="AY182" s="1">
        <f>SUM($AT182,$AA182:AC182)-SUM($AV$5:AY$5)*$J182-SUM($AV$6:AY$6)*$K182</f>
        <v>0</v>
      </c>
      <c r="AZ182" s="1">
        <f>SUM($AT182,$AA182:AD182)-SUM($AV$5:AZ$5)*$J182-SUM($AV$6:AZ$6)*$K182</f>
        <v>-40</v>
      </c>
      <c r="BA182" s="1">
        <f>SUM($AT182,$AA182:AE182)-SUM($AV$5:BA$5)*$J182-SUM($AV$6:BA$6)*$K182</f>
        <v>-80</v>
      </c>
      <c r="BB182" s="1">
        <f>SUM($AT182,$AA182:AF182)-SUM($AV$5:BB$5)*$J182-SUM($AV$6:BB$6)*$K182</f>
        <v>-120</v>
      </c>
      <c r="BC182" s="1">
        <f>SUM($AT182,$AA182:AG182)-SUM($AV$5:BC$5)*$J182-SUM($AV$6:BC$6)*$K182</f>
        <v>-160</v>
      </c>
      <c r="BD182" s="1">
        <f>SUM($AT182,$AA182:AH182)-SUM($AV$5:BD$5)*$J182-SUM($AV$6:BD$6)*$K182</f>
        <v>-200</v>
      </c>
      <c r="BE182" s="1">
        <f>SUM($AT182,$AA182:AI182)-SUM($AV$5:BE$5)*$J182-SUM($AV$6:BE$6)*$K182</f>
        <v>-240</v>
      </c>
      <c r="BF182" s="1">
        <f>SUM($AT182,$AA182:AJ182)-SUM($AV$5:BF$5)*$J182-SUM($AV$6:BF$6)*$K182</f>
        <v>-280</v>
      </c>
      <c r="BG182" s="1">
        <f>SUM($AT182,$AA182:AK182)-SUM($AV$5:BG$5)*$J182-SUM($AV$6:BG$6)*$K182</f>
        <v>-320</v>
      </c>
      <c r="BH182" s="1">
        <f>SUM($AT182,$AA182:AL182)-SUM($AV$5:BH$5)*$J182-SUM($AV$6:BH$6)*$K182</f>
        <v>-360</v>
      </c>
      <c r="BI182" s="1">
        <f>SUM($AT182,$AA182:AM182)-SUM($AV$5:BI$5)*$J182-SUM($AV$6:BI$6)*$K182</f>
        <v>-400</v>
      </c>
      <c r="BJ182" s="1">
        <f>SUM($AT182,$AA182:AN182)-SUM($AV$5:BJ$5)*$J182-SUM($AV$6:BJ$6)*$K182</f>
        <v>-440</v>
      </c>
      <c r="BK182" s="1">
        <f>SUM($AT182,$AA182:AO182)-SUM($AV$5:BK$5)*$J182-SUM($AV$6:BK$6)*$K182</f>
        <v>-480</v>
      </c>
      <c r="BL182" s="1">
        <f>SUM($AT182,$AA182:AP182)-SUM($AV$5:BL$5)*$J182-SUM($AV$6:BL$6)*$K182</f>
        <v>-520</v>
      </c>
      <c r="BM182" s="1">
        <f>SUM($AT182,$AA182:AQ182)-SUM($AV$5:BM$5)*$J182-SUM($AV$6:BM$6)*$K182</f>
        <v>-560</v>
      </c>
      <c r="BN182" s="1">
        <f>SUM($AT182,$AA182:AR182)-SUM($AV$5:BN$5)*$J182-SUM($AV$6:BN$6)*$K182</f>
        <v>-582</v>
      </c>
    </row>
    <row r="183" spans="1:66">
      <c r="A183" s="1">
        <v>200</v>
      </c>
      <c r="B183" s="28" t="s">
        <v>608</v>
      </c>
      <c r="C183" s="1" t="s">
        <v>40</v>
      </c>
      <c r="D183" s="2">
        <v>401053474</v>
      </c>
      <c r="E183" s="3" t="s">
        <v>609</v>
      </c>
      <c r="F183" s="1" t="s">
        <v>610</v>
      </c>
      <c r="G183" s="1" t="s">
        <v>42</v>
      </c>
      <c r="H183" s="1">
        <v>2</v>
      </c>
      <c r="I183" s="1">
        <v>30</v>
      </c>
      <c r="J183" s="1">
        <v>20</v>
      </c>
      <c r="K183" s="1">
        <v>0</v>
      </c>
      <c r="L183" s="1">
        <v>10</v>
      </c>
      <c r="M183" s="1">
        <f t="shared" si="8"/>
        <v>14400</v>
      </c>
      <c r="N183" s="1">
        <f t="shared" si="9"/>
        <v>14400</v>
      </c>
      <c r="O183" s="2" t="s">
        <v>525</v>
      </c>
      <c r="P183" s="1"/>
      <c r="Q183" s="1">
        <v>4.0000000000000001E-3</v>
      </c>
      <c r="R183" s="1" t="s">
        <v>44</v>
      </c>
      <c r="S183" s="30" t="s">
        <v>423</v>
      </c>
      <c r="T183" s="31" t="s">
        <v>238</v>
      </c>
      <c r="U183" s="1">
        <v>5000</v>
      </c>
      <c r="V183" s="1">
        <v>5000</v>
      </c>
      <c r="W183" s="1" t="s">
        <v>239</v>
      </c>
      <c r="X183" s="32" t="s">
        <v>240</v>
      </c>
      <c r="Y183" s="1" t="s">
        <v>241</v>
      </c>
      <c r="Z183" s="2" t="s">
        <v>242</v>
      </c>
      <c r="AA183" s="1"/>
      <c r="AB183" s="1"/>
      <c r="AC183" s="1"/>
      <c r="AD183" s="1"/>
      <c r="AE183" s="1"/>
      <c r="AF183" s="1"/>
      <c r="AG183" s="1"/>
      <c r="AH183" s="1"/>
      <c r="AI183" s="1"/>
      <c r="AJ183" s="1"/>
      <c r="AK183" s="1"/>
      <c r="AL183" s="1"/>
      <c r="AM183" s="1"/>
      <c r="AN183" s="1"/>
      <c r="AO183" s="1"/>
      <c r="AP183" s="1"/>
      <c r="AQ183" s="1"/>
      <c r="AR183" s="1"/>
      <c r="AS183" s="1"/>
      <c r="AT183" s="1"/>
      <c r="AU183" s="1"/>
      <c r="AV183" s="1">
        <f>SUM($AT183,Z183:$AA183)-SUM($AV$5:AV$5)*$J183-SUM($AV$6:AV$6)*$K183</f>
        <v>0</v>
      </c>
      <c r="AW183" s="1">
        <f>SUM($AT183,$AA183:AA183)-SUM($AV$5:AW$5)*$J183-SUM($AV$6:AW$6)*$K183</f>
        <v>0</v>
      </c>
      <c r="AX183" s="1">
        <f>SUM($AT183,$AA183:AB183)-SUM($AV$5:AX$5)*$J183-SUM($AV$6:AX$6)*$K183</f>
        <v>0</v>
      </c>
      <c r="AY183" s="1">
        <f>SUM($AT183,$AA183:AC183)-SUM($AV$5:AY$5)*$J183-SUM($AV$6:AY$6)*$K183</f>
        <v>0</v>
      </c>
      <c r="AZ183" s="1">
        <f>SUM($AT183,$AA183:AD183)-SUM($AV$5:AZ$5)*$J183-SUM($AV$6:AZ$6)*$K183</f>
        <v>-800</v>
      </c>
      <c r="BA183" s="1">
        <f>SUM($AT183,$AA183:AE183)-SUM($AV$5:BA$5)*$J183-SUM($AV$6:BA$6)*$K183</f>
        <v>-1600</v>
      </c>
      <c r="BB183" s="1">
        <f>SUM($AT183,$AA183:AF183)-SUM($AV$5:BB$5)*$J183-SUM($AV$6:BB$6)*$K183</f>
        <v>-2400</v>
      </c>
      <c r="BC183" s="1">
        <f>SUM($AT183,$AA183:AG183)-SUM($AV$5:BC$5)*$J183-SUM($AV$6:BC$6)*$K183</f>
        <v>-3200</v>
      </c>
      <c r="BD183" s="1">
        <f>SUM($AT183,$AA183:AH183)-SUM($AV$5:BD$5)*$J183-SUM($AV$6:BD$6)*$K183</f>
        <v>-4000</v>
      </c>
      <c r="BE183" s="1">
        <f>SUM($AT183,$AA183:AI183)-SUM($AV$5:BE$5)*$J183-SUM($AV$6:BE$6)*$K183</f>
        <v>-4800</v>
      </c>
      <c r="BF183" s="1">
        <f>SUM($AT183,$AA183:AJ183)-SUM($AV$5:BF$5)*$J183-SUM($AV$6:BF$6)*$K183</f>
        <v>-5600</v>
      </c>
      <c r="BG183" s="1">
        <f>SUM($AT183,$AA183:AK183)-SUM($AV$5:BG$5)*$J183-SUM($AV$6:BG$6)*$K183</f>
        <v>-6400</v>
      </c>
      <c r="BH183" s="1">
        <f>SUM($AT183,$AA183:AL183)-SUM($AV$5:BH$5)*$J183-SUM($AV$6:BH$6)*$K183</f>
        <v>-7200</v>
      </c>
      <c r="BI183" s="1">
        <f>SUM($AT183,$AA183:AM183)-SUM($AV$5:BI$5)*$J183-SUM($AV$6:BI$6)*$K183</f>
        <v>-8000</v>
      </c>
      <c r="BJ183" s="1">
        <f>SUM($AT183,$AA183:AN183)-SUM($AV$5:BJ$5)*$J183-SUM($AV$6:BJ$6)*$K183</f>
        <v>-8800</v>
      </c>
      <c r="BK183" s="1">
        <f>SUM($AT183,$AA183:AO183)-SUM($AV$5:BK$5)*$J183-SUM($AV$6:BK$6)*$K183</f>
        <v>-9600</v>
      </c>
      <c r="BL183" s="1">
        <f>SUM($AT183,$AA183:AP183)-SUM($AV$5:BL$5)*$J183-SUM($AV$6:BL$6)*$K183</f>
        <v>-10400</v>
      </c>
      <c r="BM183" s="1">
        <f>SUM($AT183,$AA183:AQ183)-SUM($AV$5:BM$5)*$J183-SUM($AV$6:BM$6)*$K183</f>
        <v>-11200</v>
      </c>
      <c r="BN183" s="1">
        <f>SUM($AT183,$AA183:AR183)-SUM($AV$5:BN$5)*$J183-SUM($AV$6:BN$6)*$K183</f>
        <v>-11640</v>
      </c>
    </row>
    <row r="184" spans="1:66">
      <c r="A184" s="1">
        <v>203</v>
      </c>
      <c r="B184" s="28" t="s">
        <v>611</v>
      </c>
      <c r="C184" s="1" t="s">
        <v>40</v>
      </c>
      <c r="D184" s="2">
        <v>414258415</v>
      </c>
      <c r="E184" s="3" t="s">
        <v>612</v>
      </c>
      <c r="F184" s="1" t="s">
        <v>613</v>
      </c>
      <c r="G184" s="1" t="s">
        <v>42</v>
      </c>
      <c r="H184" s="1">
        <v>2</v>
      </c>
      <c r="I184" s="1">
        <v>1</v>
      </c>
      <c r="J184" s="1">
        <v>1</v>
      </c>
      <c r="K184" s="1">
        <v>0</v>
      </c>
      <c r="L184" s="1">
        <v>0</v>
      </c>
      <c r="M184" s="1">
        <f t="shared" si="8"/>
        <v>582</v>
      </c>
      <c r="N184" s="1">
        <f t="shared" si="9"/>
        <v>582</v>
      </c>
      <c r="O184" s="2" t="s">
        <v>598</v>
      </c>
      <c r="P184" s="1"/>
      <c r="Q184" s="1">
        <v>4.0000000000000001E-3</v>
      </c>
      <c r="R184" s="1" t="s">
        <v>44</v>
      </c>
      <c r="S184" s="30" t="s">
        <v>423</v>
      </c>
      <c r="T184" s="31" t="s">
        <v>238</v>
      </c>
      <c r="U184" s="1"/>
      <c r="V184" s="1">
        <v>5000</v>
      </c>
      <c r="W184" s="1" t="s">
        <v>239</v>
      </c>
      <c r="X184" s="32" t="s">
        <v>240</v>
      </c>
      <c r="Y184" s="1" t="s">
        <v>241</v>
      </c>
      <c r="Z184" s="2" t="s">
        <v>242</v>
      </c>
      <c r="AA184" s="1"/>
      <c r="AB184" s="1"/>
      <c r="AC184" s="1"/>
      <c r="AD184" s="1"/>
      <c r="AE184" s="1"/>
      <c r="AF184" s="1"/>
      <c r="AG184" s="1"/>
      <c r="AH184" s="1"/>
      <c r="AI184" s="1"/>
      <c r="AJ184" s="1"/>
      <c r="AK184" s="1"/>
      <c r="AL184" s="1"/>
      <c r="AM184" s="1"/>
      <c r="AN184" s="1"/>
      <c r="AO184" s="1"/>
      <c r="AP184" s="1"/>
      <c r="AQ184" s="1"/>
      <c r="AR184" s="1"/>
      <c r="AS184" s="1"/>
      <c r="AT184" s="1"/>
      <c r="AU184" s="1"/>
      <c r="AV184" s="1">
        <f>SUM($AT184,Z184:$AA184)-SUM($AV$5:AV$5)*$J184-SUM($AV$6:AV$6)*$K184</f>
        <v>0</v>
      </c>
      <c r="AW184" s="1">
        <f>SUM($AT184,$AA184:AA184)-SUM($AV$5:AW$5)*$J184-SUM($AV$6:AW$6)*$K184</f>
        <v>0</v>
      </c>
      <c r="AX184" s="1">
        <f>SUM($AT184,$AA184:AB184)-SUM($AV$5:AX$5)*$J184-SUM($AV$6:AX$6)*$K184</f>
        <v>0</v>
      </c>
      <c r="AY184" s="1">
        <f>SUM($AT184,$AA184:AC184)-SUM($AV$5:AY$5)*$J184-SUM($AV$6:AY$6)*$K184</f>
        <v>0</v>
      </c>
      <c r="AZ184" s="1">
        <f>SUM($AT184,$AA184:AD184)-SUM($AV$5:AZ$5)*$J184-SUM($AV$6:AZ$6)*$K184</f>
        <v>-40</v>
      </c>
      <c r="BA184" s="1">
        <f>SUM($AT184,$AA184:AE184)-SUM($AV$5:BA$5)*$J184-SUM($AV$6:BA$6)*$K184</f>
        <v>-80</v>
      </c>
      <c r="BB184" s="1">
        <f>SUM($AT184,$AA184:AF184)-SUM($AV$5:BB$5)*$J184-SUM($AV$6:BB$6)*$K184</f>
        <v>-120</v>
      </c>
      <c r="BC184" s="1">
        <f>SUM($AT184,$AA184:AG184)-SUM($AV$5:BC$5)*$J184-SUM($AV$6:BC$6)*$K184</f>
        <v>-160</v>
      </c>
      <c r="BD184" s="1">
        <f>SUM($AT184,$AA184:AH184)-SUM($AV$5:BD$5)*$J184-SUM($AV$6:BD$6)*$K184</f>
        <v>-200</v>
      </c>
      <c r="BE184" s="1">
        <f>SUM($AT184,$AA184:AI184)-SUM($AV$5:BE$5)*$J184-SUM($AV$6:BE$6)*$K184</f>
        <v>-240</v>
      </c>
      <c r="BF184" s="1">
        <f>SUM($AT184,$AA184:AJ184)-SUM($AV$5:BF$5)*$J184-SUM($AV$6:BF$6)*$K184</f>
        <v>-280</v>
      </c>
      <c r="BG184" s="1">
        <f>SUM($AT184,$AA184:AK184)-SUM($AV$5:BG$5)*$J184-SUM($AV$6:BG$6)*$K184</f>
        <v>-320</v>
      </c>
      <c r="BH184" s="1">
        <f>SUM($AT184,$AA184:AL184)-SUM($AV$5:BH$5)*$J184-SUM($AV$6:BH$6)*$K184</f>
        <v>-360</v>
      </c>
      <c r="BI184" s="1">
        <f>SUM($AT184,$AA184:AM184)-SUM($AV$5:BI$5)*$J184-SUM($AV$6:BI$6)*$K184</f>
        <v>-400</v>
      </c>
      <c r="BJ184" s="1">
        <f>SUM($AT184,$AA184:AN184)-SUM($AV$5:BJ$5)*$J184-SUM($AV$6:BJ$6)*$K184</f>
        <v>-440</v>
      </c>
      <c r="BK184" s="1">
        <f>SUM($AT184,$AA184:AO184)-SUM($AV$5:BK$5)*$J184-SUM($AV$6:BK$6)*$K184</f>
        <v>-480</v>
      </c>
      <c r="BL184" s="1">
        <f>SUM($AT184,$AA184:AP184)-SUM($AV$5:BL$5)*$J184-SUM($AV$6:BL$6)*$K184</f>
        <v>-520</v>
      </c>
      <c r="BM184" s="1">
        <f>SUM($AT184,$AA184:AQ184)-SUM($AV$5:BM$5)*$J184-SUM($AV$6:BM$6)*$K184</f>
        <v>-560</v>
      </c>
      <c r="BN184" s="1">
        <f>SUM($AT184,$AA184:AR184)-SUM($AV$5:BN$5)*$J184-SUM($AV$6:BN$6)*$K184</f>
        <v>-582</v>
      </c>
    </row>
    <row r="185" spans="1:66">
      <c r="A185" s="1">
        <v>204</v>
      </c>
      <c r="B185" s="28" t="s">
        <v>614</v>
      </c>
      <c r="C185" s="1" t="s">
        <v>40</v>
      </c>
      <c r="D185" s="2">
        <v>400693203</v>
      </c>
      <c r="E185" s="3" t="s">
        <v>615</v>
      </c>
      <c r="F185" s="1" t="s">
        <v>616</v>
      </c>
      <c r="G185" s="1" t="s">
        <v>42</v>
      </c>
      <c r="H185" s="1">
        <v>2</v>
      </c>
      <c r="I185" s="1">
        <v>6</v>
      </c>
      <c r="J185" s="1">
        <v>6</v>
      </c>
      <c r="K185" s="1">
        <v>0</v>
      </c>
      <c r="L185" s="1">
        <v>0</v>
      </c>
      <c r="M185" s="1">
        <f t="shared" si="8"/>
        <v>3492</v>
      </c>
      <c r="N185" s="1">
        <f t="shared" si="9"/>
        <v>3492</v>
      </c>
      <c r="O185" s="2" t="s">
        <v>525</v>
      </c>
      <c r="P185" s="1"/>
      <c r="Q185" s="1">
        <v>4.0000000000000001E-3</v>
      </c>
      <c r="R185" s="1" t="s">
        <v>44</v>
      </c>
      <c r="S185" s="30" t="s">
        <v>423</v>
      </c>
      <c r="T185" s="31" t="s">
        <v>238</v>
      </c>
      <c r="U185" s="1"/>
      <c r="V185" s="1">
        <v>5000</v>
      </c>
      <c r="W185" s="1" t="s">
        <v>239</v>
      </c>
      <c r="X185" s="32" t="s">
        <v>240</v>
      </c>
      <c r="Y185" s="1" t="s">
        <v>241</v>
      </c>
      <c r="Z185" s="2" t="s">
        <v>242</v>
      </c>
      <c r="AA185" s="1"/>
      <c r="AB185" s="1"/>
      <c r="AC185" s="1"/>
      <c r="AD185" s="1"/>
      <c r="AE185" s="1"/>
      <c r="AF185" s="1"/>
      <c r="AG185" s="1"/>
      <c r="AH185" s="1"/>
      <c r="AI185" s="1"/>
      <c r="AJ185" s="1"/>
      <c r="AK185" s="1"/>
      <c r="AL185" s="1"/>
      <c r="AM185" s="1"/>
      <c r="AN185" s="1"/>
      <c r="AO185" s="1"/>
      <c r="AP185" s="1"/>
      <c r="AQ185" s="1"/>
      <c r="AR185" s="1"/>
      <c r="AS185" s="1"/>
      <c r="AT185" s="1"/>
      <c r="AU185" s="1"/>
      <c r="AV185" s="1">
        <f>SUM($AT185,Z185:$AA185)-SUM($AV$5:AV$5)*$J185-SUM($AV$6:AV$6)*$K185</f>
        <v>0</v>
      </c>
      <c r="AW185" s="1">
        <f>SUM($AT185,$AA185:AA185)-SUM($AV$5:AW$5)*$J185-SUM($AV$6:AW$6)*$K185</f>
        <v>0</v>
      </c>
      <c r="AX185" s="1">
        <f>SUM($AT185,$AA185:AB185)-SUM($AV$5:AX$5)*$J185-SUM($AV$6:AX$6)*$K185</f>
        <v>0</v>
      </c>
      <c r="AY185" s="1">
        <f>SUM($AT185,$AA185:AC185)-SUM($AV$5:AY$5)*$J185-SUM($AV$6:AY$6)*$K185</f>
        <v>0</v>
      </c>
      <c r="AZ185" s="1">
        <f>SUM($AT185,$AA185:AD185)-SUM($AV$5:AZ$5)*$J185-SUM($AV$6:AZ$6)*$K185</f>
        <v>-240</v>
      </c>
      <c r="BA185" s="1">
        <f>SUM($AT185,$AA185:AE185)-SUM($AV$5:BA$5)*$J185-SUM($AV$6:BA$6)*$K185</f>
        <v>-480</v>
      </c>
      <c r="BB185" s="1">
        <f>SUM($AT185,$AA185:AF185)-SUM($AV$5:BB$5)*$J185-SUM($AV$6:BB$6)*$K185</f>
        <v>-720</v>
      </c>
      <c r="BC185" s="1">
        <f>SUM($AT185,$AA185:AG185)-SUM($AV$5:BC$5)*$J185-SUM($AV$6:BC$6)*$K185</f>
        <v>-960</v>
      </c>
      <c r="BD185" s="1">
        <f>SUM($AT185,$AA185:AH185)-SUM($AV$5:BD$5)*$J185-SUM($AV$6:BD$6)*$K185</f>
        <v>-1200</v>
      </c>
      <c r="BE185" s="1">
        <f>SUM($AT185,$AA185:AI185)-SUM($AV$5:BE$5)*$J185-SUM($AV$6:BE$6)*$K185</f>
        <v>-1440</v>
      </c>
      <c r="BF185" s="1">
        <f>SUM($AT185,$AA185:AJ185)-SUM($AV$5:BF$5)*$J185-SUM($AV$6:BF$6)*$K185</f>
        <v>-1680</v>
      </c>
      <c r="BG185" s="1">
        <f>SUM($AT185,$AA185:AK185)-SUM($AV$5:BG$5)*$J185-SUM($AV$6:BG$6)*$K185</f>
        <v>-1920</v>
      </c>
      <c r="BH185" s="1">
        <f>SUM($AT185,$AA185:AL185)-SUM($AV$5:BH$5)*$J185-SUM($AV$6:BH$6)*$K185</f>
        <v>-2160</v>
      </c>
      <c r="BI185" s="1">
        <f>SUM($AT185,$AA185:AM185)-SUM($AV$5:BI$5)*$J185-SUM($AV$6:BI$6)*$K185</f>
        <v>-2400</v>
      </c>
      <c r="BJ185" s="1">
        <f>SUM($AT185,$AA185:AN185)-SUM($AV$5:BJ$5)*$J185-SUM($AV$6:BJ$6)*$K185</f>
        <v>-2640</v>
      </c>
      <c r="BK185" s="1">
        <f>SUM($AT185,$AA185:AO185)-SUM($AV$5:BK$5)*$J185-SUM($AV$6:BK$6)*$K185</f>
        <v>-2880</v>
      </c>
      <c r="BL185" s="1">
        <f>SUM($AT185,$AA185:AP185)-SUM($AV$5:BL$5)*$J185-SUM($AV$6:BL$6)*$K185</f>
        <v>-3120</v>
      </c>
      <c r="BM185" s="1">
        <f>SUM($AT185,$AA185:AQ185)-SUM($AV$5:BM$5)*$J185-SUM($AV$6:BM$6)*$K185</f>
        <v>-3360</v>
      </c>
      <c r="BN185" s="1">
        <f>SUM($AT185,$AA185:AR185)-SUM($AV$5:BN$5)*$J185-SUM($AV$6:BN$6)*$K185</f>
        <v>-3492</v>
      </c>
    </row>
    <row r="186" spans="1:66">
      <c r="A186" s="1">
        <v>205</v>
      </c>
      <c r="B186" s="28" t="s">
        <v>617</v>
      </c>
      <c r="C186" s="1" t="s">
        <v>40</v>
      </c>
      <c r="D186" s="2">
        <v>400931576</v>
      </c>
      <c r="E186" s="3" t="s">
        <v>618</v>
      </c>
      <c r="F186" s="1" t="s">
        <v>619</v>
      </c>
      <c r="G186" s="1" t="s">
        <v>42</v>
      </c>
      <c r="H186" s="1">
        <v>2</v>
      </c>
      <c r="I186" s="1">
        <v>45</v>
      </c>
      <c r="J186" s="1">
        <v>24</v>
      </c>
      <c r="K186" s="1">
        <v>0</v>
      </c>
      <c r="L186" s="1">
        <v>21</v>
      </c>
      <c r="M186" s="1">
        <f t="shared" si="8"/>
        <v>19764</v>
      </c>
      <c r="N186" s="1">
        <f t="shared" si="9"/>
        <v>19764</v>
      </c>
      <c r="O186" s="2" t="s">
        <v>525</v>
      </c>
      <c r="P186" s="1"/>
      <c r="Q186" s="1">
        <v>4.0000000000000001E-3</v>
      </c>
      <c r="R186" s="1" t="s">
        <v>44</v>
      </c>
      <c r="S186" s="30" t="s">
        <v>423</v>
      </c>
      <c r="T186" s="31" t="s">
        <v>238</v>
      </c>
      <c r="U186" s="1">
        <v>5000</v>
      </c>
      <c r="V186" s="1">
        <v>5000</v>
      </c>
      <c r="W186" s="1" t="s">
        <v>239</v>
      </c>
      <c r="X186" s="32" t="s">
        <v>240</v>
      </c>
      <c r="Y186" s="1" t="s">
        <v>241</v>
      </c>
      <c r="Z186" s="2" t="s">
        <v>242</v>
      </c>
      <c r="AA186" s="1"/>
      <c r="AB186" s="1"/>
      <c r="AC186" s="1"/>
      <c r="AD186" s="1"/>
      <c r="AE186" s="1"/>
      <c r="AF186" s="1"/>
      <c r="AG186" s="1"/>
      <c r="AH186" s="1"/>
      <c r="AI186" s="1"/>
      <c r="AJ186" s="1"/>
      <c r="AK186" s="1"/>
      <c r="AL186" s="1"/>
      <c r="AM186" s="1"/>
      <c r="AN186" s="1"/>
      <c r="AO186" s="1"/>
      <c r="AP186" s="1"/>
      <c r="AQ186" s="1"/>
      <c r="AR186" s="1"/>
      <c r="AS186" s="1"/>
      <c r="AT186" s="1"/>
      <c r="AU186" s="1"/>
      <c r="AV186" s="1">
        <f>SUM($AT186,Z186:$AA186)-SUM($AV$5:AV$5)*$J186-SUM($AV$6:AV$6)*$K186</f>
        <v>0</v>
      </c>
      <c r="AW186" s="1">
        <f>SUM($AT186,$AA186:AA186)-SUM($AV$5:AW$5)*$J186-SUM($AV$6:AW$6)*$K186</f>
        <v>0</v>
      </c>
      <c r="AX186" s="1">
        <f>SUM($AT186,$AA186:AB186)-SUM($AV$5:AX$5)*$J186-SUM($AV$6:AX$6)*$K186</f>
        <v>0</v>
      </c>
      <c r="AY186" s="1">
        <f>SUM($AT186,$AA186:AC186)-SUM($AV$5:AY$5)*$J186-SUM($AV$6:AY$6)*$K186</f>
        <v>0</v>
      </c>
      <c r="AZ186" s="1">
        <f>SUM($AT186,$AA186:AD186)-SUM($AV$5:AZ$5)*$J186-SUM($AV$6:AZ$6)*$K186</f>
        <v>-960</v>
      </c>
      <c r="BA186" s="1">
        <f>SUM($AT186,$AA186:AE186)-SUM($AV$5:BA$5)*$J186-SUM($AV$6:BA$6)*$K186</f>
        <v>-1920</v>
      </c>
      <c r="BB186" s="1">
        <f>SUM($AT186,$AA186:AF186)-SUM($AV$5:BB$5)*$J186-SUM($AV$6:BB$6)*$K186</f>
        <v>-2880</v>
      </c>
      <c r="BC186" s="1">
        <f>SUM($AT186,$AA186:AG186)-SUM($AV$5:BC$5)*$J186-SUM($AV$6:BC$6)*$K186</f>
        <v>-3840</v>
      </c>
      <c r="BD186" s="1">
        <f>SUM($AT186,$AA186:AH186)-SUM($AV$5:BD$5)*$J186-SUM($AV$6:BD$6)*$K186</f>
        <v>-4800</v>
      </c>
      <c r="BE186" s="1">
        <f>SUM($AT186,$AA186:AI186)-SUM($AV$5:BE$5)*$J186-SUM($AV$6:BE$6)*$K186</f>
        <v>-5760</v>
      </c>
      <c r="BF186" s="1">
        <f>SUM($AT186,$AA186:AJ186)-SUM($AV$5:BF$5)*$J186-SUM($AV$6:BF$6)*$K186</f>
        <v>-6720</v>
      </c>
      <c r="BG186" s="1">
        <f>SUM($AT186,$AA186:AK186)-SUM($AV$5:BG$5)*$J186-SUM($AV$6:BG$6)*$K186</f>
        <v>-7680</v>
      </c>
      <c r="BH186" s="1">
        <f>SUM($AT186,$AA186:AL186)-SUM($AV$5:BH$5)*$J186-SUM($AV$6:BH$6)*$K186</f>
        <v>-8640</v>
      </c>
      <c r="BI186" s="1">
        <f>SUM($AT186,$AA186:AM186)-SUM($AV$5:BI$5)*$J186-SUM($AV$6:BI$6)*$K186</f>
        <v>-9600</v>
      </c>
      <c r="BJ186" s="1">
        <f>SUM($AT186,$AA186:AN186)-SUM($AV$5:BJ$5)*$J186-SUM($AV$6:BJ$6)*$K186</f>
        <v>-10560</v>
      </c>
      <c r="BK186" s="1">
        <f>SUM($AT186,$AA186:AO186)-SUM($AV$5:BK$5)*$J186-SUM($AV$6:BK$6)*$K186</f>
        <v>-11520</v>
      </c>
      <c r="BL186" s="1">
        <f>SUM($AT186,$AA186:AP186)-SUM($AV$5:BL$5)*$J186-SUM($AV$6:BL$6)*$K186</f>
        <v>-12480</v>
      </c>
      <c r="BM186" s="1">
        <f>SUM($AT186,$AA186:AQ186)-SUM($AV$5:BM$5)*$J186-SUM($AV$6:BM$6)*$K186</f>
        <v>-13440</v>
      </c>
      <c r="BN186" s="1">
        <f>SUM($AT186,$AA186:AR186)-SUM($AV$5:BN$5)*$J186-SUM($AV$6:BN$6)*$K186</f>
        <v>-13968</v>
      </c>
    </row>
    <row r="187" spans="1:66">
      <c r="A187" s="1">
        <v>206</v>
      </c>
      <c r="B187" s="28" t="s">
        <v>620</v>
      </c>
      <c r="C187" s="1" t="s">
        <v>40</v>
      </c>
      <c r="D187" s="2">
        <v>401235521</v>
      </c>
      <c r="E187" s="3" t="s">
        <v>621</v>
      </c>
      <c r="F187" s="1" t="s">
        <v>622</v>
      </c>
      <c r="G187" s="1" t="s">
        <v>42</v>
      </c>
      <c r="H187" s="1">
        <v>2</v>
      </c>
      <c r="I187" s="1">
        <v>2</v>
      </c>
      <c r="J187" s="1">
        <v>2</v>
      </c>
      <c r="K187" s="1">
        <v>0</v>
      </c>
      <c r="L187" s="1">
        <v>0</v>
      </c>
      <c r="M187" s="1">
        <f t="shared" si="8"/>
        <v>1164</v>
      </c>
      <c r="N187" s="1">
        <f t="shared" si="9"/>
        <v>1164</v>
      </c>
      <c r="O187" s="2" t="s">
        <v>525</v>
      </c>
      <c r="P187" s="1"/>
      <c r="Q187" s="1">
        <v>4.0000000000000001E-3</v>
      </c>
      <c r="R187" s="1" t="s">
        <v>44</v>
      </c>
      <c r="S187" s="30" t="s">
        <v>423</v>
      </c>
      <c r="T187" s="31" t="s">
        <v>238</v>
      </c>
      <c r="U187" s="1"/>
      <c r="V187" s="1">
        <v>5000</v>
      </c>
      <c r="W187" s="1" t="s">
        <v>239</v>
      </c>
      <c r="X187" s="32" t="s">
        <v>240</v>
      </c>
      <c r="Y187" s="1" t="s">
        <v>241</v>
      </c>
      <c r="Z187" s="2" t="s">
        <v>242</v>
      </c>
      <c r="AA187" s="1"/>
      <c r="AB187" s="1"/>
      <c r="AC187" s="1"/>
      <c r="AD187" s="1"/>
      <c r="AE187" s="1"/>
      <c r="AF187" s="1"/>
      <c r="AG187" s="1"/>
      <c r="AH187" s="1"/>
      <c r="AI187" s="1"/>
      <c r="AJ187" s="1"/>
      <c r="AK187" s="1"/>
      <c r="AL187" s="1"/>
      <c r="AM187" s="1"/>
      <c r="AN187" s="1"/>
      <c r="AO187" s="1"/>
      <c r="AP187" s="1"/>
      <c r="AQ187" s="1"/>
      <c r="AR187" s="1"/>
      <c r="AS187" s="1"/>
      <c r="AT187" s="1"/>
      <c r="AU187" s="1"/>
      <c r="AV187" s="1">
        <f>SUM($AT187,Z187:$AA187)-SUM($AV$5:AV$5)*$J187-SUM($AV$6:AV$6)*$K187</f>
        <v>0</v>
      </c>
      <c r="AW187" s="1">
        <f>SUM($AT187,$AA187:AA187)-SUM($AV$5:AW$5)*$J187-SUM($AV$6:AW$6)*$K187</f>
        <v>0</v>
      </c>
      <c r="AX187" s="1">
        <f>SUM($AT187,$AA187:AB187)-SUM($AV$5:AX$5)*$J187-SUM($AV$6:AX$6)*$K187</f>
        <v>0</v>
      </c>
      <c r="AY187" s="1">
        <f>SUM($AT187,$AA187:AC187)-SUM($AV$5:AY$5)*$J187-SUM($AV$6:AY$6)*$K187</f>
        <v>0</v>
      </c>
      <c r="AZ187" s="1">
        <f>SUM($AT187,$AA187:AD187)-SUM($AV$5:AZ$5)*$J187-SUM($AV$6:AZ$6)*$K187</f>
        <v>-80</v>
      </c>
      <c r="BA187" s="1">
        <f>SUM($AT187,$AA187:AE187)-SUM($AV$5:BA$5)*$J187-SUM($AV$6:BA$6)*$K187</f>
        <v>-160</v>
      </c>
      <c r="BB187" s="1">
        <f>SUM($AT187,$AA187:AF187)-SUM($AV$5:BB$5)*$J187-SUM($AV$6:BB$6)*$K187</f>
        <v>-240</v>
      </c>
      <c r="BC187" s="1">
        <f>SUM($AT187,$AA187:AG187)-SUM($AV$5:BC$5)*$J187-SUM($AV$6:BC$6)*$K187</f>
        <v>-320</v>
      </c>
      <c r="BD187" s="1">
        <f>SUM($AT187,$AA187:AH187)-SUM($AV$5:BD$5)*$J187-SUM($AV$6:BD$6)*$K187</f>
        <v>-400</v>
      </c>
      <c r="BE187" s="1">
        <f>SUM($AT187,$AA187:AI187)-SUM($AV$5:BE$5)*$J187-SUM($AV$6:BE$6)*$K187</f>
        <v>-480</v>
      </c>
      <c r="BF187" s="1">
        <f>SUM($AT187,$AA187:AJ187)-SUM($AV$5:BF$5)*$J187-SUM($AV$6:BF$6)*$K187</f>
        <v>-560</v>
      </c>
      <c r="BG187" s="1">
        <f>SUM($AT187,$AA187:AK187)-SUM($AV$5:BG$5)*$J187-SUM($AV$6:BG$6)*$K187</f>
        <v>-640</v>
      </c>
      <c r="BH187" s="1">
        <f>SUM($AT187,$AA187:AL187)-SUM($AV$5:BH$5)*$J187-SUM($AV$6:BH$6)*$K187</f>
        <v>-720</v>
      </c>
      <c r="BI187" s="1">
        <f>SUM($AT187,$AA187:AM187)-SUM($AV$5:BI$5)*$J187-SUM($AV$6:BI$6)*$K187</f>
        <v>-800</v>
      </c>
      <c r="BJ187" s="1">
        <f>SUM($AT187,$AA187:AN187)-SUM($AV$5:BJ$5)*$J187-SUM($AV$6:BJ$6)*$K187</f>
        <v>-880</v>
      </c>
      <c r="BK187" s="1">
        <f>SUM($AT187,$AA187:AO187)-SUM($AV$5:BK$5)*$J187-SUM($AV$6:BK$6)*$K187</f>
        <v>-960</v>
      </c>
      <c r="BL187" s="1">
        <f>SUM($AT187,$AA187:AP187)-SUM($AV$5:BL$5)*$J187-SUM($AV$6:BL$6)*$K187</f>
        <v>-1040</v>
      </c>
      <c r="BM187" s="1">
        <f>SUM($AT187,$AA187:AQ187)-SUM($AV$5:BM$5)*$J187-SUM($AV$6:BM$6)*$K187</f>
        <v>-1120</v>
      </c>
      <c r="BN187" s="1">
        <f>SUM($AT187,$AA187:AR187)-SUM($AV$5:BN$5)*$J187-SUM($AV$6:BN$6)*$K187</f>
        <v>-1164</v>
      </c>
    </row>
    <row r="188" spans="1:66">
      <c r="A188" s="1">
        <v>207</v>
      </c>
      <c r="B188" s="28" t="s">
        <v>623</v>
      </c>
      <c r="C188" s="1" t="s">
        <v>40</v>
      </c>
      <c r="D188" s="2">
        <v>402515066</v>
      </c>
      <c r="E188" s="3" t="s">
        <v>624</v>
      </c>
      <c r="F188" s="1" t="s">
        <v>625</v>
      </c>
      <c r="G188" s="1" t="s">
        <v>42</v>
      </c>
      <c r="H188" s="1">
        <v>2</v>
      </c>
      <c r="I188" s="1">
        <v>4</v>
      </c>
      <c r="J188" s="1">
        <v>4</v>
      </c>
      <c r="K188" s="1">
        <v>0</v>
      </c>
      <c r="L188" s="1">
        <v>0</v>
      </c>
      <c r="M188" s="1">
        <f t="shared" si="8"/>
        <v>2328</v>
      </c>
      <c r="N188" s="1">
        <f t="shared" si="9"/>
        <v>2328</v>
      </c>
      <c r="O188" s="2" t="s">
        <v>525</v>
      </c>
      <c r="P188" s="1"/>
      <c r="Q188" s="1">
        <v>4.0000000000000001E-3</v>
      </c>
      <c r="R188" s="1" t="s">
        <v>44</v>
      </c>
      <c r="S188" s="30" t="s">
        <v>423</v>
      </c>
      <c r="T188" s="31" t="s">
        <v>238</v>
      </c>
      <c r="U188" s="1"/>
      <c r="V188" s="1">
        <v>5000</v>
      </c>
      <c r="W188" s="1" t="s">
        <v>239</v>
      </c>
      <c r="X188" s="32" t="s">
        <v>240</v>
      </c>
      <c r="Y188" s="1" t="s">
        <v>241</v>
      </c>
      <c r="Z188" s="2" t="s">
        <v>242</v>
      </c>
      <c r="AA188" s="1"/>
      <c r="AB188" s="1"/>
      <c r="AC188" s="1"/>
      <c r="AD188" s="1"/>
      <c r="AE188" s="1"/>
      <c r="AF188" s="1"/>
      <c r="AG188" s="1"/>
      <c r="AH188" s="1"/>
      <c r="AI188" s="1"/>
      <c r="AJ188" s="1"/>
      <c r="AK188" s="1"/>
      <c r="AL188" s="1"/>
      <c r="AM188" s="1"/>
      <c r="AN188" s="1"/>
      <c r="AO188" s="1"/>
      <c r="AP188" s="1"/>
      <c r="AQ188" s="1"/>
      <c r="AR188" s="1"/>
      <c r="AS188" s="1"/>
      <c r="AT188" s="1"/>
      <c r="AU188" s="1"/>
      <c r="AV188" s="1">
        <f>SUM($AT188,Z188:$AA188)-SUM($AV$5:AV$5)*$J188-SUM($AV$6:AV$6)*$K188</f>
        <v>0</v>
      </c>
      <c r="AW188" s="1">
        <f>SUM($AT188,$AA188:AA188)-SUM($AV$5:AW$5)*$J188-SUM($AV$6:AW$6)*$K188</f>
        <v>0</v>
      </c>
      <c r="AX188" s="1">
        <f>SUM($AT188,$AA188:AB188)-SUM($AV$5:AX$5)*$J188-SUM($AV$6:AX$6)*$K188</f>
        <v>0</v>
      </c>
      <c r="AY188" s="1">
        <f>SUM($AT188,$AA188:AC188)-SUM($AV$5:AY$5)*$J188-SUM($AV$6:AY$6)*$K188</f>
        <v>0</v>
      </c>
      <c r="AZ188" s="1">
        <f>SUM($AT188,$AA188:AD188)-SUM($AV$5:AZ$5)*$J188-SUM($AV$6:AZ$6)*$K188</f>
        <v>-160</v>
      </c>
      <c r="BA188" s="1">
        <f>SUM($AT188,$AA188:AE188)-SUM($AV$5:BA$5)*$J188-SUM($AV$6:BA$6)*$K188</f>
        <v>-320</v>
      </c>
      <c r="BB188" s="1">
        <f>SUM($AT188,$AA188:AF188)-SUM($AV$5:BB$5)*$J188-SUM($AV$6:BB$6)*$K188</f>
        <v>-480</v>
      </c>
      <c r="BC188" s="1">
        <f>SUM($AT188,$AA188:AG188)-SUM($AV$5:BC$5)*$J188-SUM($AV$6:BC$6)*$K188</f>
        <v>-640</v>
      </c>
      <c r="BD188" s="1">
        <f>SUM($AT188,$AA188:AH188)-SUM($AV$5:BD$5)*$J188-SUM($AV$6:BD$6)*$K188</f>
        <v>-800</v>
      </c>
      <c r="BE188" s="1">
        <f>SUM($AT188,$AA188:AI188)-SUM($AV$5:BE$5)*$J188-SUM($AV$6:BE$6)*$K188</f>
        <v>-960</v>
      </c>
      <c r="BF188" s="1">
        <f>SUM($AT188,$AA188:AJ188)-SUM($AV$5:BF$5)*$J188-SUM($AV$6:BF$6)*$K188</f>
        <v>-1120</v>
      </c>
      <c r="BG188" s="1">
        <f>SUM($AT188,$AA188:AK188)-SUM($AV$5:BG$5)*$J188-SUM($AV$6:BG$6)*$K188</f>
        <v>-1280</v>
      </c>
      <c r="BH188" s="1">
        <f>SUM($AT188,$AA188:AL188)-SUM($AV$5:BH$5)*$J188-SUM($AV$6:BH$6)*$K188</f>
        <v>-1440</v>
      </c>
      <c r="BI188" s="1">
        <f>SUM($AT188,$AA188:AM188)-SUM($AV$5:BI$5)*$J188-SUM($AV$6:BI$6)*$K188</f>
        <v>-1600</v>
      </c>
      <c r="BJ188" s="1">
        <f>SUM($AT188,$AA188:AN188)-SUM($AV$5:BJ$5)*$J188-SUM($AV$6:BJ$6)*$K188</f>
        <v>-1760</v>
      </c>
      <c r="BK188" s="1">
        <f>SUM($AT188,$AA188:AO188)-SUM($AV$5:BK$5)*$J188-SUM($AV$6:BK$6)*$K188</f>
        <v>-1920</v>
      </c>
      <c r="BL188" s="1">
        <f>SUM($AT188,$AA188:AP188)-SUM($AV$5:BL$5)*$J188-SUM($AV$6:BL$6)*$K188</f>
        <v>-2080</v>
      </c>
      <c r="BM188" s="1">
        <f>SUM($AT188,$AA188:AQ188)-SUM($AV$5:BM$5)*$J188-SUM($AV$6:BM$6)*$K188</f>
        <v>-2240</v>
      </c>
      <c r="BN188" s="1">
        <f>SUM($AT188,$AA188:AR188)-SUM($AV$5:BN$5)*$J188-SUM($AV$6:BN$6)*$K188</f>
        <v>-2328</v>
      </c>
    </row>
    <row r="189" spans="1:66">
      <c r="A189" s="1">
        <v>208</v>
      </c>
      <c r="B189" s="28" t="s">
        <v>626</v>
      </c>
      <c r="C189" s="1" t="s">
        <v>40</v>
      </c>
      <c r="D189" s="2">
        <v>414258417</v>
      </c>
      <c r="E189" s="3" t="s">
        <v>627</v>
      </c>
      <c r="F189" s="1" t="s">
        <v>628</v>
      </c>
      <c r="G189" s="1" t="s">
        <v>42</v>
      </c>
      <c r="H189" s="1">
        <v>2</v>
      </c>
      <c r="I189" s="1">
        <v>1</v>
      </c>
      <c r="J189" s="1">
        <v>1</v>
      </c>
      <c r="K189" s="1">
        <v>0</v>
      </c>
      <c r="L189" s="1">
        <v>0</v>
      </c>
      <c r="M189" s="1">
        <f t="shared" si="8"/>
        <v>582</v>
      </c>
      <c r="N189" s="1">
        <f t="shared" si="9"/>
        <v>582</v>
      </c>
      <c r="O189" s="2" t="s">
        <v>598</v>
      </c>
      <c r="P189" s="1"/>
      <c r="Q189" s="1">
        <v>4.0000000000000001E-3</v>
      </c>
      <c r="R189" s="1" t="s">
        <v>44</v>
      </c>
      <c r="S189" s="30" t="s">
        <v>423</v>
      </c>
      <c r="T189" s="31" t="s">
        <v>238</v>
      </c>
      <c r="U189" s="1"/>
      <c r="V189" s="1">
        <v>5000</v>
      </c>
      <c r="W189" s="1" t="s">
        <v>239</v>
      </c>
      <c r="X189" s="32" t="s">
        <v>240</v>
      </c>
      <c r="Y189" s="1" t="s">
        <v>241</v>
      </c>
      <c r="Z189" s="2" t="s">
        <v>242</v>
      </c>
      <c r="AA189" s="1"/>
      <c r="AB189" s="1"/>
      <c r="AC189" s="1"/>
      <c r="AD189" s="1"/>
      <c r="AE189" s="1"/>
      <c r="AF189" s="1"/>
      <c r="AG189" s="1"/>
      <c r="AH189" s="1"/>
      <c r="AI189" s="1"/>
      <c r="AJ189" s="1"/>
      <c r="AK189" s="1"/>
      <c r="AL189" s="1"/>
      <c r="AM189" s="1"/>
      <c r="AN189" s="1"/>
      <c r="AO189" s="1"/>
      <c r="AP189" s="1"/>
      <c r="AQ189" s="1"/>
      <c r="AR189" s="1"/>
      <c r="AS189" s="1"/>
      <c r="AT189" s="1"/>
      <c r="AU189" s="1"/>
      <c r="AV189" s="1">
        <f>SUM($AT189,Z189:$AA189)-SUM($AV$5:AV$5)*$J189-SUM($AV$6:AV$6)*$K189</f>
        <v>0</v>
      </c>
      <c r="AW189" s="1">
        <f>SUM($AT189,$AA189:AA189)-SUM($AV$5:AW$5)*$J189-SUM($AV$6:AW$6)*$K189</f>
        <v>0</v>
      </c>
      <c r="AX189" s="1">
        <f>SUM($AT189,$AA189:AB189)-SUM($AV$5:AX$5)*$J189-SUM($AV$6:AX$6)*$K189</f>
        <v>0</v>
      </c>
      <c r="AY189" s="1">
        <f>SUM($AT189,$AA189:AC189)-SUM($AV$5:AY$5)*$J189-SUM($AV$6:AY$6)*$K189</f>
        <v>0</v>
      </c>
      <c r="AZ189" s="1">
        <f>SUM($AT189,$AA189:AD189)-SUM($AV$5:AZ$5)*$J189-SUM($AV$6:AZ$6)*$K189</f>
        <v>-40</v>
      </c>
      <c r="BA189" s="1">
        <f>SUM($AT189,$AA189:AE189)-SUM($AV$5:BA$5)*$J189-SUM($AV$6:BA$6)*$K189</f>
        <v>-80</v>
      </c>
      <c r="BB189" s="1">
        <f>SUM($AT189,$AA189:AF189)-SUM($AV$5:BB$5)*$J189-SUM($AV$6:BB$6)*$K189</f>
        <v>-120</v>
      </c>
      <c r="BC189" s="1">
        <f>SUM($AT189,$AA189:AG189)-SUM($AV$5:BC$5)*$J189-SUM($AV$6:BC$6)*$K189</f>
        <v>-160</v>
      </c>
      <c r="BD189" s="1">
        <f>SUM($AT189,$AA189:AH189)-SUM($AV$5:BD$5)*$J189-SUM($AV$6:BD$6)*$K189</f>
        <v>-200</v>
      </c>
      <c r="BE189" s="1">
        <f>SUM($AT189,$AA189:AI189)-SUM($AV$5:BE$5)*$J189-SUM($AV$6:BE$6)*$K189</f>
        <v>-240</v>
      </c>
      <c r="BF189" s="1">
        <f>SUM($AT189,$AA189:AJ189)-SUM($AV$5:BF$5)*$J189-SUM($AV$6:BF$6)*$K189</f>
        <v>-280</v>
      </c>
      <c r="BG189" s="1">
        <f>SUM($AT189,$AA189:AK189)-SUM($AV$5:BG$5)*$J189-SUM($AV$6:BG$6)*$K189</f>
        <v>-320</v>
      </c>
      <c r="BH189" s="1">
        <f>SUM($AT189,$AA189:AL189)-SUM($AV$5:BH$5)*$J189-SUM($AV$6:BH$6)*$K189</f>
        <v>-360</v>
      </c>
      <c r="BI189" s="1">
        <f>SUM($AT189,$AA189:AM189)-SUM($AV$5:BI$5)*$J189-SUM($AV$6:BI$6)*$K189</f>
        <v>-400</v>
      </c>
      <c r="BJ189" s="1">
        <f>SUM($AT189,$AA189:AN189)-SUM($AV$5:BJ$5)*$J189-SUM($AV$6:BJ$6)*$K189</f>
        <v>-440</v>
      </c>
      <c r="BK189" s="1">
        <f>SUM($AT189,$AA189:AO189)-SUM($AV$5:BK$5)*$J189-SUM($AV$6:BK$6)*$K189</f>
        <v>-480</v>
      </c>
      <c r="BL189" s="1">
        <f>SUM($AT189,$AA189:AP189)-SUM($AV$5:BL$5)*$J189-SUM($AV$6:BL$6)*$K189</f>
        <v>-520</v>
      </c>
      <c r="BM189" s="1">
        <f>SUM($AT189,$AA189:AQ189)-SUM($AV$5:BM$5)*$J189-SUM($AV$6:BM$6)*$K189</f>
        <v>-560</v>
      </c>
      <c r="BN189" s="1">
        <f>SUM($AT189,$AA189:AR189)-SUM($AV$5:BN$5)*$J189-SUM($AV$6:BN$6)*$K189</f>
        <v>-582</v>
      </c>
    </row>
    <row r="190" spans="1:66">
      <c r="A190" s="1">
        <v>209</v>
      </c>
      <c r="B190" s="28" t="s">
        <v>629</v>
      </c>
      <c r="C190" s="1" t="s">
        <v>40</v>
      </c>
      <c r="D190" s="2">
        <v>401382479</v>
      </c>
      <c r="E190" s="3" t="s">
        <v>630</v>
      </c>
      <c r="F190" s="1" t="s">
        <v>631</v>
      </c>
      <c r="G190" s="1" t="s">
        <v>42</v>
      </c>
      <c r="H190" s="1">
        <v>2</v>
      </c>
      <c r="I190" s="1">
        <v>1</v>
      </c>
      <c r="J190" s="1">
        <v>1</v>
      </c>
      <c r="K190" s="1">
        <v>0</v>
      </c>
      <c r="L190" s="1">
        <v>0</v>
      </c>
      <c r="M190" s="1">
        <f t="shared" si="8"/>
        <v>582</v>
      </c>
      <c r="N190" s="1">
        <f t="shared" si="9"/>
        <v>582</v>
      </c>
      <c r="O190" s="2" t="s">
        <v>525</v>
      </c>
      <c r="P190" s="1"/>
      <c r="Q190" s="1">
        <v>4.0000000000000001E-3</v>
      </c>
      <c r="R190" s="1" t="s">
        <v>44</v>
      </c>
      <c r="S190" s="30" t="s">
        <v>423</v>
      </c>
      <c r="T190" s="31" t="s">
        <v>238</v>
      </c>
      <c r="U190" s="1"/>
      <c r="V190" s="1">
        <v>5000</v>
      </c>
      <c r="W190" s="1" t="s">
        <v>239</v>
      </c>
      <c r="X190" s="32" t="s">
        <v>240</v>
      </c>
      <c r="Y190" s="1" t="s">
        <v>241</v>
      </c>
      <c r="Z190" s="2" t="s">
        <v>242</v>
      </c>
      <c r="AA190" s="1"/>
      <c r="AB190" s="1"/>
      <c r="AC190" s="1"/>
      <c r="AD190" s="1"/>
      <c r="AE190" s="1"/>
      <c r="AF190" s="1"/>
      <c r="AG190" s="1"/>
      <c r="AH190" s="1"/>
      <c r="AI190" s="1"/>
      <c r="AJ190" s="1"/>
      <c r="AK190" s="1"/>
      <c r="AL190" s="1"/>
      <c r="AM190" s="1"/>
      <c r="AN190" s="1"/>
      <c r="AO190" s="1"/>
      <c r="AP190" s="1"/>
      <c r="AQ190" s="1"/>
      <c r="AR190" s="1"/>
      <c r="AS190" s="1"/>
      <c r="AT190" s="1"/>
      <c r="AU190" s="1"/>
      <c r="AV190" s="1">
        <f>SUM($AT190,Z190:$AA190)-SUM($AV$5:AV$5)*$J190-SUM($AV$6:AV$6)*$K190</f>
        <v>0</v>
      </c>
      <c r="AW190" s="1">
        <f>SUM($AT190,$AA190:AA190)-SUM($AV$5:AW$5)*$J190-SUM($AV$6:AW$6)*$K190</f>
        <v>0</v>
      </c>
      <c r="AX190" s="1">
        <f>SUM($AT190,$AA190:AB190)-SUM($AV$5:AX$5)*$J190-SUM($AV$6:AX$6)*$K190</f>
        <v>0</v>
      </c>
      <c r="AY190" s="1">
        <f>SUM($AT190,$AA190:AC190)-SUM($AV$5:AY$5)*$J190-SUM($AV$6:AY$6)*$K190</f>
        <v>0</v>
      </c>
      <c r="AZ190" s="1">
        <f>SUM($AT190,$AA190:AD190)-SUM($AV$5:AZ$5)*$J190-SUM($AV$6:AZ$6)*$K190</f>
        <v>-40</v>
      </c>
      <c r="BA190" s="1">
        <f>SUM($AT190,$AA190:AE190)-SUM($AV$5:BA$5)*$J190-SUM($AV$6:BA$6)*$K190</f>
        <v>-80</v>
      </c>
      <c r="BB190" s="1">
        <f>SUM($AT190,$AA190:AF190)-SUM($AV$5:BB$5)*$J190-SUM($AV$6:BB$6)*$K190</f>
        <v>-120</v>
      </c>
      <c r="BC190" s="1">
        <f>SUM($AT190,$AA190:AG190)-SUM($AV$5:BC$5)*$J190-SUM($AV$6:BC$6)*$K190</f>
        <v>-160</v>
      </c>
      <c r="BD190" s="1">
        <f>SUM($AT190,$AA190:AH190)-SUM($AV$5:BD$5)*$J190-SUM($AV$6:BD$6)*$K190</f>
        <v>-200</v>
      </c>
      <c r="BE190" s="1">
        <f>SUM($AT190,$AA190:AI190)-SUM($AV$5:BE$5)*$J190-SUM($AV$6:BE$6)*$K190</f>
        <v>-240</v>
      </c>
      <c r="BF190" s="1">
        <f>SUM($AT190,$AA190:AJ190)-SUM($AV$5:BF$5)*$J190-SUM($AV$6:BF$6)*$K190</f>
        <v>-280</v>
      </c>
      <c r="BG190" s="1">
        <f>SUM($AT190,$AA190:AK190)-SUM($AV$5:BG$5)*$J190-SUM($AV$6:BG$6)*$K190</f>
        <v>-320</v>
      </c>
      <c r="BH190" s="1">
        <f>SUM($AT190,$AA190:AL190)-SUM($AV$5:BH$5)*$J190-SUM($AV$6:BH$6)*$K190</f>
        <v>-360</v>
      </c>
      <c r="BI190" s="1">
        <f>SUM($AT190,$AA190:AM190)-SUM($AV$5:BI$5)*$J190-SUM($AV$6:BI$6)*$K190</f>
        <v>-400</v>
      </c>
      <c r="BJ190" s="1">
        <f>SUM($AT190,$AA190:AN190)-SUM($AV$5:BJ$5)*$J190-SUM($AV$6:BJ$6)*$K190</f>
        <v>-440</v>
      </c>
      <c r="BK190" s="1">
        <f>SUM($AT190,$AA190:AO190)-SUM($AV$5:BK$5)*$J190-SUM($AV$6:BK$6)*$K190</f>
        <v>-480</v>
      </c>
      <c r="BL190" s="1">
        <f>SUM($AT190,$AA190:AP190)-SUM($AV$5:BL$5)*$J190-SUM($AV$6:BL$6)*$K190</f>
        <v>-520</v>
      </c>
      <c r="BM190" s="1">
        <f>SUM($AT190,$AA190:AQ190)-SUM($AV$5:BM$5)*$J190-SUM($AV$6:BM$6)*$K190</f>
        <v>-560</v>
      </c>
      <c r="BN190" s="1">
        <f>SUM($AT190,$AA190:AR190)-SUM($AV$5:BN$5)*$J190-SUM($AV$6:BN$6)*$K190</f>
        <v>-582</v>
      </c>
    </row>
    <row r="191" spans="1:66">
      <c r="A191" s="1">
        <v>210</v>
      </c>
      <c r="B191" s="28" t="s">
        <v>632</v>
      </c>
      <c r="C191" s="1" t="s">
        <v>40</v>
      </c>
      <c r="D191" s="2">
        <v>400658342</v>
      </c>
      <c r="E191" s="3" t="s">
        <v>633</v>
      </c>
      <c r="F191" s="1" t="s">
        <v>634</v>
      </c>
      <c r="G191" s="1" t="s">
        <v>42</v>
      </c>
      <c r="H191" s="1">
        <v>2</v>
      </c>
      <c r="I191" s="1">
        <v>16</v>
      </c>
      <c r="J191" s="1">
        <v>16</v>
      </c>
      <c r="K191" s="1">
        <v>0</v>
      </c>
      <c r="L191" s="1">
        <v>0</v>
      </c>
      <c r="M191" s="1">
        <f t="shared" si="8"/>
        <v>9312</v>
      </c>
      <c r="N191" s="1">
        <f t="shared" si="9"/>
        <v>9312</v>
      </c>
      <c r="O191" s="2" t="s">
        <v>525</v>
      </c>
      <c r="P191" s="1"/>
      <c r="Q191" s="1">
        <v>4.0000000000000001E-3</v>
      </c>
      <c r="R191" s="1" t="s">
        <v>44</v>
      </c>
      <c r="S191" s="30" t="s">
        <v>423</v>
      </c>
      <c r="T191" s="31" t="s">
        <v>238</v>
      </c>
      <c r="U191" s="1"/>
      <c r="V191" s="1">
        <v>5000</v>
      </c>
      <c r="W191" s="1" t="s">
        <v>239</v>
      </c>
      <c r="X191" s="32" t="s">
        <v>240</v>
      </c>
      <c r="Y191" s="1" t="s">
        <v>241</v>
      </c>
      <c r="Z191" s="2" t="s">
        <v>242</v>
      </c>
      <c r="AA191" s="1"/>
      <c r="AB191" s="1"/>
      <c r="AC191" s="1"/>
      <c r="AD191" s="1"/>
      <c r="AE191" s="1"/>
      <c r="AF191" s="1"/>
      <c r="AG191" s="1"/>
      <c r="AH191" s="1"/>
      <c r="AI191" s="1"/>
      <c r="AJ191" s="1"/>
      <c r="AK191" s="1"/>
      <c r="AL191" s="1"/>
      <c r="AM191" s="1"/>
      <c r="AN191" s="1"/>
      <c r="AO191" s="1"/>
      <c r="AP191" s="1"/>
      <c r="AQ191" s="1"/>
      <c r="AR191" s="1"/>
      <c r="AS191" s="1"/>
      <c r="AT191" s="1"/>
      <c r="AU191" s="1"/>
      <c r="AV191" s="1">
        <f>SUM($AT191,Z191:$AA191)-SUM($AV$5:AV$5)*$J191-SUM($AV$6:AV$6)*$K191</f>
        <v>0</v>
      </c>
      <c r="AW191" s="1">
        <f>SUM($AT191,$AA191:AA191)-SUM($AV$5:AW$5)*$J191-SUM($AV$6:AW$6)*$K191</f>
        <v>0</v>
      </c>
      <c r="AX191" s="1">
        <f>SUM($AT191,$AA191:AB191)-SUM($AV$5:AX$5)*$J191-SUM($AV$6:AX$6)*$K191</f>
        <v>0</v>
      </c>
      <c r="AY191" s="1">
        <f>SUM($AT191,$AA191:AC191)-SUM($AV$5:AY$5)*$J191-SUM($AV$6:AY$6)*$K191</f>
        <v>0</v>
      </c>
      <c r="AZ191" s="1">
        <f>SUM($AT191,$AA191:AD191)-SUM($AV$5:AZ$5)*$J191-SUM($AV$6:AZ$6)*$K191</f>
        <v>-640</v>
      </c>
      <c r="BA191" s="1">
        <f>SUM($AT191,$AA191:AE191)-SUM($AV$5:BA$5)*$J191-SUM($AV$6:BA$6)*$K191</f>
        <v>-1280</v>
      </c>
      <c r="BB191" s="1">
        <f>SUM($AT191,$AA191:AF191)-SUM($AV$5:BB$5)*$J191-SUM($AV$6:BB$6)*$K191</f>
        <v>-1920</v>
      </c>
      <c r="BC191" s="1">
        <f>SUM($AT191,$AA191:AG191)-SUM($AV$5:BC$5)*$J191-SUM($AV$6:BC$6)*$K191</f>
        <v>-2560</v>
      </c>
      <c r="BD191" s="1">
        <f>SUM($AT191,$AA191:AH191)-SUM($AV$5:BD$5)*$J191-SUM($AV$6:BD$6)*$K191</f>
        <v>-3200</v>
      </c>
      <c r="BE191" s="1">
        <f>SUM($AT191,$AA191:AI191)-SUM($AV$5:BE$5)*$J191-SUM($AV$6:BE$6)*$K191</f>
        <v>-3840</v>
      </c>
      <c r="BF191" s="1">
        <f>SUM($AT191,$AA191:AJ191)-SUM($AV$5:BF$5)*$J191-SUM($AV$6:BF$6)*$K191</f>
        <v>-4480</v>
      </c>
      <c r="BG191" s="1">
        <f>SUM($AT191,$AA191:AK191)-SUM($AV$5:BG$5)*$J191-SUM($AV$6:BG$6)*$K191</f>
        <v>-5120</v>
      </c>
      <c r="BH191" s="1">
        <f>SUM($AT191,$AA191:AL191)-SUM($AV$5:BH$5)*$J191-SUM($AV$6:BH$6)*$K191</f>
        <v>-5760</v>
      </c>
      <c r="BI191" s="1">
        <f>SUM($AT191,$AA191:AM191)-SUM($AV$5:BI$5)*$J191-SUM($AV$6:BI$6)*$K191</f>
        <v>-6400</v>
      </c>
      <c r="BJ191" s="1">
        <f>SUM($AT191,$AA191:AN191)-SUM($AV$5:BJ$5)*$J191-SUM($AV$6:BJ$6)*$K191</f>
        <v>-7040</v>
      </c>
      <c r="BK191" s="1">
        <f>SUM($AT191,$AA191:AO191)-SUM($AV$5:BK$5)*$J191-SUM($AV$6:BK$6)*$K191</f>
        <v>-7680</v>
      </c>
      <c r="BL191" s="1">
        <f>SUM($AT191,$AA191:AP191)-SUM($AV$5:BL$5)*$J191-SUM($AV$6:BL$6)*$K191</f>
        <v>-8320</v>
      </c>
      <c r="BM191" s="1">
        <f>SUM($AT191,$AA191:AQ191)-SUM($AV$5:BM$5)*$J191-SUM($AV$6:BM$6)*$K191</f>
        <v>-8960</v>
      </c>
      <c r="BN191" s="1">
        <f>SUM($AT191,$AA191:AR191)-SUM($AV$5:BN$5)*$J191-SUM($AV$6:BN$6)*$K191</f>
        <v>-9312</v>
      </c>
    </row>
    <row r="192" spans="1:66">
      <c r="A192" s="1">
        <v>212</v>
      </c>
      <c r="B192" s="28" t="s">
        <v>635</v>
      </c>
      <c r="C192" s="1" t="s">
        <v>40</v>
      </c>
      <c r="D192" s="2">
        <v>401225493</v>
      </c>
      <c r="E192" s="3" t="s">
        <v>636</v>
      </c>
      <c r="F192" s="1" t="s">
        <v>637</v>
      </c>
      <c r="G192" s="1" t="s">
        <v>42</v>
      </c>
      <c r="H192" s="1">
        <v>2</v>
      </c>
      <c r="I192" s="1">
        <v>10</v>
      </c>
      <c r="J192" s="1">
        <v>10</v>
      </c>
      <c r="K192" s="1">
        <v>0</v>
      </c>
      <c r="L192" s="1">
        <v>0</v>
      </c>
      <c r="M192" s="1">
        <f t="shared" si="8"/>
        <v>5820</v>
      </c>
      <c r="N192" s="1">
        <f t="shared" si="9"/>
        <v>5820</v>
      </c>
      <c r="O192" s="2" t="s">
        <v>525</v>
      </c>
      <c r="P192" s="1"/>
      <c r="Q192" s="1">
        <v>4.0000000000000001E-3</v>
      </c>
      <c r="R192" s="1" t="s">
        <v>44</v>
      </c>
      <c r="S192" s="30" t="s">
        <v>423</v>
      </c>
      <c r="T192" s="31" t="s">
        <v>238</v>
      </c>
      <c r="U192" s="1"/>
      <c r="V192" s="1">
        <v>5000</v>
      </c>
      <c r="W192" s="1" t="s">
        <v>239</v>
      </c>
      <c r="X192" s="32" t="s">
        <v>240</v>
      </c>
      <c r="Y192" s="1" t="s">
        <v>241</v>
      </c>
      <c r="Z192" s="2" t="s">
        <v>242</v>
      </c>
      <c r="AA192" s="1"/>
      <c r="AB192" s="1"/>
      <c r="AC192" s="1"/>
      <c r="AD192" s="1"/>
      <c r="AE192" s="1"/>
      <c r="AF192" s="1"/>
      <c r="AG192" s="1"/>
      <c r="AH192" s="1"/>
      <c r="AI192" s="1"/>
      <c r="AJ192" s="1"/>
      <c r="AK192" s="1"/>
      <c r="AL192" s="1"/>
      <c r="AM192" s="1"/>
      <c r="AN192" s="1"/>
      <c r="AO192" s="1"/>
      <c r="AP192" s="1"/>
      <c r="AQ192" s="1"/>
      <c r="AR192" s="1"/>
      <c r="AS192" s="1"/>
      <c r="AT192" s="1"/>
      <c r="AU192" s="1"/>
      <c r="AV192" s="1">
        <f>SUM($AT192,Z192:$AA192)-SUM($AV$5:AV$5)*$J192-SUM($AV$6:AV$6)*$K192</f>
        <v>0</v>
      </c>
      <c r="AW192" s="1">
        <f>SUM($AT192,$AA192:AA192)-SUM($AV$5:AW$5)*$J192-SUM($AV$6:AW$6)*$K192</f>
        <v>0</v>
      </c>
      <c r="AX192" s="1">
        <f>SUM($AT192,$AA192:AB192)-SUM($AV$5:AX$5)*$J192-SUM($AV$6:AX$6)*$K192</f>
        <v>0</v>
      </c>
      <c r="AY192" s="1">
        <f>SUM($AT192,$AA192:AC192)-SUM($AV$5:AY$5)*$J192-SUM($AV$6:AY$6)*$K192</f>
        <v>0</v>
      </c>
      <c r="AZ192" s="1">
        <f>SUM($AT192,$AA192:AD192)-SUM($AV$5:AZ$5)*$J192-SUM($AV$6:AZ$6)*$K192</f>
        <v>-400</v>
      </c>
      <c r="BA192" s="1">
        <f>SUM($AT192,$AA192:AE192)-SUM($AV$5:BA$5)*$J192-SUM($AV$6:BA$6)*$K192</f>
        <v>-800</v>
      </c>
      <c r="BB192" s="1">
        <f>SUM($AT192,$AA192:AF192)-SUM($AV$5:BB$5)*$J192-SUM($AV$6:BB$6)*$K192</f>
        <v>-1200</v>
      </c>
      <c r="BC192" s="1">
        <f>SUM($AT192,$AA192:AG192)-SUM($AV$5:BC$5)*$J192-SUM($AV$6:BC$6)*$K192</f>
        <v>-1600</v>
      </c>
      <c r="BD192" s="1">
        <f>SUM($AT192,$AA192:AH192)-SUM($AV$5:BD$5)*$J192-SUM($AV$6:BD$6)*$K192</f>
        <v>-2000</v>
      </c>
      <c r="BE192" s="1">
        <f>SUM($AT192,$AA192:AI192)-SUM($AV$5:BE$5)*$J192-SUM($AV$6:BE$6)*$K192</f>
        <v>-2400</v>
      </c>
      <c r="BF192" s="1">
        <f>SUM($AT192,$AA192:AJ192)-SUM($AV$5:BF$5)*$J192-SUM($AV$6:BF$6)*$K192</f>
        <v>-2800</v>
      </c>
      <c r="BG192" s="1">
        <f>SUM($AT192,$AA192:AK192)-SUM($AV$5:BG$5)*$J192-SUM($AV$6:BG$6)*$K192</f>
        <v>-3200</v>
      </c>
      <c r="BH192" s="1">
        <f>SUM($AT192,$AA192:AL192)-SUM($AV$5:BH$5)*$J192-SUM($AV$6:BH$6)*$K192</f>
        <v>-3600</v>
      </c>
      <c r="BI192" s="1">
        <f>SUM($AT192,$AA192:AM192)-SUM($AV$5:BI$5)*$J192-SUM($AV$6:BI$6)*$K192</f>
        <v>-4000</v>
      </c>
      <c r="BJ192" s="1">
        <f>SUM($AT192,$AA192:AN192)-SUM($AV$5:BJ$5)*$J192-SUM($AV$6:BJ$6)*$K192</f>
        <v>-4400</v>
      </c>
      <c r="BK192" s="1">
        <f>SUM($AT192,$AA192:AO192)-SUM($AV$5:BK$5)*$J192-SUM($AV$6:BK$6)*$K192</f>
        <v>-4800</v>
      </c>
      <c r="BL192" s="1">
        <f>SUM($AT192,$AA192:AP192)-SUM($AV$5:BL$5)*$J192-SUM($AV$6:BL$6)*$K192</f>
        <v>-5200</v>
      </c>
      <c r="BM192" s="1">
        <f>SUM($AT192,$AA192:AQ192)-SUM($AV$5:BM$5)*$J192-SUM($AV$6:BM$6)*$K192</f>
        <v>-5600</v>
      </c>
      <c r="BN192" s="1">
        <f>SUM($AT192,$AA192:AR192)-SUM($AV$5:BN$5)*$J192-SUM($AV$6:BN$6)*$K192</f>
        <v>-5820</v>
      </c>
    </row>
    <row r="193" spans="1:66">
      <c r="A193" s="1">
        <v>213</v>
      </c>
      <c r="B193" s="28" t="s">
        <v>638</v>
      </c>
      <c r="C193" s="1" t="s">
        <v>40</v>
      </c>
      <c r="D193" s="2">
        <v>401007782</v>
      </c>
      <c r="E193" s="3" t="s">
        <v>639</v>
      </c>
      <c r="F193" s="1" t="s">
        <v>640</v>
      </c>
      <c r="G193" s="1" t="s">
        <v>42</v>
      </c>
      <c r="H193" s="1">
        <v>2</v>
      </c>
      <c r="I193" s="1">
        <v>1</v>
      </c>
      <c r="J193" s="1">
        <v>1</v>
      </c>
      <c r="K193" s="1">
        <v>0</v>
      </c>
      <c r="L193" s="1">
        <v>0</v>
      </c>
      <c r="M193" s="1">
        <f t="shared" si="8"/>
        <v>582</v>
      </c>
      <c r="N193" s="1">
        <f t="shared" si="9"/>
        <v>582</v>
      </c>
      <c r="O193" s="2" t="s">
        <v>525</v>
      </c>
      <c r="P193" s="1"/>
      <c r="Q193" s="1">
        <v>4.0000000000000001E-3</v>
      </c>
      <c r="R193" s="1" t="s">
        <v>44</v>
      </c>
      <c r="S193" s="30" t="s">
        <v>423</v>
      </c>
      <c r="T193" s="31" t="s">
        <v>238</v>
      </c>
      <c r="U193" s="1"/>
      <c r="V193" s="1">
        <v>5000</v>
      </c>
      <c r="W193" s="1" t="s">
        <v>239</v>
      </c>
      <c r="X193" s="32" t="s">
        <v>240</v>
      </c>
      <c r="Y193" s="1" t="s">
        <v>241</v>
      </c>
      <c r="Z193" s="2" t="s">
        <v>242</v>
      </c>
      <c r="AA193" s="1"/>
      <c r="AB193" s="1"/>
      <c r="AC193" s="1"/>
      <c r="AD193" s="1"/>
      <c r="AE193" s="1"/>
      <c r="AF193" s="1"/>
      <c r="AG193" s="1"/>
      <c r="AH193" s="1"/>
      <c r="AI193" s="1"/>
      <c r="AJ193" s="1"/>
      <c r="AK193" s="1"/>
      <c r="AL193" s="1"/>
      <c r="AM193" s="1"/>
      <c r="AN193" s="1"/>
      <c r="AO193" s="1"/>
      <c r="AP193" s="1"/>
      <c r="AQ193" s="1"/>
      <c r="AR193" s="1"/>
      <c r="AS193" s="1"/>
      <c r="AT193" s="1"/>
      <c r="AU193" s="1"/>
      <c r="AV193" s="1">
        <f>SUM($AT193,Z193:$AA193)-SUM($AV$5:AV$5)*$J193-SUM($AV$6:AV$6)*$K193</f>
        <v>0</v>
      </c>
      <c r="AW193" s="1">
        <f>SUM($AT193,$AA193:AA193)-SUM($AV$5:AW$5)*$J193-SUM($AV$6:AW$6)*$K193</f>
        <v>0</v>
      </c>
      <c r="AX193" s="1">
        <f>SUM($AT193,$AA193:AB193)-SUM($AV$5:AX$5)*$J193-SUM($AV$6:AX$6)*$K193</f>
        <v>0</v>
      </c>
      <c r="AY193" s="1">
        <f>SUM($AT193,$AA193:AC193)-SUM($AV$5:AY$5)*$J193-SUM($AV$6:AY$6)*$K193</f>
        <v>0</v>
      </c>
      <c r="AZ193" s="1">
        <f>SUM($AT193,$AA193:AD193)-SUM($AV$5:AZ$5)*$J193-SUM($AV$6:AZ$6)*$K193</f>
        <v>-40</v>
      </c>
      <c r="BA193" s="1">
        <f>SUM($AT193,$AA193:AE193)-SUM($AV$5:BA$5)*$J193-SUM($AV$6:BA$6)*$K193</f>
        <v>-80</v>
      </c>
      <c r="BB193" s="1">
        <f>SUM($AT193,$AA193:AF193)-SUM($AV$5:BB$5)*$J193-SUM($AV$6:BB$6)*$K193</f>
        <v>-120</v>
      </c>
      <c r="BC193" s="1">
        <f>SUM($AT193,$AA193:AG193)-SUM($AV$5:BC$5)*$J193-SUM($AV$6:BC$6)*$K193</f>
        <v>-160</v>
      </c>
      <c r="BD193" s="1">
        <f>SUM($AT193,$AA193:AH193)-SUM($AV$5:BD$5)*$J193-SUM($AV$6:BD$6)*$K193</f>
        <v>-200</v>
      </c>
      <c r="BE193" s="1">
        <f>SUM($AT193,$AA193:AI193)-SUM($AV$5:BE$5)*$J193-SUM($AV$6:BE$6)*$K193</f>
        <v>-240</v>
      </c>
      <c r="BF193" s="1">
        <f>SUM($AT193,$AA193:AJ193)-SUM($AV$5:BF$5)*$J193-SUM($AV$6:BF$6)*$K193</f>
        <v>-280</v>
      </c>
      <c r="BG193" s="1">
        <f>SUM($AT193,$AA193:AK193)-SUM($AV$5:BG$5)*$J193-SUM($AV$6:BG$6)*$K193</f>
        <v>-320</v>
      </c>
      <c r="BH193" s="1">
        <f>SUM($AT193,$AA193:AL193)-SUM($AV$5:BH$5)*$J193-SUM($AV$6:BH$6)*$K193</f>
        <v>-360</v>
      </c>
      <c r="BI193" s="1">
        <f>SUM($AT193,$AA193:AM193)-SUM($AV$5:BI$5)*$J193-SUM($AV$6:BI$6)*$K193</f>
        <v>-400</v>
      </c>
      <c r="BJ193" s="1">
        <f>SUM($AT193,$AA193:AN193)-SUM($AV$5:BJ$5)*$J193-SUM($AV$6:BJ$6)*$K193</f>
        <v>-440</v>
      </c>
      <c r="BK193" s="1">
        <f>SUM($AT193,$AA193:AO193)-SUM($AV$5:BK$5)*$J193-SUM($AV$6:BK$6)*$K193</f>
        <v>-480</v>
      </c>
      <c r="BL193" s="1">
        <f>SUM($AT193,$AA193:AP193)-SUM($AV$5:BL$5)*$J193-SUM($AV$6:BL$6)*$K193</f>
        <v>-520</v>
      </c>
      <c r="BM193" s="1">
        <f>SUM($AT193,$AA193:AQ193)-SUM($AV$5:BM$5)*$J193-SUM($AV$6:BM$6)*$K193</f>
        <v>-560</v>
      </c>
      <c r="BN193" s="1">
        <f>SUM($AT193,$AA193:AR193)-SUM($AV$5:BN$5)*$J193-SUM($AV$6:BN$6)*$K193</f>
        <v>-582</v>
      </c>
    </row>
    <row r="194" spans="1:66">
      <c r="A194" s="1">
        <v>214</v>
      </c>
      <c r="B194" s="28" t="s">
        <v>641</v>
      </c>
      <c r="C194" s="1" t="s">
        <v>40</v>
      </c>
      <c r="D194" s="2">
        <v>401459280</v>
      </c>
      <c r="E194" s="3" t="s">
        <v>642</v>
      </c>
      <c r="F194" s="1" t="s">
        <v>643</v>
      </c>
      <c r="G194" s="1" t="s">
        <v>42</v>
      </c>
      <c r="H194" s="1">
        <v>2</v>
      </c>
      <c r="I194" s="1">
        <v>19</v>
      </c>
      <c r="J194" s="1">
        <v>19</v>
      </c>
      <c r="K194" s="1">
        <v>0</v>
      </c>
      <c r="L194" s="1">
        <v>0</v>
      </c>
      <c r="M194" s="1">
        <f t="shared" si="8"/>
        <v>11058</v>
      </c>
      <c r="N194" s="1">
        <f t="shared" si="9"/>
        <v>11058</v>
      </c>
      <c r="O194" s="2" t="s">
        <v>525</v>
      </c>
      <c r="P194" s="1"/>
      <c r="Q194" s="1">
        <v>4.0000000000000001E-3</v>
      </c>
      <c r="R194" s="1" t="s">
        <v>44</v>
      </c>
      <c r="S194" s="30" t="s">
        <v>423</v>
      </c>
      <c r="T194" s="31" t="s">
        <v>238</v>
      </c>
      <c r="U194" s="1"/>
      <c r="V194" s="1">
        <v>5000</v>
      </c>
      <c r="W194" s="1" t="s">
        <v>239</v>
      </c>
      <c r="X194" s="32" t="s">
        <v>240</v>
      </c>
      <c r="Y194" s="1" t="s">
        <v>241</v>
      </c>
      <c r="Z194" s="2" t="s">
        <v>242</v>
      </c>
      <c r="AA194" s="1"/>
      <c r="AB194" s="1"/>
      <c r="AC194" s="1"/>
      <c r="AD194" s="1"/>
      <c r="AE194" s="1"/>
      <c r="AF194" s="1"/>
      <c r="AG194" s="1"/>
      <c r="AH194" s="1"/>
      <c r="AI194" s="1"/>
      <c r="AJ194" s="1"/>
      <c r="AK194" s="1"/>
      <c r="AL194" s="1"/>
      <c r="AM194" s="1"/>
      <c r="AN194" s="1"/>
      <c r="AO194" s="1"/>
      <c r="AP194" s="1"/>
      <c r="AQ194" s="1"/>
      <c r="AR194" s="1"/>
      <c r="AS194" s="1"/>
      <c r="AT194" s="1"/>
      <c r="AU194" s="1"/>
      <c r="AV194" s="1">
        <f>SUM($AT194,Z194:$AA194)-SUM($AV$5:AV$5)*$J194-SUM($AV$6:AV$6)*$K194</f>
        <v>0</v>
      </c>
      <c r="AW194" s="1">
        <f>SUM($AT194,$AA194:AA194)-SUM($AV$5:AW$5)*$J194-SUM($AV$6:AW$6)*$K194</f>
        <v>0</v>
      </c>
      <c r="AX194" s="1">
        <f>SUM($AT194,$AA194:AB194)-SUM($AV$5:AX$5)*$J194-SUM($AV$6:AX$6)*$K194</f>
        <v>0</v>
      </c>
      <c r="AY194" s="1">
        <f>SUM($AT194,$AA194:AC194)-SUM($AV$5:AY$5)*$J194-SUM($AV$6:AY$6)*$K194</f>
        <v>0</v>
      </c>
      <c r="AZ194" s="1">
        <f>SUM($AT194,$AA194:AD194)-SUM($AV$5:AZ$5)*$J194-SUM($AV$6:AZ$6)*$K194</f>
        <v>-760</v>
      </c>
      <c r="BA194" s="1">
        <f>SUM($AT194,$AA194:AE194)-SUM($AV$5:BA$5)*$J194-SUM($AV$6:BA$6)*$K194</f>
        <v>-1520</v>
      </c>
      <c r="BB194" s="1">
        <f>SUM($AT194,$AA194:AF194)-SUM($AV$5:BB$5)*$J194-SUM($AV$6:BB$6)*$K194</f>
        <v>-2280</v>
      </c>
      <c r="BC194" s="1">
        <f>SUM($AT194,$AA194:AG194)-SUM($AV$5:BC$5)*$J194-SUM($AV$6:BC$6)*$K194</f>
        <v>-3040</v>
      </c>
      <c r="BD194" s="1">
        <f>SUM($AT194,$AA194:AH194)-SUM($AV$5:BD$5)*$J194-SUM($AV$6:BD$6)*$K194</f>
        <v>-3800</v>
      </c>
      <c r="BE194" s="1">
        <f>SUM($AT194,$AA194:AI194)-SUM($AV$5:BE$5)*$J194-SUM($AV$6:BE$6)*$K194</f>
        <v>-4560</v>
      </c>
      <c r="BF194" s="1">
        <f>SUM($AT194,$AA194:AJ194)-SUM($AV$5:BF$5)*$J194-SUM($AV$6:BF$6)*$K194</f>
        <v>-5320</v>
      </c>
      <c r="BG194" s="1">
        <f>SUM($AT194,$AA194:AK194)-SUM($AV$5:BG$5)*$J194-SUM($AV$6:BG$6)*$K194</f>
        <v>-6080</v>
      </c>
      <c r="BH194" s="1">
        <f>SUM($AT194,$AA194:AL194)-SUM($AV$5:BH$5)*$J194-SUM($AV$6:BH$6)*$K194</f>
        <v>-6840</v>
      </c>
      <c r="BI194" s="1">
        <f>SUM($AT194,$AA194:AM194)-SUM($AV$5:BI$5)*$J194-SUM($AV$6:BI$6)*$K194</f>
        <v>-7600</v>
      </c>
      <c r="BJ194" s="1">
        <f>SUM($AT194,$AA194:AN194)-SUM($AV$5:BJ$5)*$J194-SUM($AV$6:BJ$6)*$K194</f>
        <v>-8360</v>
      </c>
      <c r="BK194" s="1">
        <f>SUM($AT194,$AA194:AO194)-SUM($AV$5:BK$5)*$J194-SUM($AV$6:BK$6)*$K194</f>
        <v>-9120</v>
      </c>
      <c r="BL194" s="1">
        <f>SUM($AT194,$AA194:AP194)-SUM($AV$5:BL$5)*$J194-SUM($AV$6:BL$6)*$K194</f>
        <v>-9880</v>
      </c>
      <c r="BM194" s="1">
        <f>SUM($AT194,$AA194:AQ194)-SUM($AV$5:BM$5)*$J194-SUM($AV$6:BM$6)*$K194</f>
        <v>-10640</v>
      </c>
      <c r="BN194" s="1">
        <f>SUM($AT194,$AA194:AR194)-SUM($AV$5:BN$5)*$J194-SUM($AV$6:BN$6)*$K194</f>
        <v>-11058</v>
      </c>
    </row>
    <row r="195" spans="1:66">
      <c r="A195" s="1">
        <v>215</v>
      </c>
      <c r="B195" s="28" t="s">
        <v>644</v>
      </c>
      <c r="C195" s="1" t="s">
        <v>40</v>
      </c>
      <c r="D195" s="2">
        <v>401470548</v>
      </c>
      <c r="E195" s="3" t="s">
        <v>645</v>
      </c>
      <c r="F195" s="1" t="s">
        <v>646</v>
      </c>
      <c r="G195" s="1" t="s">
        <v>42</v>
      </c>
      <c r="H195" s="1">
        <v>2</v>
      </c>
      <c r="I195" s="1">
        <v>13</v>
      </c>
      <c r="J195" s="1">
        <v>9</v>
      </c>
      <c r="K195" s="1">
        <v>0</v>
      </c>
      <c r="L195" s="1">
        <v>4</v>
      </c>
      <c r="M195" s="1">
        <f t="shared" si="8"/>
        <v>6342</v>
      </c>
      <c r="N195" s="1">
        <f t="shared" si="9"/>
        <v>6342</v>
      </c>
      <c r="O195" s="2" t="s">
        <v>525</v>
      </c>
      <c r="P195" s="1"/>
      <c r="Q195" s="1">
        <v>4.0000000000000001E-3</v>
      </c>
      <c r="R195" s="1" t="s">
        <v>44</v>
      </c>
      <c r="S195" s="30" t="s">
        <v>423</v>
      </c>
      <c r="T195" s="31" t="s">
        <v>238</v>
      </c>
      <c r="U195" s="1"/>
      <c r="V195" s="1">
        <v>5000</v>
      </c>
      <c r="W195" s="1" t="s">
        <v>239</v>
      </c>
      <c r="X195" s="32" t="s">
        <v>240</v>
      </c>
      <c r="Y195" s="1" t="s">
        <v>241</v>
      </c>
      <c r="Z195" s="2" t="s">
        <v>242</v>
      </c>
      <c r="AA195" s="1"/>
      <c r="AB195" s="1"/>
      <c r="AC195" s="1"/>
      <c r="AD195" s="1"/>
      <c r="AE195" s="1"/>
      <c r="AF195" s="1"/>
      <c r="AG195" s="1"/>
      <c r="AH195" s="1"/>
      <c r="AI195" s="1"/>
      <c r="AJ195" s="1"/>
      <c r="AK195" s="1"/>
      <c r="AL195" s="1"/>
      <c r="AM195" s="1"/>
      <c r="AN195" s="1"/>
      <c r="AO195" s="1"/>
      <c r="AP195" s="1"/>
      <c r="AQ195" s="1"/>
      <c r="AR195" s="1"/>
      <c r="AS195" s="1"/>
      <c r="AT195" s="1"/>
      <c r="AU195" s="1"/>
      <c r="AV195" s="1">
        <f>SUM($AT195,Z195:$AA195)-SUM($AV$5:AV$5)*$J195-SUM($AV$6:AV$6)*$K195</f>
        <v>0</v>
      </c>
      <c r="AW195" s="1">
        <f>SUM($AT195,$AA195:AA195)-SUM($AV$5:AW$5)*$J195-SUM($AV$6:AW$6)*$K195</f>
        <v>0</v>
      </c>
      <c r="AX195" s="1">
        <f>SUM($AT195,$AA195:AB195)-SUM($AV$5:AX$5)*$J195-SUM($AV$6:AX$6)*$K195</f>
        <v>0</v>
      </c>
      <c r="AY195" s="1">
        <f>SUM($AT195,$AA195:AC195)-SUM($AV$5:AY$5)*$J195-SUM($AV$6:AY$6)*$K195</f>
        <v>0</v>
      </c>
      <c r="AZ195" s="1">
        <f>SUM($AT195,$AA195:AD195)-SUM($AV$5:AZ$5)*$J195-SUM($AV$6:AZ$6)*$K195</f>
        <v>-360</v>
      </c>
      <c r="BA195" s="1">
        <f>SUM($AT195,$AA195:AE195)-SUM($AV$5:BA$5)*$J195-SUM($AV$6:BA$6)*$K195</f>
        <v>-720</v>
      </c>
      <c r="BB195" s="1">
        <f>SUM($AT195,$AA195:AF195)-SUM($AV$5:BB$5)*$J195-SUM($AV$6:BB$6)*$K195</f>
        <v>-1080</v>
      </c>
      <c r="BC195" s="1">
        <f>SUM($AT195,$AA195:AG195)-SUM($AV$5:BC$5)*$J195-SUM($AV$6:BC$6)*$K195</f>
        <v>-1440</v>
      </c>
      <c r="BD195" s="1">
        <f>SUM($AT195,$AA195:AH195)-SUM($AV$5:BD$5)*$J195-SUM($AV$6:BD$6)*$K195</f>
        <v>-1800</v>
      </c>
      <c r="BE195" s="1">
        <f>SUM($AT195,$AA195:AI195)-SUM($AV$5:BE$5)*$J195-SUM($AV$6:BE$6)*$K195</f>
        <v>-2160</v>
      </c>
      <c r="BF195" s="1">
        <f>SUM($AT195,$AA195:AJ195)-SUM($AV$5:BF$5)*$J195-SUM($AV$6:BF$6)*$K195</f>
        <v>-2520</v>
      </c>
      <c r="BG195" s="1">
        <f>SUM($AT195,$AA195:AK195)-SUM($AV$5:BG$5)*$J195-SUM($AV$6:BG$6)*$K195</f>
        <v>-2880</v>
      </c>
      <c r="BH195" s="1">
        <f>SUM($AT195,$AA195:AL195)-SUM($AV$5:BH$5)*$J195-SUM($AV$6:BH$6)*$K195</f>
        <v>-3240</v>
      </c>
      <c r="BI195" s="1">
        <f>SUM($AT195,$AA195:AM195)-SUM($AV$5:BI$5)*$J195-SUM($AV$6:BI$6)*$K195</f>
        <v>-3600</v>
      </c>
      <c r="BJ195" s="1">
        <f>SUM($AT195,$AA195:AN195)-SUM($AV$5:BJ$5)*$J195-SUM($AV$6:BJ$6)*$K195</f>
        <v>-3960</v>
      </c>
      <c r="BK195" s="1">
        <f>SUM($AT195,$AA195:AO195)-SUM($AV$5:BK$5)*$J195-SUM($AV$6:BK$6)*$K195</f>
        <v>-4320</v>
      </c>
      <c r="BL195" s="1">
        <f>SUM($AT195,$AA195:AP195)-SUM($AV$5:BL$5)*$J195-SUM($AV$6:BL$6)*$K195</f>
        <v>-4680</v>
      </c>
      <c r="BM195" s="1">
        <f>SUM($AT195,$AA195:AQ195)-SUM($AV$5:BM$5)*$J195-SUM($AV$6:BM$6)*$K195</f>
        <v>-5040</v>
      </c>
      <c r="BN195" s="1">
        <f>SUM($AT195,$AA195:AR195)-SUM($AV$5:BN$5)*$J195-SUM($AV$6:BN$6)*$K195</f>
        <v>-5238</v>
      </c>
    </row>
    <row r="196" spans="1:66">
      <c r="A196" s="1">
        <v>216</v>
      </c>
      <c r="B196" s="28" t="s">
        <v>647</v>
      </c>
      <c r="C196" s="1" t="s">
        <v>40</v>
      </c>
      <c r="D196" s="2">
        <v>401236806</v>
      </c>
      <c r="E196" s="3" t="s">
        <v>648</v>
      </c>
      <c r="F196" s="1" t="s">
        <v>649</v>
      </c>
      <c r="G196" s="1" t="s">
        <v>42</v>
      </c>
      <c r="H196" s="1">
        <v>2</v>
      </c>
      <c r="I196" s="1">
        <v>2</v>
      </c>
      <c r="J196" s="1">
        <v>2</v>
      </c>
      <c r="K196" s="1">
        <v>0</v>
      </c>
      <c r="L196" s="1">
        <v>0</v>
      </c>
      <c r="M196" s="1">
        <f t="shared" si="8"/>
        <v>1164</v>
      </c>
      <c r="N196" s="1">
        <f t="shared" si="9"/>
        <v>1164</v>
      </c>
      <c r="O196" s="2" t="s">
        <v>525</v>
      </c>
      <c r="P196" s="1"/>
      <c r="Q196" s="1">
        <v>4.0000000000000001E-3</v>
      </c>
      <c r="R196" s="1" t="s">
        <v>44</v>
      </c>
      <c r="S196" s="30" t="s">
        <v>423</v>
      </c>
      <c r="T196" s="31" t="s">
        <v>238</v>
      </c>
      <c r="U196" s="1"/>
      <c r="V196" s="1">
        <v>5000</v>
      </c>
      <c r="W196" s="1" t="s">
        <v>239</v>
      </c>
      <c r="X196" s="32" t="s">
        <v>240</v>
      </c>
      <c r="Y196" s="1" t="s">
        <v>241</v>
      </c>
      <c r="Z196" s="2" t="s">
        <v>242</v>
      </c>
      <c r="AA196" s="1"/>
      <c r="AB196" s="1"/>
      <c r="AC196" s="1"/>
      <c r="AD196" s="1"/>
      <c r="AE196" s="1"/>
      <c r="AF196" s="1"/>
      <c r="AG196" s="1"/>
      <c r="AH196" s="1"/>
      <c r="AI196" s="1"/>
      <c r="AJ196" s="1"/>
      <c r="AK196" s="1"/>
      <c r="AL196" s="1"/>
      <c r="AM196" s="1"/>
      <c r="AN196" s="1"/>
      <c r="AO196" s="1"/>
      <c r="AP196" s="1"/>
      <c r="AQ196" s="1"/>
      <c r="AR196" s="1"/>
      <c r="AS196" s="1"/>
      <c r="AT196" s="1"/>
      <c r="AU196" s="1"/>
      <c r="AV196" s="1">
        <f>SUM($AT196,Z196:$AA196)-SUM($AV$5:AV$5)*$J196-SUM($AV$6:AV$6)*$K196</f>
        <v>0</v>
      </c>
      <c r="AW196" s="1">
        <f>SUM($AT196,$AA196:AA196)-SUM($AV$5:AW$5)*$J196-SUM($AV$6:AW$6)*$K196</f>
        <v>0</v>
      </c>
      <c r="AX196" s="1">
        <f>SUM($AT196,$AA196:AB196)-SUM($AV$5:AX$5)*$J196-SUM($AV$6:AX$6)*$K196</f>
        <v>0</v>
      </c>
      <c r="AY196" s="1">
        <f>SUM($AT196,$AA196:AC196)-SUM($AV$5:AY$5)*$J196-SUM($AV$6:AY$6)*$K196</f>
        <v>0</v>
      </c>
      <c r="AZ196" s="1">
        <f>SUM($AT196,$AA196:AD196)-SUM($AV$5:AZ$5)*$J196-SUM($AV$6:AZ$6)*$K196</f>
        <v>-80</v>
      </c>
      <c r="BA196" s="1">
        <f>SUM($AT196,$AA196:AE196)-SUM($AV$5:BA$5)*$J196-SUM($AV$6:BA$6)*$K196</f>
        <v>-160</v>
      </c>
      <c r="BB196" s="1">
        <f>SUM($AT196,$AA196:AF196)-SUM($AV$5:BB$5)*$J196-SUM($AV$6:BB$6)*$K196</f>
        <v>-240</v>
      </c>
      <c r="BC196" s="1">
        <f>SUM($AT196,$AA196:AG196)-SUM($AV$5:BC$5)*$J196-SUM($AV$6:BC$6)*$K196</f>
        <v>-320</v>
      </c>
      <c r="BD196" s="1">
        <f>SUM($AT196,$AA196:AH196)-SUM($AV$5:BD$5)*$J196-SUM($AV$6:BD$6)*$K196</f>
        <v>-400</v>
      </c>
      <c r="BE196" s="1">
        <f>SUM($AT196,$AA196:AI196)-SUM($AV$5:BE$5)*$J196-SUM($AV$6:BE$6)*$K196</f>
        <v>-480</v>
      </c>
      <c r="BF196" s="1">
        <f>SUM($AT196,$AA196:AJ196)-SUM($AV$5:BF$5)*$J196-SUM($AV$6:BF$6)*$K196</f>
        <v>-560</v>
      </c>
      <c r="BG196" s="1">
        <f>SUM($AT196,$AA196:AK196)-SUM($AV$5:BG$5)*$J196-SUM($AV$6:BG$6)*$K196</f>
        <v>-640</v>
      </c>
      <c r="BH196" s="1">
        <f>SUM($AT196,$AA196:AL196)-SUM($AV$5:BH$5)*$J196-SUM($AV$6:BH$6)*$K196</f>
        <v>-720</v>
      </c>
      <c r="BI196" s="1">
        <f>SUM($AT196,$AA196:AM196)-SUM($AV$5:BI$5)*$J196-SUM($AV$6:BI$6)*$K196</f>
        <v>-800</v>
      </c>
      <c r="BJ196" s="1">
        <f>SUM($AT196,$AA196:AN196)-SUM($AV$5:BJ$5)*$J196-SUM($AV$6:BJ$6)*$K196</f>
        <v>-880</v>
      </c>
      <c r="BK196" s="1">
        <f>SUM($AT196,$AA196:AO196)-SUM($AV$5:BK$5)*$J196-SUM($AV$6:BK$6)*$K196</f>
        <v>-960</v>
      </c>
      <c r="BL196" s="1">
        <f>SUM($AT196,$AA196:AP196)-SUM($AV$5:BL$5)*$J196-SUM($AV$6:BL$6)*$K196</f>
        <v>-1040</v>
      </c>
      <c r="BM196" s="1">
        <f>SUM($AT196,$AA196:AQ196)-SUM($AV$5:BM$5)*$J196-SUM($AV$6:BM$6)*$K196</f>
        <v>-1120</v>
      </c>
      <c r="BN196" s="1">
        <f>SUM($AT196,$AA196:AR196)-SUM($AV$5:BN$5)*$J196-SUM($AV$6:BN$6)*$K196</f>
        <v>-1164</v>
      </c>
    </row>
    <row r="197" spans="1:66">
      <c r="A197" s="1">
        <v>201</v>
      </c>
      <c r="B197" s="28" t="s">
        <v>650</v>
      </c>
      <c r="C197" s="1" t="s">
        <v>40</v>
      </c>
      <c r="D197" s="2">
        <v>401235096</v>
      </c>
      <c r="E197" s="3" t="s">
        <v>651</v>
      </c>
      <c r="F197" s="1" t="s">
        <v>652</v>
      </c>
      <c r="G197" s="1" t="s">
        <v>42</v>
      </c>
      <c r="H197" s="1">
        <v>2</v>
      </c>
      <c r="I197" s="1">
        <v>3</v>
      </c>
      <c r="J197" s="1">
        <v>0</v>
      </c>
      <c r="K197" s="1">
        <v>0</v>
      </c>
      <c r="L197" s="1">
        <v>3</v>
      </c>
      <c r="M197" s="1">
        <f t="shared" si="8"/>
        <v>828</v>
      </c>
      <c r="N197" s="1">
        <f t="shared" si="9"/>
        <v>828</v>
      </c>
      <c r="O197" s="2" t="s">
        <v>525</v>
      </c>
      <c r="P197" s="1"/>
      <c r="Q197" s="1">
        <v>4.0000000000000001E-3</v>
      </c>
      <c r="R197" s="1" t="s">
        <v>44</v>
      </c>
      <c r="S197" s="30" t="s">
        <v>423</v>
      </c>
      <c r="T197" s="31" t="s">
        <v>238</v>
      </c>
      <c r="U197" s="1"/>
      <c r="V197" s="1">
        <v>5000</v>
      </c>
      <c r="W197" s="1" t="s">
        <v>239</v>
      </c>
      <c r="X197" s="32" t="s">
        <v>286</v>
      </c>
      <c r="Y197" s="1" t="s">
        <v>241</v>
      </c>
      <c r="Z197" s="2" t="s">
        <v>242</v>
      </c>
      <c r="AA197" s="1"/>
      <c r="AB197" s="1"/>
      <c r="AC197" s="1"/>
      <c r="AD197" s="1"/>
      <c r="AE197" s="1"/>
      <c r="AF197" s="1"/>
      <c r="AG197" s="1"/>
      <c r="AH197" s="1"/>
      <c r="AI197" s="1"/>
      <c r="AJ197" s="1"/>
      <c r="AK197" s="1"/>
      <c r="AL197" s="1"/>
      <c r="AM197" s="1"/>
      <c r="AN197" s="1"/>
      <c r="AO197" s="1"/>
      <c r="AP197" s="1"/>
      <c r="AQ197" s="1"/>
      <c r="AR197" s="1"/>
      <c r="AS197" s="1"/>
      <c r="AT197" s="1"/>
      <c r="AU197" s="1"/>
      <c r="AV197" s="1">
        <f>SUM($AT197,Z197:$AA197)-SUM($AV$5:AV$5)*$J197-SUM($AV$6:AV$6)*$K197</f>
        <v>0</v>
      </c>
      <c r="AW197" s="1">
        <f>SUM($AT197,$AA197:AA197)-SUM($AV$5:AW$5)*$J197-SUM($AV$6:AW$6)*$K197</f>
        <v>0</v>
      </c>
      <c r="AX197" s="1">
        <f>SUM($AT197,$AA197:AB197)-SUM($AV$5:AX$5)*$J197-SUM($AV$6:AX$6)*$K197</f>
        <v>0</v>
      </c>
      <c r="AY197" s="1">
        <f>SUM($AT197,$AA197:AC197)-SUM($AV$5:AY$5)*$J197-SUM($AV$6:AY$6)*$K197</f>
        <v>0</v>
      </c>
      <c r="AZ197" s="1">
        <f>SUM($AT197,$AA197:AD197)-SUM($AV$5:AZ$5)*$J197-SUM($AV$6:AZ$6)*$K197</f>
        <v>0</v>
      </c>
      <c r="BA197" s="1">
        <f>SUM($AT197,$AA197:AE197)-SUM($AV$5:BA$5)*$J197-SUM($AV$6:BA$6)*$K197</f>
        <v>0</v>
      </c>
      <c r="BB197" s="1">
        <f>SUM($AT197,$AA197:AF197)-SUM($AV$5:BB$5)*$J197-SUM($AV$6:BB$6)*$K197</f>
        <v>0</v>
      </c>
      <c r="BC197" s="1">
        <f>SUM($AT197,$AA197:AG197)-SUM($AV$5:BC$5)*$J197-SUM($AV$6:BC$6)*$K197</f>
        <v>0</v>
      </c>
      <c r="BD197" s="1">
        <f>SUM($AT197,$AA197:AH197)-SUM($AV$5:BD$5)*$J197-SUM($AV$6:BD$6)*$K197</f>
        <v>0</v>
      </c>
      <c r="BE197" s="1">
        <f>SUM($AT197,$AA197:AI197)-SUM($AV$5:BE$5)*$J197-SUM($AV$6:BE$6)*$K197</f>
        <v>0</v>
      </c>
      <c r="BF197" s="1">
        <f>SUM($AT197,$AA197:AJ197)-SUM($AV$5:BF$5)*$J197-SUM($AV$6:BF$6)*$K197</f>
        <v>0</v>
      </c>
      <c r="BG197" s="1">
        <f>SUM($AT197,$AA197:AK197)-SUM($AV$5:BG$5)*$J197-SUM($AV$6:BG$6)*$K197</f>
        <v>0</v>
      </c>
      <c r="BH197" s="1">
        <f>SUM($AT197,$AA197:AL197)-SUM($AV$5:BH$5)*$J197-SUM($AV$6:BH$6)*$K197</f>
        <v>0</v>
      </c>
      <c r="BI197" s="1">
        <f>SUM($AT197,$AA197:AM197)-SUM($AV$5:BI$5)*$J197-SUM($AV$6:BI$6)*$K197</f>
        <v>0</v>
      </c>
      <c r="BJ197" s="1">
        <f>SUM($AT197,$AA197:AN197)-SUM($AV$5:BJ$5)*$J197-SUM($AV$6:BJ$6)*$K197</f>
        <v>0</v>
      </c>
      <c r="BK197" s="1">
        <f>SUM($AT197,$AA197:AO197)-SUM($AV$5:BK$5)*$J197-SUM($AV$6:BK$6)*$K197</f>
        <v>0</v>
      </c>
      <c r="BL197" s="1">
        <f>SUM($AT197,$AA197:AP197)-SUM($AV$5:BL$5)*$J197-SUM($AV$6:BL$6)*$K197</f>
        <v>0</v>
      </c>
      <c r="BM197" s="1">
        <f>SUM($AT197,$AA197:AQ197)-SUM($AV$5:BM$5)*$J197-SUM($AV$6:BM$6)*$K197</f>
        <v>0</v>
      </c>
      <c r="BN197" s="1">
        <f>SUM($AT197,$AA197:AR197)-SUM($AV$5:BN$5)*$J197-SUM($AV$6:BN$6)*$K197</f>
        <v>0</v>
      </c>
    </row>
    <row r="198" spans="1:66">
      <c r="A198" s="1">
        <v>202</v>
      </c>
      <c r="B198" s="28" t="s">
        <v>653</v>
      </c>
      <c r="C198" s="1" t="s">
        <v>40</v>
      </c>
      <c r="D198" s="2">
        <v>400700883</v>
      </c>
      <c r="E198" s="3" t="s">
        <v>654</v>
      </c>
      <c r="F198" s="1" t="s">
        <v>655</v>
      </c>
      <c r="G198" s="1" t="s">
        <v>42</v>
      </c>
      <c r="H198" s="1">
        <v>2</v>
      </c>
      <c r="I198" s="1">
        <v>5</v>
      </c>
      <c r="J198" s="1">
        <v>0</v>
      </c>
      <c r="K198" s="1">
        <v>0</v>
      </c>
      <c r="L198" s="1">
        <v>5</v>
      </c>
      <c r="M198" s="1">
        <f t="shared" si="8"/>
        <v>1380</v>
      </c>
      <c r="N198" s="1">
        <f t="shared" si="9"/>
        <v>1380</v>
      </c>
      <c r="O198" s="2" t="s">
        <v>525</v>
      </c>
      <c r="P198" s="1"/>
      <c r="Q198" s="1">
        <v>4.0000000000000001E-3</v>
      </c>
      <c r="R198" s="1" t="s">
        <v>44</v>
      </c>
      <c r="S198" s="30" t="s">
        <v>423</v>
      </c>
      <c r="T198" s="31" t="s">
        <v>238</v>
      </c>
      <c r="U198" s="1"/>
      <c r="V198" s="1">
        <v>5000</v>
      </c>
      <c r="W198" s="1" t="s">
        <v>239</v>
      </c>
      <c r="X198" s="32" t="s">
        <v>286</v>
      </c>
      <c r="Y198" s="1" t="s">
        <v>241</v>
      </c>
      <c r="Z198" s="2" t="s">
        <v>242</v>
      </c>
      <c r="AA198" s="1"/>
      <c r="AB198" s="1"/>
      <c r="AC198" s="1"/>
      <c r="AD198" s="1"/>
      <c r="AE198" s="1"/>
      <c r="AF198" s="1"/>
      <c r="AG198" s="1"/>
      <c r="AH198" s="1"/>
      <c r="AI198" s="1"/>
      <c r="AJ198" s="1"/>
      <c r="AK198" s="1"/>
      <c r="AL198" s="1"/>
      <c r="AM198" s="1"/>
      <c r="AN198" s="1"/>
      <c r="AO198" s="1"/>
      <c r="AP198" s="1"/>
      <c r="AQ198" s="1"/>
      <c r="AR198" s="1"/>
      <c r="AS198" s="1"/>
      <c r="AT198" s="1"/>
      <c r="AU198" s="1"/>
      <c r="AV198" s="1">
        <f>SUM($AT198,Z198:$AA198)-SUM($AV$5:AV$5)*$J198-SUM($AV$6:AV$6)*$K198</f>
        <v>0</v>
      </c>
      <c r="AW198" s="1">
        <f>SUM($AT198,$AA198:AA198)-SUM($AV$5:AW$5)*$J198-SUM($AV$6:AW$6)*$K198</f>
        <v>0</v>
      </c>
      <c r="AX198" s="1">
        <f>SUM($AT198,$AA198:AB198)-SUM($AV$5:AX$5)*$J198-SUM($AV$6:AX$6)*$K198</f>
        <v>0</v>
      </c>
      <c r="AY198" s="1">
        <f>SUM($AT198,$AA198:AC198)-SUM($AV$5:AY$5)*$J198-SUM($AV$6:AY$6)*$K198</f>
        <v>0</v>
      </c>
      <c r="AZ198" s="1">
        <f>SUM($AT198,$AA198:AD198)-SUM($AV$5:AZ$5)*$J198-SUM($AV$6:AZ$6)*$K198</f>
        <v>0</v>
      </c>
      <c r="BA198" s="1">
        <f>SUM($AT198,$AA198:AE198)-SUM($AV$5:BA$5)*$J198-SUM($AV$6:BA$6)*$K198</f>
        <v>0</v>
      </c>
      <c r="BB198" s="1">
        <f>SUM($AT198,$AA198:AF198)-SUM($AV$5:BB$5)*$J198-SUM($AV$6:BB$6)*$K198</f>
        <v>0</v>
      </c>
      <c r="BC198" s="1">
        <f>SUM($AT198,$AA198:AG198)-SUM($AV$5:BC$5)*$J198-SUM($AV$6:BC$6)*$K198</f>
        <v>0</v>
      </c>
      <c r="BD198" s="1">
        <f>SUM($AT198,$AA198:AH198)-SUM($AV$5:BD$5)*$J198-SUM($AV$6:BD$6)*$K198</f>
        <v>0</v>
      </c>
      <c r="BE198" s="1">
        <f>SUM($AT198,$AA198:AI198)-SUM($AV$5:BE$5)*$J198-SUM($AV$6:BE$6)*$K198</f>
        <v>0</v>
      </c>
      <c r="BF198" s="1">
        <f>SUM($AT198,$AA198:AJ198)-SUM($AV$5:BF$5)*$J198-SUM($AV$6:BF$6)*$K198</f>
        <v>0</v>
      </c>
      <c r="BG198" s="1">
        <f>SUM($AT198,$AA198:AK198)-SUM($AV$5:BG$5)*$J198-SUM($AV$6:BG$6)*$K198</f>
        <v>0</v>
      </c>
      <c r="BH198" s="1">
        <f>SUM($AT198,$AA198:AL198)-SUM($AV$5:BH$5)*$J198-SUM($AV$6:BH$6)*$K198</f>
        <v>0</v>
      </c>
      <c r="BI198" s="1">
        <f>SUM($AT198,$AA198:AM198)-SUM($AV$5:BI$5)*$J198-SUM($AV$6:BI$6)*$K198</f>
        <v>0</v>
      </c>
      <c r="BJ198" s="1">
        <f>SUM($AT198,$AA198:AN198)-SUM($AV$5:BJ$5)*$J198-SUM($AV$6:BJ$6)*$K198</f>
        <v>0</v>
      </c>
      <c r="BK198" s="1">
        <f>SUM($AT198,$AA198:AO198)-SUM($AV$5:BK$5)*$J198-SUM($AV$6:BK$6)*$K198</f>
        <v>0</v>
      </c>
      <c r="BL198" s="1">
        <f>SUM($AT198,$AA198:AP198)-SUM($AV$5:BL$5)*$J198-SUM($AV$6:BL$6)*$K198</f>
        <v>0</v>
      </c>
      <c r="BM198" s="1">
        <f>SUM($AT198,$AA198:AQ198)-SUM($AV$5:BM$5)*$J198-SUM($AV$6:BM$6)*$K198</f>
        <v>0</v>
      </c>
      <c r="BN198" s="1">
        <f>SUM($AT198,$AA198:AR198)-SUM($AV$5:BN$5)*$J198-SUM($AV$6:BN$6)*$K198</f>
        <v>0</v>
      </c>
    </row>
    <row r="199" spans="1:66">
      <c r="A199" s="1">
        <v>218</v>
      </c>
      <c r="B199" s="28" t="s">
        <v>656</v>
      </c>
      <c r="C199" s="1" t="s">
        <v>40</v>
      </c>
      <c r="D199" s="2">
        <v>405970108</v>
      </c>
      <c r="E199" s="3" t="s">
        <v>657</v>
      </c>
      <c r="F199" s="1" t="s">
        <v>658</v>
      </c>
      <c r="G199" s="1" t="s">
        <v>42</v>
      </c>
      <c r="H199" s="1">
        <v>2</v>
      </c>
      <c r="I199" s="1">
        <v>64</v>
      </c>
      <c r="J199" s="1">
        <v>64</v>
      </c>
      <c r="K199" s="1">
        <v>0</v>
      </c>
      <c r="L199" s="1">
        <v>0</v>
      </c>
      <c r="M199" s="1">
        <f t="shared" si="8"/>
        <v>37248</v>
      </c>
      <c r="N199" s="1">
        <f t="shared" si="9"/>
        <v>37248</v>
      </c>
      <c r="O199" s="2" t="s">
        <v>525</v>
      </c>
      <c r="P199" s="1"/>
      <c r="Q199" s="1">
        <v>4.0000000000000001E-3</v>
      </c>
      <c r="R199" s="1" t="s">
        <v>44</v>
      </c>
      <c r="S199" s="30" t="s">
        <v>423</v>
      </c>
      <c r="T199" s="31" t="s">
        <v>238</v>
      </c>
      <c r="U199" s="1"/>
      <c r="V199" s="1">
        <v>5000</v>
      </c>
      <c r="W199" s="1" t="s">
        <v>239</v>
      </c>
      <c r="X199" s="32" t="s">
        <v>240</v>
      </c>
      <c r="Y199" s="1" t="s">
        <v>241</v>
      </c>
      <c r="Z199" s="2" t="s">
        <v>242</v>
      </c>
      <c r="AA199" s="1"/>
      <c r="AB199" s="1"/>
      <c r="AC199" s="1"/>
      <c r="AD199" s="1"/>
      <c r="AE199" s="1"/>
      <c r="AF199" s="1"/>
      <c r="AG199" s="1"/>
      <c r="AH199" s="1"/>
      <c r="AI199" s="1"/>
      <c r="AJ199" s="1"/>
      <c r="AK199" s="1"/>
      <c r="AL199" s="1"/>
      <c r="AM199" s="1"/>
      <c r="AN199" s="1"/>
      <c r="AO199" s="1"/>
      <c r="AP199" s="1"/>
      <c r="AQ199" s="1"/>
      <c r="AR199" s="1"/>
      <c r="AS199" s="1"/>
      <c r="AT199" s="1"/>
      <c r="AU199" s="1"/>
      <c r="AV199" s="1">
        <f>SUM($AT199,Z199:$AA199)-SUM($AV$5:AV$5)*$J199-SUM($AV$6:AV$6)*$K199</f>
        <v>0</v>
      </c>
      <c r="AW199" s="1">
        <f>SUM($AT199,$AA199:AA199)-SUM($AV$5:AW$5)*$J199-SUM($AV$6:AW$6)*$K199</f>
        <v>0</v>
      </c>
      <c r="AX199" s="1">
        <f>SUM($AT199,$AA199:AB199)-SUM($AV$5:AX$5)*$J199-SUM($AV$6:AX$6)*$K199</f>
        <v>0</v>
      </c>
      <c r="AY199" s="1">
        <f>SUM($AT199,$AA199:AC199)-SUM($AV$5:AY$5)*$J199-SUM($AV$6:AY$6)*$K199</f>
        <v>0</v>
      </c>
      <c r="AZ199" s="1">
        <f>SUM($AT199,$AA199:AD199)-SUM($AV$5:AZ$5)*$J199-SUM($AV$6:AZ$6)*$K199</f>
        <v>-2560</v>
      </c>
      <c r="BA199" s="1">
        <f>SUM($AT199,$AA199:AE199)-SUM($AV$5:BA$5)*$J199-SUM($AV$6:BA$6)*$K199</f>
        <v>-5120</v>
      </c>
      <c r="BB199" s="1">
        <f>SUM($AT199,$AA199:AF199)-SUM($AV$5:BB$5)*$J199-SUM($AV$6:BB$6)*$K199</f>
        <v>-7680</v>
      </c>
      <c r="BC199" s="1">
        <f>SUM($AT199,$AA199:AG199)-SUM($AV$5:BC$5)*$J199-SUM($AV$6:BC$6)*$K199</f>
        <v>-10240</v>
      </c>
      <c r="BD199" s="1">
        <f>SUM($AT199,$AA199:AH199)-SUM($AV$5:BD$5)*$J199-SUM($AV$6:BD$6)*$K199</f>
        <v>-12800</v>
      </c>
      <c r="BE199" s="1">
        <f>SUM($AT199,$AA199:AI199)-SUM($AV$5:BE$5)*$J199-SUM($AV$6:BE$6)*$K199</f>
        <v>-15360</v>
      </c>
      <c r="BF199" s="1">
        <f>SUM($AT199,$AA199:AJ199)-SUM($AV$5:BF$5)*$J199-SUM($AV$6:BF$6)*$K199</f>
        <v>-17920</v>
      </c>
      <c r="BG199" s="1">
        <f>SUM($AT199,$AA199:AK199)-SUM($AV$5:BG$5)*$J199-SUM($AV$6:BG$6)*$K199</f>
        <v>-20480</v>
      </c>
      <c r="BH199" s="1">
        <f>SUM($AT199,$AA199:AL199)-SUM($AV$5:BH$5)*$J199-SUM($AV$6:BH$6)*$K199</f>
        <v>-23040</v>
      </c>
      <c r="BI199" s="1">
        <f>SUM($AT199,$AA199:AM199)-SUM($AV$5:BI$5)*$J199-SUM($AV$6:BI$6)*$K199</f>
        <v>-25600</v>
      </c>
      <c r="BJ199" s="1">
        <f>SUM($AT199,$AA199:AN199)-SUM($AV$5:BJ$5)*$J199-SUM($AV$6:BJ$6)*$K199</f>
        <v>-28160</v>
      </c>
      <c r="BK199" s="1">
        <f>SUM($AT199,$AA199:AO199)-SUM($AV$5:BK$5)*$J199-SUM($AV$6:BK$6)*$K199</f>
        <v>-30720</v>
      </c>
      <c r="BL199" s="1">
        <f>SUM($AT199,$AA199:AP199)-SUM($AV$5:BL$5)*$J199-SUM($AV$6:BL$6)*$K199</f>
        <v>-33280</v>
      </c>
      <c r="BM199" s="1">
        <f>SUM($AT199,$AA199:AQ199)-SUM($AV$5:BM$5)*$J199-SUM($AV$6:BM$6)*$K199</f>
        <v>-35840</v>
      </c>
      <c r="BN199" s="1">
        <f>SUM($AT199,$AA199:AR199)-SUM($AV$5:BN$5)*$J199-SUM($AV$6:BN$6)*$K199</f>
        <v>-37248</v>
      </c>
    </row>
    <row r="200" spans="1:66">
      <c r="A200" s="1">
        <v>219</v>
      </c>
      <c r="B200" s="28" t="s">
        <v>659</v>
      </c>
      <c r="C200" s="1" t="s">
        <v>40</v>
      </c>
      <c r="D200" s="2">
        <v>401008440</v>
      </c>
      <c r="E200" s="3" t="s">
        <v>660</v>
      </c>
      <c r="F200" s="1" t="s">
        <v>661</v>
      </c>
      <c r="G200" s="1" t="s">
        <v>42</v>
      </c>
      <c r="H200" s="1">
        <v>2</v>
      </c>
      <c r="I200" s="1">
        <v>3</v>
      </c>
      <c r="J200" s="1">
        <v>3</v>
      </c>
      <c r="K200" s="1">
        <v>0</v>
      </c>
      <c r="L200" s="1">
        <v>0</v>
      </c>
      <c r="M200" s="1">
        <f t="shared" si="8"/>
        <v>1746</v>
      </c>
      <c r="N200" s="1">
        <f t="shared" si="9"/>
        <v>1746</v>
      </c>
      <c r="O200" s="2" t="s">
        <v>525</v>
      </c>
      <c r="P200" s="1"/>
      <c r="Q200" s="1">
        <v>4.0000000000000001E-3</v>
      </c>
      <c r="R200" s="1" t="s">
        <v>44</v>
      </c>
      <c r="S200" s="30" t="s">
        <v>423</v>
      </c>
      <c r="T200" s="31" t="s">
        <v>238</v>
      </c>
      <c r="U200" s="1"/>
      <c r="V200" s="1">
        <v>5000</v>
      </c>
      <c r="W200" s="1" t="s">
        <v>239</v>
      </c>
      <c r="X200" s="32" t="s">
        <v>240</v>
      </c>
      <c r="Y200" s="1" t="s">
        <v>241</v>
      </c>
      <c r="Z200" s="2" t="s">
        <v>242</v>
      </c>
      <c r="AA200" s="1"/>
      <c r="AB200" s="1"/>
      <c r="AC200" s="1"/>
      <c r="AD200" s="1"/>
      <c r="AE200" s="1"/>
      <c r="AF200" s="1"/>
      <c r="AG200" s="1"/>
      <c r="AH200" s="1"/>
      <c r="AI200" s="1"/>
      <c r="AJ200" s="1"/>
      <c r="AK200" s="1"/>
      <c r="AL200" s="1"/>
      <c r="AM200" s="1"/>
      <c r="AN200" s="1"/>
      <c r="AO200" s="1"/>
      <c r="AP200" s="1"/>
      <c r="AQ200" s="1"/>
      <c r="AR200" s="1"/>
      <c r="AS200" s="1"/>
      <c r="AT200" s="1"/>
      <c r="AU200" s="1"/>
      <c r="AV200" s="1">
        <f>SUM($AT200,Z200:$AA200)-SUM($AV$5:AV$5)*$J200-SUM($AV$6:AV$6)*$K200</f>
        <v>0</v>
      </c>
      <c r="AW200" s="1">
        <f>SUM($AT200,$AA200:AA200)-SUM($AV$5:AW$5)*$J200-SUM($AV$6:AW$6)*$K200</f>
        <v>0</v>
      </c>
      <c r="AX200" s="1">
        <f>SUM($AT200,$AA200:AB200)-SUM($AV$5:AX$5)*$J200-SUM($AV$6:AX$6)*$K200</f>
        <v>0</v>
      </c>
      <c r="AY200" s="1">
        <f>SUM($AT200,$AA200:AC200)-SUM($AV$5:AY$5)*$J200-SUM($AV$6:AY$6)*$K200</f>
        <v>0</v>
      </c>
      <c r="AZ200" s="1">
        <f>SUM($AT200,$AA200:AD200)-SUM($AV$5:AZ$5)*$J200-SUM($AV$6:AZ$6)*$K200</f>
        <v>-120</v>
      </c>
      <c r="BA200" s="1">
        <f>SUM($AT200,$AA200:AE200)-SUM($AV$5:BA$5)*$J200-SUM($AV$6:BA$6)*$K200</f>
        <v>-240</v>
      </c>
      <c r="BB200" s="1">
        <f>SUM($AT200,$AA200:AF200)-SUM($AV$5:BB$5)*$J200-SUM($AV$6:BB$6)*$K200</f>
        <v>-360</v>
      </c>
      <c r="BC200" s="1">
        <f>SUM($AT200,$AA200:AG200)-SUM($AV$5:BC$5)*$J200-SUM($AV$6:BC$6)*$K200</f>
        <v>-480</v>
      </c>
      <c r="BD200" s="1">
        <f>SUM($AT200,$AA200:AH200)-SUM($AV$5:BD$5)*$J200-SUM($AV$6:BD$6)*$K200</f>
        <v>-600</v>
      </c>
      <c r="BE200" s="1">
        <f>SUM($AT200,$AA200:AI200)-SUM($AV$5:BE$5)*$J200-SUM($AV$6:BE$6)*$K200</f>
        <v>-720</v>
      </c>
      <c r="BF200" s="1">
        <f>SUM($AT200,$AA200:AJ200)-SUM($AV$5:BF$5)*$J200-SUM($AV$6:BF$6)*$K200</f>
        <v>-840</v>
      </c>
      <c r="BG200" s="1">
        <f>SUM($AT200,$AA200:AK200)-SUM($AV$5:BG$5)*$J200-SUM($AV$6:BG$6)*$K200</f>
        <v>-960</v>
      </c>
      <c r="BH200" s="1">
        <f>SUM($AT200,$AA200:AL200)-SUM($AV$5:BH$5)*$J200-SUM($AV$6:BH$6)*$K200</f>
        <v>-1080</v>
      </c>
      <c r="BI200" s="1">
        <f>SUM($AT200,$AA200:AM200)-SUM($AV$5:BI$5)*$J200-SUM($AV$6:BI$6)*$K200</f>
        <v>-1200</v>
      </c>
      <c r="BJ200" s="1">
        <f>SUM($AT200,$AA200:AN200)-SUM($AV$5:BJ$5)*$J200-SUM($AV$6:BJ$6)*$K200</f>
        <v>-1320</v>
      </c>
      <c r="BK200" s="1">
        <f>SUM($AT200,$AA200:AO200)-SUM($AV$5:BK$5)*$J200-SUM($AV$6:BK$6)*$K200</f>
        <v>-1440</v>
      </c>
      <c r="BL200" s="1">
        <f>SUM($AT200,$AA200:AP200)-SUM($AV$5:BL$5)*$J200-SUM($AV$6:BL$6)*$K200</f>
        <v>-1560</v>
      </c>
      <c r="BM200" s="1">
        <f>SUM($AT200,$AA200:AQ200)-SUM($AV$5:BM$5)*$J200-SUM($AV$6:BM$6)*$K200</f>
        <v>-1680</v>
      </c>
      <c r="BN200" s="1">
        <f>SUM($AT200,$AA200:AR200)-SUM($AV$5:BN$5)*$J200-SUM($AV$6:BN$6)*$K200</f>
        <v>-1746</v>
      </c>
    </row>
    <row r="201" spans="1:66">
      <c r="A201" s="1">
        <v>220</v>
      </c>
      <c r="B201" s="28" t="s">
        <v>662</v>
      </c>
      <c r="C201" s="1" t="s">
        <v>40</v>
      </c>
      <c r="D201" s="2">
        <v>401382480</v>
      </c>
      <c r="E201" s="3" t="s">
        <v>663</v>
      </c>
      <c r="F201" s="1" t="s">
        <v>664</v>
      </c>
      <c r="G201" s="1" t="s">
        <v>42</v>
      </c>
      <c r="H201" s="1">
        <v>2</v>
      </c>
      <c r="I201" s="1">
        <v>1</v>
      </c>
      <c r="J201" s="1">
        <v>1</v>
      </c>
      <c r="K201" s="1">
        <v>0</v>
      </c>
      <c r="L201" s="1">
        <v>0</v>
      </c>
      <c r="M201" s="1">
        <f t="shared" si="8"/>
        <v>582</v>
      </c>
      <c r="N201" s="1">
        <f t="shared" si="9"/>
        <v>582</v>
      </c>
      <c r="O201" s="2" t="s">
        <v>525</v>
      </c>
      <c r="P201" s="1"/>
      <c r="Q201" s="1">
        <v>4.0000000000000001E-3</v>
      </c>
      <c r="R201" s="1" t="s">
        <v>44</v>
      </c>
      <c r="S201" s="30" t="s">
        <v>423</v>
      </c>
      <c r="T201" s="31" t="s">
        <v>238</v>
      </c>
      <c r="U201" s="1"/>
      <c r="V201" s="1">
        <v>5000</v>
      </c>
      <c r="W201" s="1" t="s">
        <v>239</v>
      </c>
      <c r="X201" s="32" t="s">
        <v>240</v>
      </c>
      <c r="Y201" s="1" t="s">
        <v>241</v>
      </c>
      <c r="Z201" s="2" t="s">
        <v>242</v>
      </c>
      <c r="AA201" s="1"/>
      <c r="AB201" s="1"/>
      <c r="AC201" s="1"/>
      <c r="AD201" s="1"/>
      <c r="AE201" s="1"/>
      <c r="AF201" s="1"/>
      <c r="AG201" s="1"/>
      <c r="AH201" s="1"/>
      <c r="AI201" s="1"/>
      <c r="AJ201" s="1"/>
      <c r="AK201" s="1"/>
      <c r="AL201" s="1"/>
      <c r="AM201" s="1"/>
      <c r="AN201" s="1"/>
      <c r="AO201" s="1"/>
      <c r="AP201" s="1"/>
      <c r="AQ201" s="1"/>
      <c r="AR201" s="1"/>
      <c r="AS201" s="1"/>
      <c r="AT201" s="1"/>
      <c r="AU201" s="1"/>
      <c r="AV201" s="1">
        <f>SUM($AT201,Z201:$AA201)-SUM($AV$5:AV$5)*$J201-SUM($AV$6:AV$6)*$K201</f>
        <v>0</v>
      </c>
      <c r="AW201" s="1">
        <f>SUM($AT201,$AA201:AA201)-SUM($AV$5:AW$5)*$J201-SUM($AV$6:AW$6)*$K201</f>
        <v>0</v>
      </c>
      <c r="AX201" s="1">
        <f>SUM($AT201,$AA201:AB201)-SUM($AV$5:AX$5)*$J201-SUM($AV$6:AX$6)*$K201</f>
        <v>0</v>
      </c>
      <c r="AY201" s="1">
        <f>SUM($AT201,$AA201:AC201)-SUM($AV$5:AY$5)*$J201-SUM($AV$6:AY$6)*$K201</f>
        <v>0</v>
      </c>
      <c r="AZ201" s="1">
        <f>SUM($AT201,$AA201:AD201)-SUM($AV$5:AZ$5)*$J201-SUM($AV$6:AZ$6)*$K201</f>
        <v>-40</v>
      </c>
      <c r="BA201" s="1">
        <f>SUM($AT201,$AA201:AE201)-SUM($AV$5:BA$5)*$J201-SUM($AV$6:BA$6)*$K201</f>
        <v>-80</v>
      </c>
      <c r="BB201" s="1">
        <f>SUM($AT201,$AA201:AF201)-SUM($AV$5:BB$5)*$J201-SUM($AV$6:BB$6)*$K201</f>
        <v>-120</v>
      </c>
      <c r="BC201" s="1">
        <f>SUM($AT201,$AA201:AG201)-SUM($AV$5:BC$5)*$J201-SUM($AV$6:BC$6)*$K201</f>
        <v>-160</v>
      </c>
      <c r="BD201" s="1">
        <f>SUM($AT201,$AA201:AH201)-SUM($AV$5:BD$5)*$J201-SUM($AV$6:BD$6)*$K201</f>
        <v>-200</v>
      </c>
      <c r="BE201" s="1">
        <f>SUM($AT201,$AA201:AI201)-SUM($AV$5:BE$5)*$J201-SUM($AV$6:BE$6)*$K201</f>
        <v>-240</v>
      </c>
      <c r="BF201" s="1">
        <f>SUM($AT201,$AA201:AJ201)-SUM($AV$5:BF$5)*$J201-SUM($AV$6:BF$6)*$K201</f>
        <v>-280</v>
      </c>
      <c r="BG201" s="1">
        <f>SUM($AT201,$AA201:AK201)-SUM($AV$5:BG$5)*$J201-SUM($AV$6:BG$6)*$K201</f>
        <v>-320</v>
      </c>
      <c r="BH201" s="1">
        <f>SUM($AT201,$AA201:AL201)-SUM($AV$5:BH$5)*$J201-SUM($AV$6:BH$6)*$K201</f>
        <v>-360</v>
      </c>
      <c r="BI201" s="1">
        <f>SUM($AT201,$AA201:AM201)-SUM($AV$5:BI$5)*$J201-SUM($AV$6:BI$6)*$K201</f>
        <v>-400</v>
      </c>
      <c r="BJ201" s="1">
        <f>SUM($AT201,$AA201:AN201)-SUM($AV$5:BJ$5)*$J201-SUM($AV$6:BJ$6)*$K201</f>
        <v>-440</v>
      </c>
      <c r="BK201" s="1">
        <f>SUM($AT201,$AA201:AO201)-SUM($AV$5:BK$5)*$J201-SUM($AV$6:BK$6)*$K201</f>
        <v>-480</v>
      </c>
      <c r="BL201" s="1">
        <f>SUM($AT201,$AA201:AP201)-SUM($AV$5:BL$5)*$J201-SUM($AV$6:BL$6)*$K201</f>
        <v>-520</v>
      </c>
      <c r="BM201" s="1">
        <f>SUM($AT201,$AA201:AQ201)-SUM($AV$5:BM$5)*$J201-SUM($AV$6:BM$6)*$K201</f>
        <v>-560</v>
      </c>
      <c r="BN201" s="1">
        <f>SUM($AT201,$AA201:AR201)-SUM($AV$5:BN$5)*$J201-SUM($AV$6:BN$6)*$K201</f>
        <v>-582</v>
      </c>
    </row>
    <row r="202" spans="1:66">
      <c r="A202" s="1">
        <v>223</v>
      </c>
      <c r="B202" s="28" t="s">
        <v>665</v>
      </c>
      <c r="C202" s="1" t="s">
        <v>40</v>
      </c>
      <c r="D202" s="2">
        <v>401485722</v>
      </c>
      <c r="E202" s="3" t="s">
        <v>581</v>
      </c>
      <c r="F202" s="1" t="s">
        <v>666</v>
      </c>
      <c r="G202" s="1" t="s">
        <v>42</v>
      </c>
      <c r="H202" s="1">
        <v>2</v>
      </c>
      <c r="I202" s="1">
        <v>32</v>
      </c>
      <c r="J202" s="1">
        <v>32</v>
      </c>
      <c r="K202" s="1">
        <v>0</v>
      </c>
      <c r="L202" s="1">
        <v>0</v>
      </c>
      <c r="M202" s="1">
        <f t="shared" si="8"/>
        <v>18624</v>
      </c>
      <c r="N202" s="1">
        <f t="shared" si="9"/>
        <v>18624</v>
      </c>
      <c r="O202" s="2" t="s">
        <v>253</v>
      </c>
      <c r="P202" s="1"/>
      <c r="Q202" s="1">
        <v>4.0000000000000001E-3</v>
      </c>
      <c r="R202" s="1" t="s">
        <v>44</v>
      </c>
      <c r="S202" s="30" t="s">
        <v>423</v>
      </c>
      <c r="T202" s="31" t="s">
        <v>238</v>
      </c>
      <c r="U202" s="1"/>
      <c r="V202" s="1">
        <v>5000</v>
      </c>
      <c r="W202" s="1" t="s">
        <v>239</v>
      </c>
      <c r="X202" s="32" t="s">
        <v>240</v>
      </c>
      <c r="Y202" s="1" t="s">
        <v>241</v>
      </c>
      <c r="Z202" s="2" t="s">
        <v>242</v>
      </c>
      <c r="AA202" s="1"/>
      <c r="AB202" s="1"/>
      <c r="AC202" s="1"/>
      <c r="AD202" s="1"/>
      <c r="AE202" s="1"/>
      <c r="AF202" s="1"/>
      <c r="AG202" s="1"/>
      <c r="AH202" s="1"/>
      <c r="AI202" s="1"/>
      <c r="AJ202" s="1"/>
      <c r="AK202" s="1"/>
      <c r="AL202" s="1"/>
      <c r="AM202" s="1"/>
      <c r="AN202" s="1"/>
      <c r="AO202" s="1"/>
      <c r="AP202" s="1"/>
      <c r="AQ202" s="1"/>
      <c r="AR202" s="1"/>
      <c r="AS202" s="1"/>
      <c r="AT202" s="1"/>
      <c r="AU202" s="1"/>
      <c r="AV202" s="1">
        <f>SUM($AT202,Z202:$AA202)-SUM($AV$5:AV$5)*$J202-SUM($AV$6:AV$6)*$K202</f>
        <v>0</v>
      </c>
      <c r="AW202" s="1">
        <f>SUM($AT202,$AA202:AA202)-SUM($AV$5:AW$5)*$J202-SUM($AV$6:AW$6)*$K202</f>
        <v>0</v>
      </c>
      <c r="AX202" s="1">
        <f>SUM($AT202,$AA202:AB202)-SUM($AV$5:AX$5)*$J202-SUM($AV$6:AX$6)*$K202</f>
        <v>0</v>
      </c>
      <c r="AY202" s="1">
        <f>SUM($AT202,$AA202:AC202)-SUM($AV$5:AY$5)*$J202-SUM($AV$6:AY$6)*$K202</f>
        <v>0</v>
      </c>
      <c r="AZ202" s="1">
        <f>SUM($AT202,$AA202:AD202)-SUM($AV$5:AZ$5)*$J202-SUM($AV$6:AZ$6)*$K202</f>
        <v>-1280</v>
      </c>
      <c r="BA202" s="1">
        <f>SUM($AT202,$AA202:AE202)-SUM($AV$5:BA$5)*$J202-SUM($AV$6:BA$6)*$K202</f>
        <v>-2560</v>
      </c>
      <c r="BB202" s="1">
        <f>SUM($AT202,$AA202:AF202)-SUM($AV$5:BB$5)*$J202-SUM($AV$6:BB$6)*$K202</f>
        <v>-3840</v>
      </c>
      <c r="BC202" s="1">
        <f>SUM($AT202,$AA202:AG202)-SUM($AV$5:BC$5)*$J202-SUM($AV$6:BC$6)*$K202</f>
        <v>-5120</v>
      </c>
      <c r="BD202" s="1">
        <f>SUM($AT202,$AA202:AH202)-SUM($AV$5:BD$5)*$J202-SUM($AV$6:BD$6)*$K202</f>
        <v>-6400</v>
      </c>
      <c r="BE202" s="1">
        <f>SUM($AT202,$AA202:AI202)-SUM($AV$5:BE$5)*$J202-SUM($AV$6:BE$6)*$K202</f>
        <v>-7680</v>
      </c>
      <c r="BF202" s="1">
        <f>SUM($AT202,$AA202:AJ202)-SUM($AV$5:BF$5)*$J202-SUM($AV$6:BF$6)*$K202</f>
        <v>-8960</v>
      </c>
      <c r="BG202" s="1">
        <f>SUM($AT202,$AA202:AK202)-SUM($AV$5:BG$5)*$J202-SUM($AV$6:BG$6)*$K202</f>
        <v>-10240</v>
      </c>
      <c r="BH202" s="1">
        <f>SUM($AT202,$AA202:AL202)-SUM($AV$5:BH$5)*$J202-SUM($AV$6:BH$6)*$K202</f>
        <v>-11520</v>
      </c>
      <c r="BI202" s="1">
        <f>SUM($AT202,$AA202:AM202)-SUM($AV$5:BI$5)*$J202-SUM($AV$6:BI$6)*$K202</f>
        <v>-12800</v>
      </c>
      <c r="BJ202" s="1">
        <f>SUM($AT202,$AA202:AN202)-SUM($AV$5:BJ$5)*$J202-SUM($AV$6:BJ$6)*$K202</f>
        <v>-14080</v>
      </c>
      <c r="BK202" s="1">
        <f>SUM($AT202,$AA202:AO202)-SUM($AV$5:BK$5)*$J202-SUM($AV$6:BK$6)*$K202</f>
        <v>-15360</v>
      </c>
      <c r="BL202" s="1">
        <f>SUM($AT202,$AA202:AP202)-SUM($AV$5:BL$5)*$J202-SUM($AV$6:BL$6)*$K202</f>
        <v>-16640</v>
      </c>
      <c r="BM202" s="1">
        <f>SUM($AT202,$AA202:AQ202)-SUM($AV$5:BM$5)*$J202-SUM($AV$6:BM$6)*$K202</f>
        <v>-17920</v>
      </c>
      <c r="BN202" s="1">
        <f>SUM($AT202,$AA202:AR202)-SUM($AV$5:BN$5)*$J202-SUM($AV$6:BN$6)*$K202</f>
        <v>-18624</v>
      </c>
    </row>
    <row r="203" spans="1:66">
      <c r="A203" s="1">
        <v>224</v>
      </c>
      <c r="B203" s="28" t="s">
        <v>667</v>
      </c>
      <c r="C203" s="1" t="s">
        <v>40</v>
      </c>
      <c r="D203" s="2">
        <v>401519147</v>
      </c>
      <c r="E203" s="3" t="s">
        <v>668</v>
      </c>
      <c r="F203" s="1" t="s">
        <v>669</v>
      </c>
      <c r="G203" s="1" t="s">
        <v>42</v>
      </c>
      <c r="H203" s="1">
        <v>2</v>
      </c>
      <c r="I203" s="1">
        <v>2</v>
      </c>
      <c r="J203" s="1">
        <v>2</v>
      </c>
      <c r="K203" s="1">
        <v>0</v>
      </c>
      <c r="L203" s="1">
        <v>0</v>
      </c>
      <c r="M203" s="1">
        <f t="shared" si="8"/>
        <v>1164</v>
      </c>
      <c r="N203" s="1">
        <f t="shared" si="9"/>
        <v>1164</v>
      </c>
      <c r="O203" s="2" t="s">
        <v>525</v>
      </c>
      <c r="P203" s="1"/>
      <c r="Q203" s="1">
        <v>4.0000000000000001E-3</v>
      </c>
      <c r="R203" s="1" t="s">
        <v>44</v>
      </c>
      <c r="S203" s="30" t="s">
        <v>423</v>
      </c>
      <c r="T203" s="31" t="s">
        <v>238</v>
      </c>
      <c r="U203" s="1"/>
      <c r="V203" s="1">
        <v>5000</v>
      </c>
      <c r="W203" s="1" t="s">
        <v>239</v>
      </c>
      <c r="X203" s="32" t="s">
        <v>240</v>
      </c>
      <c r="Y203" s="1" t="s">
        <v>241</v>
      </c>
      <c r="Z203" s="2" t="s">
        <v>242</v>
      </c>
      <c r="AA203" s="1"/>
      <c r="AB203" s="1"/>
      <c r="AC203" s="1"/>
      <c r="AD203" s="1"/>
      <c r="AE203" s="1"/>
      <c r="AF203" s="1"/>
      <c r="AG203" s="1"/>
      <c r="AH203" s="1"/>
      <c r="AI203" s="1"/>
      <c r="AJ203" s="1"/>
      <c r="AK203" s="1"/>
      <c r="AL203" s="1"/>
      <c r="AM203" s="1"/>
      <c r="AN203" s="1"/>
      <c r="AO203" s="1"/>
      <c r="AP203" s="1"/>
      <c r="AQ203" s="1"/>
      <c r="AR203" s="1"/>
      <c r="AS203" s="1"/>
      <c r="AT203" s="1"/>
      <c r="AU203" s="1"/>
      <c r="AV203" s="1">
        <f>SUM($AT203,Z203:$AA203)-SUM($AV$5:AV$5)*$J203-SUM($AV$6:AV$6)*$K203</f>
        <v>0</v>
      </c>
      <c r="AW203" s="1">
        <f>SUM($AT203,$AA203:AA203)-SUM($AV$5:AW$5)*$J203-SUM($AV$6:AW$6)*$K203</f>
        <v>0</v>
      </c>
      <c r="AX203" s="1">
        <f>SUM($AT203,$AA203:AB203)-SUM($AV$5:AX$5)*$J203-SUM($AV$6:AX$6)*$K203</f>
        <v>0</v>
      </c>
      <c r="AY203" s="1">
        <f>SUM($AT203,$AA203:AC203)-SUM($AV$5:AY$5)*$J203-SUM($AV$6:AY$6)*$K203</f>
        <v>0</v>
      </c>
      <c r="AZ203" s="1">
        <f>SUM($AT203,$AA203:AD203)-SUM($AV$5:AZ$5)*$J203-SUM($AV$6:AZ$6)*$K203</f>
        <v>-80</v>
      </c>
      <c r="BA203" s="1">
        <f>SUM($AT203,$AA203:AE203)-SUM($AV$5:BA$5)*$J203-SUM($AV$6:BA$6)*$K203</f>
        <v>-160</v>
      </c>
      <c r="BB203" s="1">
        <f>SUM($AT203,$AA203:AF203)-SUM($AV$5:BB$5)*$J203-SUM($AV$6:BB$6)*$K203</f>
        <v>-240</v>
      </c>
      <c r="BC203" s="1">
        <f>SUM($AT203,$AA203:AG203)-SUM($AV$5:BC$5)*$J203-SUM($AV$6:BC$6)*$K203</f>
        <v>-320</v>
      </c>
      <c r="BD203" s="1">
        <f>SUM($AT203,$AA203:AH203)-SUM($AV$5:BD$5)*$J203-SUM($AV$6:BD$6)*$K203</f>
        <v>-400</v>
      </c>
      <c r="BE203" s="1">
        <f>SUM($AT203,$AA203:AI203)-SUM($AV$5:BE$5)*$J203-SUM($AV$6:BE$6)*$K203</f>
        <v>-480</v>
      </c>
      <c r="BF203" s="1">
        <f>SUM($AT203,$AA203:AJ203)-SUM($AV$5:BF$5)*$J203-SUM($AV$6:BF$6)*$K203</f>
        <v>-560</v>
      </c>
      <c r="BG203" s="1">
        <f>SUM($AT203,$AA203:AK203)-SUM($AV$5:BG$5)*$J203-SUM($AV$6:BG$6)*$K203</f>
        <v>-640</v>
      </c>
      <c r="BH203" s="1">
        <f>SUM($AT203,$AA203:AL203)-SUM($AV$5:BH$5)*$J203-SUM($AV$6:BH$6)*$K203</f>
        <v>-720</v>
      </c>
      <c r="BI203" s="1">
        <f>SUM($AT203,$AA203:AM203)-SUM($AV$5:BI$5)*$J203-SUM($AV$6:BI$6)*$K203</f>
        <v>-800</v>
      </c>
      <c r="BJ203" s="1">
        <f>SUM($AT203,$AA203:AN203)-SUM($AV$5:BJ$5)*$J203-SUM($AV$6:BJ$6)*$K203</f>
        <v>-880</v>
      </c>
      <c r="BK203" s="1">
        <f>SUM($AT203,$AA203:AO203)-SUM($AV$5:BK$5)*$J203-SUM($AV$6:BK$6)*$K203</f>
        <v>-960</v>
      </c>
      <c r="BL203" s="1">
        <f>SUM($AT203,$AA203:AP203)-SUM($AV$5:BL$5)*$J203-SUM($AV$6:BL$6)*$K203</f>
        <v>-1040</v>
      </c>
      <c r="BM203" s="1">
        <f>SUM($AT203,$AA203:AQ203)-SUM($AV$5:BM$5)*$J203-SUM($AV$6:BM$6)*$K203</f>
        <v>-1120</v>
      </c>
      <c r="BN203" s="1">
        <f>SUM($AT203,$AA203:AR203)-SUM($AV$5:BN$5)*$J203-SUM($AV$6:BN$6)*$K203</f>
        <v>-1164</v>
      </c>
    </row>
    <row r="204" spans="1:66">
      <c r="A204" s="1">
        <v>225</v>
      </c>
      <c r="B204" s="28" t="s">
        <v>670</v>
      </c>
      <c r="C204" s="1" t="s">
        <v>40</v>
      </c>
      <c r="D204" s="2">
        <v>401352394</v>
      </c>
      <c r="E204" s="3" t="s">
        <v>671</v>
      </c>
      <c r="F204" s="1" t="s">
        <v>672</v>
      </c>
      <c r="G204" s="1" t="s">
        <v>42</v>
      </c>
      <c r="H204" s="1">
        <v>2</v>
      </c>
      <c r="I204" s="1">
        <v>4</v>
      </c>
      <c r="J204" s="1">
        <v>4</v>
      </c>
      <c r="K204" s="1">
        <v>0</v>
      </c>
      <c r="L204" s="1">
        <v>0</v>
      </c>
      <c r="M204" s="1">
        <f t="shared" si="8"/>
        <v>2328</v>
      </c>
      <c r="N204" s="1">
        <f t="shared" si="9"/>
        <v>2328</v>
      </c>
      <c r="O204" s="2" t="s">
        <v>525</v>
      </c>
      <c r="P204" s="1"/>
      <c r="Q204" s="1">
        <v>4.0000000000000001E-3</v>
      </c>
      <c r="R204" s="1" t="s">
        <v>44</v>
      </c>
      <c r="S204" s="30" t="s">
        <v>423</v>
      </c>
      <c r="T204" s="31" t="s">
        <v>238</v>
      </c>
      <c r="U204" s="1"/>
      <c r="V204" s="1">
        <v>5000</v>
      </c>
      <c r="W204" s="1" t="s">
        <v>239</v>
      </c>
      <c r="X204" s="32" t="s">
        <v>240</v>
      </c>
      <c r="Y204" s="1" t="s">
        <v>241</v>
      </c>
      <c r="Z204" s="2" t="s">
        <v>242</v>
      </c>
      <c r="AA204" s="1"/>
      <c r="AB204" s="1"/>
      <c r="AC204" s="1"/>
      <c r="AD204" s="1"/>
      <c r="AE204" s="1"/>
      <c r="AF204" s="1"/>
      <c r="AG204" s="1"/>
      <c r="AH204" s="1"/>
      <c r="AI204" s="1"/>
      <c r="AJ204" s="1"/>
      <c r="AK204" s="1"/>
      <c r="AL204" s="1"/>
      <c r="AM204" s="1"/>
      <c r="AN204" s="1"/>
      <c r="AO204" s="1"/>
      <c r="AP204" s="1"/>
      <c r="AQ204" s="1"/>
      <c r="AR204" s="1"/>
      <c r="AS204" s="1"/>
      <c r="AT204" s="1"/>
      <c r="AU204" s="1"/>
      <c r="AV204" s="1">
        <f>SUM($AT204,Z204:$AA204)-SUM($AV$5:AV$5)*$J204-SUM($AV$6:AV$6)*$K204</f>
        <v>0</v>
      </c>
      <c r="AW204" s="1">
        <f>SUM($AT204,$AA204:AA204)-SUM($AV$5:AW$5)*$J204-SUM($AV$6:AW$6)*$K204</f>
        <v>0</v>
      </c>
      <c r="AX204" s="1">
        <f>SUM($AT204,$AA204:AB204)-SUM($AV$5:AX$5)*$J204-SUM($AV$6:AX$6)*$K204</f>
        <v>0</v>
      </c>
      <c r="AY204" s="1">
        <f>SUM($AT204,$AA204:AC204)-SUM($AV$5:AY$5)*$J204-SUM($AV$6:AY$6)*$K204</f>
        <v>0</v>
      </c>
      <c r="AZ204" s="1">
        <f>SUM($AT204,$AA204:AD204)-SUM($AV$5:AZ$5)*$J204-SUM($AV$6:AZ$6)*$K204</f>
        <v>-160</v>
      </c>
      <c r="BA204" s="1">
        <f>SUM($AT204,$AA204:AE204)-SUM($AV$5:BA$5)*$J204-SUM($AV$6:BA$6)*$K204</f>
        <v>-320</v>
      </c>
      <c r="BB204" s="1">
        <f>SUM($AT204,$AA204:AF204)-SUM($AV$5:BB$5)*$J204-SUM($AV$6:BB$6)*$K204</f>
        <v>-480</v>
      </c>
      <c r="BC204" s="1">
        <f>SUM($AT204,$AA204:AG204)-SUM($AV$5:BC$5)*$J204-SUM($AV$6:BC$6)*$K204</f>
        <v>-640</v>
      </c>
      <c r="BD204" s="1">
        <f>SUM($AT204,$AA204:AH204)-SUM($AV$5:BD$5)*$J204-SUM($AV$6:BD$6)*$K204</f>
        <v>-800</v>
      </c>
      <c r="BE204" s="1">
        <f>SUM($AT204,$AA204:AI204)-SUM($AV$5:BE$5)*$J204-SUM($AV$6:BE$6)*$K204</f>
        <v>-960</v>
      </c>
      <c r="BF204" s="1">
        <f>SUM($AT204,$AA204:AJ204)-SUM($AV$5:BF$5)*$J204-SUM($AV$6:BF$6)*$K204</f>
        <v>-1120</v>
      </c>
      <c r="BG204" s="1">
        <f>SUM($AT204,$AA204:AK204)-SUM($AV$5:BG$5)*$J204-SUM($AV$6:BG$6)*$K204</f>
        <v>-1280</v>
      </c>
      <c r="BH204" s="1">
        <f>SUM($AT204,$AA204:AL204)-SUM($AV$5:BH$5)*$J204-SUM($AV$6:BH$6)*$K204</f>
        <v>-1440</v>
      </c>
      <c r="BI204" s="1">
        <f>SUM($AT204,$AA204:AM204)-SUM($AV$5:BI$5)*$J204-SUM($AV$6:BI$6)*$K204</f>
        <v>-1600</v>
      </c>
      <c r="BJ204" s="1">
        <f>SUM($AT204,$AA204:AN204)-SUM($AV$5:BJ$5)*$J204-SUM($AV$6:BJ$6)*$K204</f>
        <v>-1760</v>
      </c>
      <c r="BK204" s="1">
        <f>SUM($AT204,$AA204:AO204)-SUM($AV$5:BK$5)*$J204-SUM($AV$6:BK$6)*$K204</f>
        <v>-1920</v>
      </c>
      <c r="BL204" s="1">
        <f>SUM($AT204,$AA204:AP204)-SUM($AV$5:BL$5)*$J204-SUM($AV$6:BL$6)*$K204</f>
        <v>-2080</v>
      </c>
      <c r="BM204" s="1">
        <f>SUM($AT204,$AA204:AQ204)-SUM($AV$5:BM$5)*$J204-SUM($AV$6:BM$6)*$K204</f>
        <v>-2240</v>
      </c>
      <c r="BN204" s="1">
        <f>SUM($AT204,$AA204:AR204)-SUM($AV$5:BN$5)*$J204-SUM($AV$6:BN$6)*$K204</f>
        <v>-2328</v>
      </c>
    </row>
    <row r="205" spans="1:66">
      <c r="A205" s="1">
        <v>226</v>
      </c>
      <c r="B205" s="28" t="s">
        <v>673</v>
      </c>
      <c r="C205" s="1" t="s">
        <v>40</v>
      </c>
      <c r="D205" s="2">
        <v>401053477</v>
      </c>
      <c r="E205" s="3" t="s">
        <v>674</v>
      </c>
      <c r="F205" s="1" t="s">
        <v>675</v>
      </c>
      <c r="G205" s="1" t="s">
        <v>42</v>
      </c>
      <c r="H205" s="1">
        <v>2</v>
      </c>
      <c r="I205" s="1">
        <v>6</v>
      </c>
      <c r="J205" s="1">
        <v>6</v>
      </c>
      <c r="K205" s="1">
        <v>0</v>
      </c>
      <c r="L205" s="1">
        <v>0</v>
      </c>
      <c r="M205" s="1">
        <f t="shared" si="8"/>
        <v>3492</v>
      </c>
      <c r="N205" s="1">
        <f t="shared" si="9"/>
        <v>3492</v>
      </c>
      <c r="O205" s="2" t="s">
        <v>525</v>
      </c>
      <c r="P205" s="1"/>
      <c r="Q205" s="1">
        <v>4.0000000000000001E-3</v>
      </c>
      <c r="R205" s="1" t="s">
        <v>44</v>
      </c>
      <c r="S205" s="30" t="s">
        <v>423</v>
      </c>
      <c r="T205" s="31" t="s">
        <v>238</v>
      </c>
      <c r="U205" s="1"/>
      <c r="V205" s="1">
        <v>5000</v>
      </c>
      <c r="W205" s="1" t="s">
        <v>239</v>
      </c>
      <c r="X205" s="32" t="s">
        <v>240</v>
      </c>
      <c r="Y205" s="1" t="s">
        <v>241</v>
      </c>
      <c r="Z205" s="2" t="s">
        <v>242</v>
      </c>
      <c r="AA205" s="1"/>
      <c r="AB205" s="1"/>
      <c r="AC205" s="1"/>
      <c r="AD205" s="1"/>
      <c r="AE205" s="1"/>
      <c r="AF205" s="1"/>
      <c r="AG205" s="1"/>
      <c r="AH205" s="1"/>
      <c r="AI205" s="1"/>
      <c r="AJ205" s="1"/>
      <c r="AK205" s="1"/>
      <c r="AL205" s="1"/>
      <c r="AM205" s="1"/>
      <c r="AN205" s="1"/>
      <c r="AO205" s="1"/>
      <c r="AP205" s="1"/>
      <c r="AQ205" s="1"/>
      <c r="AR205" s="1"/>
      <c r="AS205" s="1"/>
      <c r="AT205" s="1"/>
      <c r="AU205" s="1"/>
      <c r="AV205" s="1">
        <f>SUM($AT205,Z205:$AA205)-SUM($AV$5:AV$5)*$J205-SUM($AV$6:AV$6)*$K205</f>
        <v>0</v>
      </c>
      <c r="AW205" s="1">
        <f>SUM($AT205,$AA205:AA205)-SUM($AV$5:AW$5)*$J205-SUM($AV$6:AW$6)*$K205</f>
        <v>0</v>
      </c>
      <c r="AX205" s="1">
        <f>SUM($AT205,$AA205:AB205)-SUM($AV$5:AX$5)*$J205-SUM($AV$6:AX$6)*$K205</f>
        <v>0</v>
      </c>
      <c r="AY205" s="1">
        <f>SUM($AT205,$AA205:AC205)-SUM($AV$5:AY$5)*$J205-SUM($AV$6:AY$6)*$K205</f>
        <v>0</v>
      </c>
      <c r="AZ205" s="1">
        <f>SUM($AT205,$AA205:AD205)-SUM($AV$5:AZ$5)*$J205-SUM($AV$6:AZ$6)*$K205</f>
        <v>-240</v>
      </c>
      <c r="BA205" s="1">
        <f>SUM($AT205,$AA205:AE205)-SUM($AV$5:BA$5)*$J205-SUM($AV$6:BA$6)*$K205</f>
        <v>-480</v>
      </c>
      <c r="BB205" s="1">
        <f>SUM($AT205,$AA205:AF205)-SUM($AV$5:BB$5)*$J205-SUM($AV$6:BB$6)*$K205</f>
        <v>-720</v>
      </c>
      <c r="BC205" s="1">
        <f>SUM($AT205,$AA205:AG205)-SUM($AV$5:BC$5)*$J205-SUM($AV$6:BC$6)*$K205</f>
        <v>-960</v>
      </c>
      <c r="BD205" s="1">
        <f>SUM($AT205,$AA205:AH205)-SUM($AV$5:BD$5)*$J205-SUM($AV$6:BD$6)*$K205</f>
        <v>-1200</v>
      </c>
      <c r="BE205" s="1">
        <f>SUM($AT205,$AA205:AI205)-SUM($AV$5:BE$5)*$J205-SUM($AV$6:BE$6)*$K205</f>
        <v>-1440</v>
      </c>
      <c r="BF205" s="1">
        <f>SUM($AT205,$AA205:AJ205)-SUM($AV$5:BF$5)*$J205-SUM($AV$6:BF$6)*$K205</f>
        <v>-1680</v>
      </c>
      <c r="BG205" s="1">
        <f>SUM($AT205,$AA205:AK205)-SUM($AV$5:BG$5)*$J205-SUM($AV$6:BG$6)*$K205</f>
        <v>-1920</v>
      </c>
      <c r="BH205" s="1">
        <f>SUM($AT205,$AA205:AL205)-SUM($AV$5:BH$5)*$J205-SUM($AV$6:BH$6)*$K205</f>
        <v>-2160</v>
      </c>
      <c r="BI205" s="1">
        <f>SUM($AT205,$AA205:AM205)-SUM($AV$5:BI$5)*$J205-SUM($AV$6:BI$6)*$K205</f>
        <v>-2400</v>
      </c>
      <c r="BJ205" s="1">
        <f>SUM($AT205,$AA205:AN205)-SUM($AV$5:BJ$5)*$J205-SUM($AV$6:BJ$6)*$K205</f>
        <v>-2640</v>
      </c>
      <c r="BK205" s="1">
        <f>SUM($AT205,$AA205:AO205)-SUM($AV$5:BK$5)*$J205-SUM($AV$6:BK$6)*$K205</f>
        <v>-2880</v>
      </c>
      <c r="BL205" s="1">
        <f>SUM($AT205,$AA205:AP205)-SUM($AV$5:BL$5)*$J205-SUM($AV$6:BL$6)*$K205</f>
        <v>-3120</v>
      </c>
      <c r="BM205" s="1">
        <f>SUM($AT205,$AA205:AQ205)-SUM($AV$5:BM$5)*$J205-SUM($AV$6:BM$6)*$K205</f>
        <v>-3360</v>
      </c>
      <c r="BN205" s="1">
        <f>SUM($AT205,$AA205:AR205)-SUM($AV$5:BN$5)*$J205-SUM($AV$6:BN$6)*$K205</f>
        <v>-3492</v>
      </c>
    </row>
    <row r="206" spans="1:66">
      <c r="A206" s="1">
        <v>228</v>
      </c>
      <c r="B206" s="28" t="s">
        <v>676</v>
      </c>
      <c r="C206" s="1" t="s">
        <v>40</v>
      </c>
      <c r="D206" s="2">
        <v>401053377</v>
      </c>
      <c r="E206" s="3" t="s">
        <v>677</v>
      </c>
      <c r="F206" s="1" t="s">
        <v>678</v>
      </c>
      <c r="G206" s="1" t="s">
        <v>42</v>
      </c>
      <c r="H206" s="1">
        <v>2</v>
      </c>
      <c r="I206" s="1">
        <v>1</v>
      </c>
      <c r="J206" s="1">
        <v>1</v>
      </c>
      <c r="K206" s="1">
        <v>0</v>
      </c>
      <c r="L206" s="1">
        <v>0</v>
      </c>
      <c r="M206" s="1">
        <f t="shared" si="8"/>
        <v>582</v>
      </c>
      <c r="N206" s="1">
        <f t="shared" si="9"/>
        <v>582</v>
      </c>
      <c r="O206" s="2" t="s">
        <v>525</v>
      </c>
      <c r="P206" s="1"/>
      <c r="Q206" s="1">
        <v>4.0000000000000001E-3</v>
      </c>
      <c r="R206" s="1" t="s">
        <v>44</v>
      </c>
      <c r="S206" s="30" t="s">
        <v>423</v>
      </c>
      <c r="T206" s="31" t="s">
        <v>238</v>
      </c>
      <c r="U206" s="1"/>
      <c r="V206" s="1">
        <v>5000</v>
      </c>
      <c r="W206" s="1" t="s">
        <v>239</v>
      </c>
      <c r="X206" s="32" t="s">
        <v>240</v>
      </c>
      <c r="Y206" s="1" t="s">
        <v>241</v>
      </c>
      <c r="Z206" s="2" t="s">
        <v>242</v>
      </c>
      <c r="AA206" s="1"/>
      <c r="AB206" s="1"/>
      <c r="AC206" s="1"/>
      <c r="AD206" s="1"/>
      <c r="AE206" s="1"/>
      <c r="AF206" s="1"/>
      <c r="AG206" s="1"/>
      <c r="AH206" s="1"/>
      <c r="AI206" s="1"/>
      <c r="AJ206" s="1"/>
      <c r="AK206" s="1"/>
      <c r="AL206" s="1"/>
      <c r="AM206" s="1"/>
      <c r="AN206" s="1"/>
      <c r="AO206" s="1"/>
      <c r="AP206" s="1"/>
      <c r="AQ206" s="1"/>
      <c r="AR206" s="1"/>
      <c r="AS206" s="1"/>
      <c r="AT206" s="1"/>
      <c r="AU206" s="1"/>
      <c r="AV206" s="1">
        <f>SUM($AT206,Z206:$AA206)-SUM($AV$5:AV$5)*$J206-SUM($AV$6:AV$6)*$K206</f>
        <v>0</v>
      </c>
      <c r="AW206" s="1">
        <f>SUM($AT206,$AA206:AA206)-SUM($AV$5:AW$5)*$J206-SUM($AV$6:AW$6)*$K206</f>
        <v>0</v>
      </c>
      <c r="AX206" s="1">
        <f>SUM($AT206,$AA206:AB206)-SUM($AV$5:AX$5)*$J206-SUM($AV$6:AX$6)*$K206</f>
        <v>0</v>
      </c>
      <c r="AY206" s="1">
        <f>SUM($AT206,$AA206:AC206)-SUM($AV$5:AY$5)*$J206-SUM($AV$6:AY$6)*$K206</f>
        <v>0</v>
      </c>
      <c r="AZ206" s="1">
        <f>SUM($AT206,$AA206:AD206)-SUM($AV$5:AZ$5)*$J206-SUM($AV$6:AZ$6)*$K206</f>
        <v>-40</v>
      </c>
      <c r="BA206" s="1">
        <f>SUM($AT206,$AA206:AE206)-SUM($AV$5:BA$5)*$J206-SUM($AV$6:BA$6)*$K206</f>
        <v>-80</v>
      </c>
      <c r="BB206" s="1">
        <f>SUM($AT206,$AA206:AF206)-SUM($AV$5:BB$5)*$J206-SUM($AV$6:BB$6)*$K206</f>
        <v>-120</v>
      </c>
      <c r="BC206" s="1">
        <f>SUM($AT206,$AA206:AG206)-SUM($AV$5:BC$5)*$J206-SUM($AV$6:BC$6)*$K206</f>
        <v>-160</v>
      </c>
      <c r="BD206" s="1">
        <f>SUM($AT206,$AA206:AH206)-SUM($AV$5:BD$5)*$J206-SUM($AV$6:BD$6)*$K206</f>
        <v>-200</v>
      </c>
      <c r="BE206" s="1">
        <f>SUM($AT206,$AA206:AI206)-SUM($AV$5:BE$5)*$J206-SUM($AV$6:BE$6)*$K206</f>
        <v>-240</v>
      </c>
      <c r="BF206" s="1">
        <f>SUM($AT206,$AA206:AJ206)-SUM($AV$5:BF$5)*$J206-SUM($AV$6:BF$6)*$K206</f>
        <v>-280</v>
      </c>
      <c r="BG206" s="1">
        <f>SUM($AT206,$AA206:AK206)-SUM($AV$5:BG$5)*$J206-SUM($AV$6:BG$6)*$K206</f>
        <v>-320</v>
      </c>
      <c r="BH206" s="1">
        <f>SUM($AT206,$AA206:AL206)-SUM($AV$5:BH$5)*$J206-SUM($AV$6:BH$6)*$K206</f>
        <v>-360</v>
      </c>
      <c r="BI206" s="1">
        <f>SUM($AT206,$AA206:AM206)-SUM($AV$5:BI$5)*$J206-SUM($AV$6:BI$6)*$K206</f>
        <v>-400</v>
      </c>
      <c r="BJ206" s="1">
        <f>SUM($AT206,$AA206:AN206)-SUM($AV$5:BJ$5)*$J206-SUM($AV$6:BJ$6)*$K206</f>
        <v>-440</v>
      </c>
      <c r="BK206" s="1">
        <f>SUM($AT206,$AA206:AO206)-SUM($AV$5:BK$5)*$J206-SUM($AV$6:BK$6)*$K206</f>
        <v>-480</v>
      </c>
      <c r="BL206" s="1">
        <f>SUM($AT206,$AA206:AP206)-SUM($AV$5:BL$5)*$J206-SUM($AV$6:BL$6)*$K206</f>
        <v>-520</v>
      </c>
      <c r="BM206" s="1">
        <f>SUM($AT206,$AA206:AQ206)-SUM($AV$5:BM$5)*$J206-SUM($AV$6:BM$6)*$K206</f>
        <v>-560</v>
      </c>
      <c r="BN206" s="1">
        <f>SUM($AT206,$AA206:AR206)-SUM($AV$5:BN$5)*$J206-SUM($AV$6:BN$6)*$K206</f>
        <v>-582</v>
      </c>
    </row>
    <row r="207" spans="1:66">
      <c r="A207" s="1">
        <v>211</v>
      </c>
      <c r="B207" s="28" t="s">
        <v>679</v>
      </c>
      <c r="C207" s="1" t="s">
        <v>40</v>
      </c>
      <c r="D207" s="2">
        <v>401882189</v>
      </c>
      <c r="E207" s="3" t="s">
        <v>680</v>
      </c>
      <c r="F207" s="1" t="s">
        <v>681</v>
      </c>
      <c r="G207" s="1" t="s">
        <v>42</v>
      </c>
      <c r="H207" s="1">
        <v>2</v>
      </c>
      <c r="I207" s="1">
        <v>1</v>
      </c>
      <c r="J207" s="1">
        <v>0</v>
      </c>
      <c r="K207" s="1">
        <v>0</v>
      </c>
      <c r="L207" s="1">
        <v>1</v>
      </c>
      <c r="M207" s="1">
        <f t="shared" si="8"/>
        <v>276</v>
      </c>
      <c r="N207" s="1">
        <f t="shared" si="9"/>
        <v>276</v>
      </c>
      <c r="O207" s="2" t="s">
        <v>525</v>
      </c>
      <c r="P207" s="1"/>
      <c r="Q207" s="1">
        <v>5.0000000000000001E-3</v>
      </c>
      <c r="R207" s="1" t="s">
        <v>44</v>
      </c>
      <c r="S207" s="30" t="s">
        <v>423</v>
      </c>
      <c r="T207" s="31" t="s">
        <v>238</v>
      </c>
      <c r="U207" s="1">
        <v>5000</v>
      </c>
      <c r="V207" s="1">
        <v>5000</v>
      </c>
      <c r="W207" s="1" t="s">
        <v>239</v>
      </c>
      <c r="X207" s="32" t="s">
        <v>286</v>
      </c>
      <c r="Y207" s="1" t="s">
        <v>241</v>
      </c>
      <c r="Z207" s="2" t="s">
        <v>242</v>
      </c>
      <c r="AA207" s="1"/>
      <c r="AB207" s="1"/>
      <c r="AC207" s="1"/>
      <c r="AD207" s="1"/>
      <c r="AE207" s="1"/>
      <c r="AF207" s="1"/>
      <c r="AG207" s="1"/>
      <c r="AH207" s="1"/>
      <c r="AI207" s="1"/>
      <c r="AJ207" s="1"/>
      <c r="AK207" s="1"/>
      <c r="AL207" s="1"/>
      <c r="AM207" s="1"/>
      <c r="AN207" s="1"/>
      <c r="AO207" s="1"/>
      <c r="AP207" s="1"/>
      <c r="AQ207" s="1"/>
      <c r="AR207" s="1"/>
      <c r="AS207" s="1"/>
      <c r="AT207" s="1"/>
      <c r="AU207" s="1"/>
      <c r="AV207" s="1">
        <f>SUM($AT207,Z207:$AA207)-SUM($AV$5:AV$5)*$J207-SUM($AV$6:AV$6)*$K207</f>
        <v>0</v>
      </c>
      <c r="AW207" s="1">
        <f>SUM($AT207,$AA207:AA207)-SUM($AV$5:AW$5)*$J207-SUM($AV$6:AW$6)*$K207</f>
        <v>0</v>
      </c>
      <c r="AX207" s="1">
        <f>SUM($AT207,$AA207:AB207)-SUM($AV$5:AX$5)*$J207-SUM($AV$6:AX$6)*$K207</f>
        <v>0</v>
      </c>
      <c r="AY207" s="1">
        <f>SUM($AT207,$AA207:AC207)-SUM($AV$5:AY$5)*$J207-SUM($AV$6:AY$6)*$K207</f>
        <v>0</v>
      </c>
      <c r="AZ207" s="1">
        <f>SUM($AT207,$AA207:AD207)-SUM($AV$5:AZ$5)*$J207-SUM($AV$6:AZ$6)*$K207</f>
        <v>0</v>
      </c>
      <c r="BA207" s="1">
        <f>SUM($AT207,$AA207:AE207)-SUM($AV$5:BA$5)*$J207-SUM($AV$6:BA$6)*$K207</f>
        <v>0</v>
      </c>
      <c r="BB207" s="1">
        <f>SUM($AT207,$AA207:AF207)-SUM($AV$5:BB$5)*$J207-SUM($AV$6:BB$6)*$K207</f>
        <v>0</v>
      </c>
      <c r="BC207" s="1">
        <f>SUM($AT207,$AA207:AG207)-SUM($AV$5:BC$5)*$J207-SUM($AV$6:BC$6)*$K207</f>
        <v>0</v>
      </c>
      <c r="BD207" s="1">
        <f>SUM($AT207,$AA207:AH207)-SUM($AV$5:BD$5)*$J207-SUM($AV$6:BD$6)*$K207</f>
        <v>0</v>
      </c>
      <c r="BE207" s="1">
        <f>SUM($AT207,$AA207:AI207)-SUM($AV$5:BE$5)*$J207-SUM($AV$6:BE$6)*$K207</f>
        <v>0</v>
      </c>
      <c r="BF207" s="1">
        <f>SUM($AT207,$AA207:AJ207)-SUM($AV$5:BF$5)*$J207-SUM($AV$6:BF$6)*$K207</f>
        <v>0</v>
      </c>
      <c r="BG207" s="1">
        <f>SUM($AT207,$AA207:AK207)-SUM($AV$5:BG$5)*$J207-SUM($AV$6:BG$6)*$K207</f>
        <v>0</v>
      </c>
      <c r="BH207" s="1">
        <f>SUM($AT207,$AA207:AL207)-SUM($AV$5:BH$5)*$J207-SUM($AV$6:BH$6)*$K207</f>
        <v>0</v>
      </c>
      <c r="BI207" s="1">
        <f>SUM($AT207,$AA207:AM207)-SUM($AV$5:BI$5)*$J207-SUM($AV$6:BI$6)*$K207</f>
        <v>0</v>
      </c>
      <c r="BJ207" s="1">
        <f>SUM($AT207,$AA207:AN207)-SUM($AV$5:BJ$5)*$J207-SUM($AV$6:BJ$6)*$K207</f>
        <v>0</v>
      </c>
      <c r="BK207" s="1">
        <f>SUM($AT207,$AA207:AO207)-SUM($AV$5:BK$5)*$J207-SUM($AV$6:BK$6)*$K207</f>
        <v>0</v>
      </c>
      <c r="BL207" s="1">
        <f>SUM($AT207,$AA207:AP207)-SUM($AV$5:BL$5)*$J207-SUM($AV$6:BL$6)*$K207</f>
        <v>0</v>
      </c>
      <c r="BM207" s="1">
        <f>SUM($AT207,$AA207:AQ207)-SUM($AV$5:BM$5)*$J207-SUM($AV$6:BM$6)*$K207</f>
        <v>0</v>
      </c>
      <c r="BN207" s="1">
        <f>SUM($AT207,$AA207:AR207)-SUM($AV$5:BN$5)*$J207-SUM($AV$6:BN$6)*$K207</f>
        <v>0</v>
      </c>
    </row>
    <row r="208" spans="1:66">
      <c r="A208" s="1">
        <v>229</v>
      </c>
      <c r="B208" s="28" t="s">
        <v>682</v>
      </c>
      <c r="C208" s="1" t="s">
        <v>40</v>
      </c>
      <c r="D208" s="2">
        <v>400658345</v>
      </c>
      <c r="E208" s="3" t="s">
        <v>683</v>
      </c>
      <c r="F208" s="1" t="s">
        <v>684</v>
      </c>
      <c r="G208" s="1" t="s">
        <v>42</v>
      </c>
      <c r="H208" s="1">
        <v>2</v>
      </c>
      <c r="I208" s="1">
        <v>7</v>
      </c>
      <c r="J208" s="1">
        <v>3</v>
      </c>
      <c r="K208" s="1">
        <v>0</v>
      </c>
      <c r="L208" s="1">
        <v>4</v>
      </c>
      <c r="M208" s="1">
        <f t="shared" si="8"/>
        <v>2850</v>
      </c>
      <c r="N208" s="1">
        <f t="shared" si="9"/>
        <v>2850</v>
      </c>
      <c r="O208" s="2" t="s">
        <v>525</v>
      </c>
      <c r="P208" s="1"/>
      <c r="Q208" s="1">
        <v>4.0000000000000001E-3</v>
      </c>
      <c r="R208" s="1" t="s">
        <v>44</v>
      </c>
      <c r="S208" s="30" t="s">
        <v>423</v>
      </c>
      <c r="T208" s="31" t="s">
        <v>238</v>
      </c>
      <c r="U208" s="1"/>
      <c r="V208" s="1">
        <v>5000</v>
      </c>
      <c r="W208" s="1" t="s">
        <v>239</v>
      </c>
      <c r="X208" s="32" t="s">
        <v>240</v>
      </c>
      <c r="Y208" s="1" t="s">
        <v>241</v>
      </c>
      <c r="Z208" s="2" t="s">
        <v>242</v>
      </c>
      <c r="AA208" s="1"/>
      <c r="AB208" s="1"/>
      <c r="AC208" s="1"/>
      <c r="AD208" s="1"/>
      <c r="AE208" s="1"/>
      <c r="AF208" s="1"/>
      <c r="AG208" s="1"/>
      <c r="AH208" s="1"/>
      <c r="AI208" s="1"/>
      <c r="AJ208" s="1"/>
      <c r="AK208" s="1"/>
      <c r="AL208" s="1"/>
      <c r="AM208" s="1"/>
      <c r="AN208" s="1"/>
      <c r="AO208" s="1"/>
      <c r="AP208" s="1"/>
      <c r="AQ208" s="1"/>
      <c r="AR208" s="1"/>
      <c r="AS208" s="1"/>
      <c r="AT208" s="1"/>
      <c r="AU208" s="1"/>
      <c r="AV208" s="1">
        <f>SUM($AT208,Z208:$AA208)-SUM($AV$5:AV$5)*$J208-SUM($AV$6:AV$6)*$K208</f>
        <v>0</v>
      </c>
      <c r="AW208" s="1">
        <f>SUM($AT208,$AA208:AA208)-SUM($AV$5:AW$5)*$J208-SUM($AV$6:AW$6)*$K208</f>
        <v>0</v>
      </c>
      <c r="AX208" s="1">
        <f>SUM($AT208,$AA208:AB208)-SUM($AV$5:AX$5)*$J208-SUM($AV$6:AX$6)*$K208</f>
        <v>0</v>
      </c>
      <c r="AY208" s="1">
        <f>SUM($AT208,$AA208:AC208)-SUM($AV$5:AY$5)*$J208-SUM($AV$6:AY$6)*$K208</f>
        <v>0</v>
      </c>
      <c r="AZ208" s="1">
        <f>SUM($AT208,$AA208:AD208)-SUM($AV$5:AZ$5)*$J208-SUM($AV$6:AZ$6)*$K208</f>
        <v>-120</v>
      </c>
      <c r="BA208" s="1">
        <f>SUM($AT208,$AA208:AE208)-SUM($AV$5:BA$5)*$J208-SUM($AV$6:BA$6)*$K208</f>
        <v>-240</v>
      </c>
      <c r="BB208" s="1">
        <f>SUM($AT208,$AA208:AF208)-SUM($AV$5:BB$5)*$J208-SUM($AV$6:BB$6)*$K208</f>
        <v>-360</v>
      </c>
      <c r="BC208" s="1">
        <f>SUM($AT208,$AA208:AG208)-SUM($AV$5:BC$5)*$J208-SUM($AV$6:BC$6)*$K208</f>
        <v>-480</v>
      </c>
      <c r="BD208" s="1">
        <f>SUM($AT208,$AA208:AH208)-SUM($AV$5:BD$5)*$J208-SUM($AV$6:BD$6)*$K208</f>
        <v>-600</v>
      </c>
      <c r="BE208" s="1">
        <f>SUM($AT208,$AA208:AI208)-SUM($AV$5:BE$5)*$J208-SUM($AV$6:BE$6)*$K208</f>
        <v>-720</v>
      </c>
      <c r="BF208" s="1">
        <f>SUM($AT208,$AA208:AJ208)-SUM($AV$5:BF$5)*$J208-SUM($AV$6:BF$6)*$K208</f>
        <v>-840</v>
      </c>
      <c r="BG208" s="1">
        <f>SUM($AT208,$AA208:AK208)-SUM($AV$5:BG$5)*$J208-SUM($AV$6:BG$6)*$K208</f>
        <v>-960</v>
      </c>
      <c r="BH208" s="1">
        <f>SUM($AT208,$AA208:AL208)-SUM($AV$5:BH$5)*$J208-SUM($AV$6:BH$6)*$K208</f>
        <v>-1080</v>
      </c>
      <c r="BI208" s="1">
        <f>SUM($AT208,$AA208:AM208)-SUM($AV$5:BI$5)*$J208-SUM($AV$6:BI$6)*$K208</f>
        <v>-1200</v>
      </c>
      <c r="BJ208" s="1">
        <f>SUM($AT208,$AA208:AN208)-SUM($AV$5:BJ$5)*$J208-SUM($AV$6:BJ$6)*$K208</f>
        <v>-1320</v>
      </c>
      <c r="BK208" s="1">
        <f>SUM($AT208,$AA208:AO208)-SUM($AV$5:BK$5)*$J208-SUM($AV$6:BK$6)*$K208</f>
        <v>-1440</v>
      </c>
      <c r="BL208" s="1">
        <f>SUM($AT208,$AA208:AP208)-SUM($AV$5:BL$5)*$J208-SUM($AV$6:BL$6)*$K208</f>
        <v>-1560</v>
      </c>
      <c r="BM208" s="1">
        <f>SUM($AT208,$AA208:AQ208)-SUM($AV$5:BM$5)*$J208-SUM($AV$6:BM$6)*$K208</f>
        <v>-1680</v>
      </c>
      <c r="BN208" s="1">
        <f>SUM($AT208,$AA208:AR208)-SUM($AV$5:BN$5)*$J208-SUM($AV$6:BN$6)*$K208</f>
        <v>-1746</v>
      </c>
    </row>
    <row r="209" spans="1:66">
      <c r="A209" s="1">
        <v>231</v>
      </c>
      <c r="B209" s="28" t="s">
        <v>685</v>
      </c>
      <c r="C209" s="1" t="s">
        <v>40</v>
      </c>
      <c r="D209" s="2">
        <v>402118346</v>
      </c>
      <c r="E209" s="3" t="s">
        <v>686</v>
      </c>
      <c r="F209" s="1" t="s">
        <v>687</v>
      </c>
      <c r="G209" s="1" t="s">
        <v>42</v>
      </c>
      <c r="H209" s="1">
        <v>2</v>
      </c>
      <c r="I209" s="1">
        <v>2</v>
      </c>
      <c r="J209" s="1">
        <v>2</v>
      </c>
      <c r="K209" s="1">
        <v>0</v>
      </c>
      <c r="L209" s="1">
        <v>0</v>
      </c>
      <c r="M209" s="1">
        <f t="shared" si="8"/>
        <v>1164</v>
      </c>
      <c r="N209" s="1">
        <f t="shared" si="9"/>
        <v>1164</v>
      </c>
      <c r="O209" s="2" t="s">
        <v>525</v>
      </c>
      <c r="P209" s="1"/>
      <c r="Q209" s="1">
        <v>4.0000000000000001E-3</v>
      </c>
      <c r="R209" s="1" t="s">
        <v>44</v>
      </c>
      <c r="S209" s="30" t="s">
        <v>423</v>
      </c>
      <c r="T209" s="31" t="s">
        <v>238</v>
      </c>
      <c r="U209" s="1"/>
      <c r="V209" s="1">
        <v>5000</v>
      </c>
      <c r="W209" s="1" t="s">
        <v>239</v>
      </c>
      <c r="X209" s="32" t="s">
        <v>240</v>
      </c>
      <c r="Y209" s="1" t="s">
        <v>241</v>
      </c>
      <c r="Z209" s="2" t="s">
        <v>242</v>
      </c>
      <c r="AA209" s="1"/>
      <c r="AB209" s="1"/>
      <c r="AC209" s="1"/>
      <c r="AD209" s="1"/>
      <c r="AE209" s="1"/>
      <c r="AF209" s="1"/>
      <c r="AG209" s="1"/>
      <c r="AH209" s="1"/>
      <c r="AI209" s="1"/>
      <c r="AJ209" s="1"/>
      <c r="AK209" s="1"/>
      <c r="AL209" s="1"/>
      <c r="AM209" s="1"/>
      <c r="AN209" s="1"/>
      <c r="AO209" s="1"/>
      <c r="AP209" s="1"/>
      <c r="AQ209" s="1"/>
      <c r="AR209" s="1"/>
      <c r="AS209" s="1"/>
      <c r="AT209" s="1"/>
      <c r="AU209" s="1"/>
      <c r="AV209" s="1">
        <f>SUM($AT209,Z209:$AA209)-SUM($AV$5:AV$5)*$J209-SUM($AV$6:AV$6)*$K209</f>
        <v>0</v>
      </c>
      <c r="AW209" s="1">
        <f>SUM($AT209,$AA209:AA209)-SUM($AV$5:AW$5)*$J209-SUM($AV$6:AW$6)*$K209</f>
        <v>0</v>
      </c>
      <c r="AX209" s="1">
        <f>SUM($AT209,$AA209:AB209)-SUM($AV$5:AX$5)*$J209-SUM($AV$6:AX$6)*$K209</f>
        <v>0</v>
      </c>
      <c r="AY209" s="1">
        <f>SUM($AT209,$AA209:AC209)-SUM($AV$5:AY$5)*$J209-SUM($AV$6:AY$6)*$K209</f>
        <v>0</v>
      </c>
      <c r="AZ209" s="1">
        <f>SUM($AT209,$AA209:AD209)-SUM($AV$5:AZ$5)*$J209-SUM($AV$6:AZ$6)*$K209</f>
        <v>-80</v>
      </c>
      <c r="BA209" s="1">
        <f>SUM($AT209,$AA209:AE209)-SUM($AV$5:BA$5)*$J209-SUM($AV$6:BA$6)*$K209</f>
        <v>-160</v>
      </c>
      <c r="BB209" s="1">
        <f>SUM($AT209,$AA209:AF209)-SUM($AV$5:BB$5)*$J209-SUM($AV$6:BB$6)*$K209</f>
        <v>-240</v>
      </c>
      <c r="BC209" s="1">
        <f>SUM($AT209,$AA209:AG209)-SUM($AV$5:BC$5)*$J209-SUM($AV$6:BC$6)*$K209</f>
        <v>-320</v>
      </c>
      <c r="BD209" s="1">
        <f>SUM($AT209,$AA209:AH209)-SUM($AV$5:BD$5)*$J209-SUM($AV$6:BD$6)*$K209</f>
        <v>-400</v>
      </c>
      <c r="BE209" s="1">
        <f>SUM($AT209,$AA209:AI209)-SUM($AV$5:BE$5)*$J209-SUM($AV$6:BE$6)*$K209</f>
        <v>-480</v>
      </c>
      <c r="BF209" s="1">
        <f>SUM($AT209,$AA209:AJ209)-SUM($AV$5:BF$5)*$J209-SUM($AV$6:BF$6)*$K209</f>
        <v>-560</v>
      </c>
      <c r="BG209" s="1">
        <f>SUM($AT209,$AA209:AK209)-SUM($AV$5:BG$5)*$J209-SUM($AV$6:BG$6)*$K209</f>
        <v>-640</v>
      </c>
      <c r="BH209" s="1">
        <f>SUM($AT209,$AA209:AL209)-SUM($AV$5:BH$5)*$J209-SUM($AV$6:BH$6)*$K209</f>
        <v>-720</v>
      </c>
      <c r="BI209" s="1">
        <f>SUM($AT209,$AA209:AM209)-SUM($AV$5:BI$5)*$J209-SUM($AV$6:BI$6)*$K209</f>
        <v>-800</v>
      </c>
      <c r="BJ209" s="1">
        <f>SUM($AT209,$AA209:AN209)-SUM($AV$5:BJ$5)*$J209-SUM($AV$6:BJ$6)*$K209</f>
        <v>-880</v>
      </c>
      <c r="BK209" s="1">
        <f>SUM($AT209,$AA209:AO209)-SUM($AV$5:BK$5)*$J209-SUM($AV$6:BK$6)*$K209</f>
        <v>-960</v>
      </c>
      <c r="BL209" s="1">
        <f>SUM($AT209,$AA209:AP209)-SUM($AV$5:BL$5)*$J209-SUM($AV$6:BL$6)*$K209</f>
        <v>-1040</v>
      </c>
      <c r="BM209" s="1">
        <f>SUM($AT209,$AA209:AQ209)-SUM($AV$5:BM$5)*$J209-SUM($AV$6:BM$6)*$K209</f>
        <v>-1120</v>
      </c>
      <c r="BN209" s="1">
        <f>SUM($AT209,$AA209:AR209)-SUM($AV$5:BN$5)*$J209-SUM($AV$6:BN$6)*$K209</f>
        <v>-1164</v>
      </c>
    </row>
    <row r="210" spans="1:66">
      <c r="A210" s="1">
        <v>233</v>
      </c>
      <c r="B210" s="28" t="s">
        <v>688</v>
      </c>
      <c r="C210" s="1" t="s">
        <v>40</v>
      </c>
      <c r="D210" s="2">
        <v>401053473</v>
      </c>
      <c r="E210" s="3" t="s">
        <v>689</v>
      </c>
      <c r="F210" s="1" t="s">
        <v>690</v>
      </c>
      <c r="G210" s="1" t="s">
        <v>42</v>
      </c>
      <c r="H210" s="1">
        <v>2</v>
      </c>
      <c r="I210" s="1">
        <v>1</v>
      </c>
      <c r="J210" s="1">
        <v>1</v>
      </c>
      <c r="K210" s="1">
        <v>0</v>
      </c>
      <c r="L210" s="1">
        <v>0</v>
      </c>
      <c r="M210" s="1">
        <f t="shared" si="8"/>
        <v>582</v>
      </c>
      <c r="N210" s="1">
        <f t="shared" si="9"/>
        <v>582</v>
      </c>
      <c r="O210" s="2" t="s">
        <v>525</v>
      </c>
      <c r="P210" s="1"/>
      <c r="Q210" s="1">
        <v>4.0000000000000001E-3</v>
      </c>
      <c r="R210" s="1" t="s">
        <v>44</v>
      </c>
      <c r="S210" s="30" t="s">
        <v>423</v>
      </c>
      <c r="T210" s="31" t="s">
        <v>238</v>
      </c>
      <c r="U210" s="1"/>
      <c r="V210" s="1">
        <v>5000</v>
      </c>
      <c r="W210" s="1" t="s">
        <v>239</v>
      </c>
      <c r="X210" s="32" t="s">
        <v>240</v>
      </c>
      <c r="Y210" s="1" t="s">
        <v>241</v>
      </c>
      <c r="Z210" s="2" t="s">
        <v>242</v>
      </c>
      <c r="AA210" s="1"/>
      <c r="AB210" s="1"/>
      <c r="AC210" s="1"/>
      <c r="AD210" s="1"/>
      <c r="AE210" s="1"/>
      <c r="AF210" s="1"/>
      <c r="AG210" s="1"/>
      <c r="AH210" s="1"/>
      <c r="AI210" s="1"/>
      <c r="AJ210" s="1"/>
      <c r="AK210" s="1"/>
      <c r="AL210" s="1"/>
      <c r="AM210" s="1"/>
      <c r="AN210" s="1"/>
      <c r="AO210" s="1"/>
      <c r="AP210" s="1"/>
      <c r="AQ210" s="1"/>
      <c r="AR210" s="1"/>
      <c r="AS210" s="1"/>
      <c r="AT210" s="1"/>
      <c r="AU210" s="1"/>
      <c r="AV210" s="1">
        <f>SUM($AT210,Z210:$AA210)-SUM($AV$5:AV$5)*$J210-SUM($AV$6:AV$6)*$K210</f>
        <v>0</v>
      </c>
      <c r="AW210" s="1">
        <f>SUM($AT210,$AA210:AA210)-SUM($AV$5:AW$5)*$J210-SUM($AV$6:AW$6)*$K210</f>
        <v>0</v>
      </c>
      <c r="AX210" s="1">
        <f>SUM($AT210,$AA210:AB210)-SUM($AV$5:AX$5)*$J210-SUM($AV$6:AX$6)*$K210</f>
        <v>0</v>
      </c>
      <c r="AY210" s="1">
        <f>SUM($AT210,$AA210:AC210)-SUM($AV$5:AY$5)*$J210-SUM($AV$6:AY$6)*$K210</f>
        <v>0</v>
      </c>
      <c r="AZ210" s="1">
        <f>SUM($AT210,$AA210:AD210)-SUM($AV$5:AZ$5)*$J210-SUM($AV$6:AZ$6)*$K210</f>
        <v>-40</v>
      </c>
      <c r="BA210" s="1">
        <f>SUM($AT210,$AA210:AE210)-SUM($AV$5:BA$5)*$J210-SUM($AV$6:BA$6)*$K210</f>
        <v>-80</v>
      </c>
      <c r="BB210" s="1">
        <f>SUM($AT210,$AA210:AF210)-SUM($AV$5:BB$5)*$J210-SUM($AV$6:BB$6)*$K210</f>
        <v>-120</v>
      </c>
      <c r="BC210" s="1">
        <f>SUM($AT210,$AA210:AG210)-SUM($AV$5:BC$5)*$J210-SUM($AV$6:BC$6)*$K210</f>
        <v>-160</v>
      </c>
      <c r="BD210" s="1">
        <f>SUM($AT210,$AA210:AH210)-SUM($AV$5:BD$5)*$J210-SUM($AV$6:BD$6)*$K210</f>
        <v>-200</v>
      </c>
      <c r="BE210" s="1">
        <f>SUM($AT210,$AA210:AI210)-SUM($AV$5:BE$5)*$J210-SUM($AV$6:BE$6)*$K210</f>
        <v>-240</v>
      </c>
      <c r="BF210" s="1">
        <f>SUM($AT210,$AA210:AJ210)-SUM($AV$5:BF$5)*$J210-SUM($AV$6:BF$6)*$K210</f>
        <v>-280</v>
      </c>
      <c r="BG210" s="1">
        <f>SUM($AT210,$AA210:AK210)-SUM($AV$5:BG$5)*$J210-SUM($AV$6:BG$6)*$K210</f>
        <v>-320</v>
      </c>
      <c r="BH210" s="1">
        <f>SUM($AT210,$AA210:AL210)-SUM($AV$5:BH$5)*$J210-SUM($AV$6:BH$6)*$K210</f>
        <v>-360</v>
      </c>
      <c r="BI210" s="1">
        <f>SUM($AT210,$AA210:AM210)-SUM($AV$5:BI$5)*$J210-SUM($AV$6:BI$6)*$K210</f>
        <v>-400</v>
      </c>
      <c r="BJ210" s="1">
        <f>SUM($AT210,$AA210:AN210)-SUM($AV$5:BJ$5)*$J210-SUM($AV$6:BJ$6)*$K210</f>
        <v>-440</v>
      </c>
      <c r="BK210" s="1">
        <f>SUM($AT210,$AA210:AO210)-SUM($AV$5:BK$5)*$J210-SUM($AV$6:BK$6)*$K210</f>
        <v>-480</v>
      </c>
      <c r="BL210" s="1">
        <f>SUM($AT210,$AA210:AP210)-SUM($AV$5:BL$5)*$J210-SUM($AV$6:BL$6)*$K210</f>
        <v>-520</v>
      </c>
      <c r="BM210" s="1">
        <f>SUM($AT210,$AA210:AQ210)-SUM($AV$5:BM$5)*$J210-SUM($AV$6:BM$6)*$K210</f>
        <v>-560</v>
      </c>
      <c r="BN210" s="1">
        <f>SUM($AT210,$AA210:AR210)-SUM($AV$5:BN$5)*$J210-SUM($AV$6:BN$6)*$K210</f>
        <v>-582</v>
      </c>
    </row>
    <row r="211" spans="1:66">
      <c r="A211" s="1">
        <v>234</v>
      </c>
      <c r="B211" s="28" t="s">
        <v>691</v>
      </c>
      <c r="C211" s="1" t="s">
        <v>40</v>
      </c>
      <c r="D211" s="2">
        <v>401519148</v>
      </c>
      <c r="E211" s="3" t="s">
        <v>692</v>
      </c>
      <c r="F211" s="1" t="s">
        <v>693</v>
      </c>
      <c r="G211" s="1" t="s">
        <v>42</v>
      </c>
      <c r="H211" s="1">
        <v>2</v>
      </c>
      <c r="I211" s="1">
        <v>8</v>
      </c>
      <c r="J211" s="1">
        <v>8</v>
      </c>
      <c r="K211" s="1">
        <v>0</v>
      </c>
      <c r="L211" s="1">
        <v>0</v>
      </c>
      <c r="M211" s="1">
        <f t="shared" si="8"/>
        <v>4656</v>
      </c>
      <c r="N211" s="1">
        <f t="shared" si="9"/>
        <v>4656</v>
      </c>
      <c r="O211" s="2" t="s">
        <v>525</v>
      </c>
      <c r="P211" s="1"/>
      <c r="Q211" s="1">
        <v>4.0000000000000001E-3</v>
      </c>
      <c r="R211" s="1" t="s">
        <v>44</v>
      </c>
      <c r="S211" s="30" t="s">
        <v>423</v>
      </c>
      <c r="T211" s="31" t="s">
        <v>238</v>
      </c>
      <c r="U211" s="1"/>
      <c r="V211" s="1">
        <v>5000</v>
      </c>
      <c r="W211" s="1" t="s">
        <v>239</v>
      </c>
      <c r="X211" s="32" t="s">
        <v>240</v>
      </c>
      <c r="Y211" s="1" t="s">
        <v>241</v>
      </c>
      <c r="Z211" s="2" t="s">
        <v>242</v>
      </c>
      <c r="AA211" s="1"/>
      <c r="AB211" s="1"/>
      <c r="AC211" s="1"/>
      <c r="AD211" s="1"/>
      <c r="AE211" s="1"/>
      <c r="AF211" s="1"/>
      <c r="AG211" s="1"/>
      <c r="AH211" s="1"/>
      <c r="AI211" s="1"/>
      <c r="AJ211" s="1"/>
      <c r="AK211" s="1"/>
      <c r="AL211" s="1"/>
      <c r="AM211" s="1"/>
      <c r="AN211" s="1"/>
      <c r="AO211" s="1"/>
      <c r="AP211" s="1"/>
      <c r="AQ211" s="1"/>
      <c r="AR211" s="1"/>
      <c r="AS211" s="1"/>
      <c r="AT211" s="1"/>
      <c r="AU211" s="1"/>
      <c r="AV211" s="1">
        <f>SUM($AT211,Z211:$AA211)-SUM($AV$5:AV$5)*$J211-SUM($AV$6:AV$6)*$K211</f>
        <v>0</v>
      </c>
      <c r="AW211" s="1">
        <f>SUM($AT211,$AA211:AA211)-SUM($AV$5:AW$5)*$J211-SUM($AV$6:AW$6)*$K211</f>
        <v>0</v>
      </c>
      <c r="AX211" s="1">
        <f>SUM($AT211,$AA211:AB211)-SUM($AV$5:AX$5)*$J211-SUM($AV$6:AX$6)*$K211</f>
        <v>0</v>
      </c>
      <c r="AY211" s="1">
        <f>SUM($AT211,$AA211:AC211)-SUM($AV$5:AY$5)*$J211-SUM($AV$6:AY$6)*$K211</f>
        <v>0</v>
      </c>
      <c r="AZ211" s="1">
        <f>SUM($AT211,$AA211:AD211)-SUM($AV$5:AZ$5)*$J211-SUM($AV$6:AZ$6)*$K211</f>
        <v>-320</v>
      </c>
      <c r="BA211" s="1">
        <f>SUM($AT211,$AA211:AE211)-SUM($AV$5:BA$5)*$J211-SUM($AV$6:BA$6)*$K211</f>
        <v>-640</v>
      </c>
      <c r="BB211" s="1">
        <f>SUM($AT211,$AA211:AF211)-SUM($AV$5:BB$5)*$J211-SUM($AV$6:BB$6)*$K211</f>
        <v>-960</v>
      </c>
      <c r="BC211" s="1">
        <f>SUM($AT211,$AA211:AG211)-SUM($AV$5:BC$5)*$J211-SUM($AV$6:BC$6)*$K211</f>
        <v>-1280</v>
      </c>
      <c r="BD211" s="1">
        <f>SUM($AT211,$AA211:AH211)-SUM($AV$5:BD$5)*$J211-SUM($AV$6:BD$6)*$K211</f>
        <v>-1600</v>
      </c>
      <c r="BE211" s="1">
        <f>SUM($AT211,$AA211:AI211)-SUM($AV$5:BE$5)*$J211-SUM($AV$6:BE$6)*$K211</f>
        <v>-1920</v>
      </c>
      <c r="BF211" s="1">
        <f>SUM($AT211,$AA211:AJ211)-SUM($AV$5:BF$5)*$J211-SUM($AV$6:BF$6)*$K211</f>
        <v>-2240</v>
      </c>
      <c r="BG211" s="1">
        <f>SUM($AT211,$AA211:AK211)-SUM($AV$5:BG$5)*$J211-SUM($AV$6:BG$6)*$K211</f>
        <v>-2560</v>
      </c>
      <c r="BH211" s="1">
        <f>SUM($AT211,$AA211:AL211)-SUM($AV$5:BH$5)*$J211-SUM($AV$6:BH$6)*$K211</f>
        <v>-2880</v>
      </c>
      <c r="BI211" s="1">
        <f>SUM($AT211,$AA211:AM211)-SUM($AV$5:BI$5)*$J211-SUM($AV$6:BI$6)*$K211</f>
        <v>-3200</v>
      </c>
      <c r="BJ211" s="1">
        <f>SUM($AT211,$AA211:AN211)-SUM($AV$5:BJ$5)*$J211-SUM($AV$6:BJ$6)*$K211</f>
        <v>-3520</v>
      </c>
      <c r="BK211" s="1">
        <f>SUM($AT211,$AA211:AO211)-SUM($AV$5:BK$5)*$J211-SUM($AV$6:BK$6)*$K211</f>
        <v>-3840</v>
      </c>
      <c r="BL211" s="1">
        <f>SUM($AT211,$AA211:AP211)-SUM($AV$5:BL$5)*$J211-SUM($AV$6:BL$6)*$K211</f>
        <v>-4160</v>
      </c>
      <c r="BM211" s="1">
        <f>SUM($AT211,$AA211:AQ211)-SUM($AV$5:BM$5)*$J211-SUM($AV$6:BM$6)*$K211</f>
        <v>-4480</v>
      </c>
      <c r="BN211" s="1">
        <f>SUM($AT211,$AA211:AR211)-SUM($AV$5:BN$5)*$J211-SUM($AV$6:BN$6)*$K211</f>
        <v>-4656</v>
      </c>
    </row>
    <row r="212" spans="1:66">
      <c r="A212" s="1">
        <v>235</v>
      </c>
      <c r="B212" s="28" t="s">
        <v>694</v>
      </c>
      <c r="C212" s="1" t="s">
        <v>40</v>
      </c>
      <c r="D212" s="2">
        <v>401316098</v>
      </c>
      <c r="E212" s="3" t="s">
        <v>695</v>
      </c>
      <c r="F212" s="1" t="s">
        <v>696</v>
      </c>
      <c r="G212" s="1" t="s">
        <v>42</v>
      </c>
      <c r="H212" s="1">
        <v>2</v>
      </c>
      <c r="I212" s="1">
        <v>4</v>
      </c>
      <c r="J212" s="1">
        <v>4</v>
      </c>
      <c r="K212" s="1">
        <v>0</v>
      </c>
      <c r="L212" s="1">
        <v>0</v>
      </c>
      <c r="M212" s="1">
        <f t="shared" si="8"/>
        <v>2328</v>
      </c>
      <c r="N212" s="1">
        <f t="shared" si="9"/>
        <v>2328</v>
      </c>
      <c r="O212" s="2" t="s">
        <v>525</v>
      </c>
      <c r="P212" s="1"/>
      <c r="Q212" s="1">
        <v>4.0000000000000001E-3</v>
      </c>
      <c r="R212" s="1" t="s">
        <v>44</v>
      </c>
      <c r="S212" s="30" t="s">
        <v>423</v>
      </c>
      <c r="T212" s="31" t="s">
        <v>238</v>
      </c>
      <c r="U212" s="1">
        <v>5000</v>
      </c>
      <c r="V212" s="1">
        <v>5000</v>
      </c>
      <c r="W212" s="1" t="s">
        <v>239</v>
      </c>
      <c r="X212" s="32" t="s">
        <v>240</v>
      </c>
      <c r="Y212" s="1" t="s">
        <v>241</v>
      </c>
      <c r="Z212" s="2" t="s">
        <v>242</v>
      </c>
      <c r="AA212" s="1"/>
      <c r="AB212" s="1"/>
      <c r="AC212" s="1"/>
      <c r="AD212" s="1"/>
      <c r="AE212" s="1"/>
      <c r="AF212" s="1"/>
      <c r="AG212" s="1"/>
      <c r="AH212" s="1"/>
      <c r="AI212" s="1"/>
      <c r="AJ212" s="1"/>
      <c r="AK212" s="1"/>
      <c r="AL212" s="1"/>
      <c r="AM212" s="1"/>
      <c r="AN212" s="1"/>
      <c r="AO212" s="1"/>
      <c r="AP212" s="1"/>
      <c r="AQ212" s="1"/>
      <c r="AR212" s="1"/>
      <c r="AS212" s="1"/>
      <c r="AT212" s="1"/>
      <c r="AU212" s="1"/>
      <c r="AV212" s="1">
        <f>SUM($AT212,Z212:$AA212)-SUM($AV$5:AV$5)*$J212-SUM($AV$6:AV$6)*$K212</f>
        <v>0</v>
      </c>
      <c r="AW212" s="1">
        <f>SUM($AT212,$AA212:AA212)-SUM($AV$5:AW$5)*$J212-SUM($AV$6:AW$6)*$K212</f>
        <v>0</v>
      </c>
      <c r="AX212" s="1">
        <f>SUM($AT212,$AA212:AB212)-SUM($AV$5:AX$5)*$J212-SUM($AV$6:AX$6)*$K212</f>
        <v>0</v>
      </c>
      <c r="AY212" s="1">
        <f>SUM($AT212,$AA212:AC212)-SUM($AV$5:AY$5)*$J212-SUM($AV$6:AY$6)*$K212</f>
        <v>0</v>
      </c>
      <c r="AZ212" s="1">
        <f>SUM($AT212,$AA212:AD212)-SUM($AV$5:AZ$5)*$J212-SUM($AV$6:AZ$6)*$K212</f>
        <v>-160</v>
      </c>
      <c r="BA212" s="1">
        <f>SUM($AT212,$AA212:AE212)-SUM($AV$5:BA$5)*$J212-SUM($AV$6:BA$6)*$K212</f>
        <v>-320</v>
      </c>
      <c r="BB212" s="1">
        <f>SUM($AT212,$AA212:AF212)-SUM($AV$5:BB$5)*$J212-SUM($AV$6:BB$6)*$K212</f>
        <v>-480</v>
      </c>
      <c r="BC212" s="1">
        <f>SUM($AT212,$AA212:AG212)-SUM($AV$5:BC$5)*$J212-SUM($AV$6:BC$6)*$K212</f>
        <v>-640</v>
      </c>
      <c r="BD212" s="1">
        <f>SUM($AT212,$AA212:AH212)-SUM($AV$5:BD$5)*$J212-SUM($AV$6:BD$6)*$K212</f>
        <v>-800</v>
      </c>
      <c r="BE212" s="1">
        <f>SUM($AT212,$AA212:AI212)-SUM($AV$5:BE$5)*$J212-SUM($AV$6:BE$6)*$K212</f>
        <v>-960</v>
      </c>
      <c r="BF212" s="1">
        <f>SUM($AT212,$AA212:AJ212)-SUM($AV$5:BF$5)*$J212-SUM($AV$6:BF$6)*$K212</f>
        <v>-1120</v>
      </c>
      <c r="BG212" s="1">
        <f>SUM($AT212,$AA212:AK212)-SUM($AV$5:BG$5)*$J212-SUM($AV$6:BG$6)*$K212</f>
        <v>-1280</v>
      </c>
      <c r="BH212" s="1">
        <f>SUM($AT212,$AA212:AL212)-SUM($AV$5:BH$5)*$J212-SUM($AV$6:BH$6)*$K212</f>
        <v>-1440</v>
      </c>
      <c r="BI212" s="1">
        <f>SUM($AT212,$AA212:AM212)-SUM($AV$5:BI$5)*$J212-SUM($AV$6:BI$6)*$K212</f>
        <v>-1600</v>
      </c>
      <c r="BJ212" s="1">
        <f>SUM($AT212,$AA212:AN212)-SUM($AV$5:BJ$5)*$J212-SUM($AV$6:BJ$6)*$K212</f>
        <v>-1760</v>
      </c>
      <c r="BK212" s="1">
        <f>SUM($AT212,$AA212:AO212)-SUM($AV$5:BK$5)*$J212-SUM($AV$6:BK$6)*$K212</f>
        <v>-1920</v>
      </c>
      <c r="BL212" s="1">
        <f>SUM($AT212,$AA212:AP212)-SUM($AV$5:BL$5)*$J212-SUM($AV$6:BL$6)*$K212</f>
        <v>-2080</v>
      </c>
      <c r="BM212" s="1">
        <f>SUM($AT212,$AA212:AQ212)-SUM($AV$5:BM$5)*$J212-SUM($AV$6:BM$6)*$K212</f>
        <v>-2240</v>
      </c>
      <c r="BN212" s="1">
        <f>SUM($AT212,$AA212:AR212)-SUM($AV$5:BN$5)*$J212-SUM($AV$6:BN$6)*$K212</f>
        <v>-2328</v>
      </c>
    </row>
    <row r="213" spans="1:66">
      <c r="A213" s="1">
        <v>217</v>
      </c>
      <c r="B213" s="28" t="s">
        <v>697</v>
      </c>
      <c r="C213" s="1" t="s">
        <v>40</v>
      </c>
      <c r="D213" s="2">
        <v>404166877</v>
      </c>
      <c r="E213" s="3" t="s">
        <v>698</v>
      </c>
      <c r="F213" s="1" t="s">
        <v>699</v>
      </c>
      <c r="G213" s="1" t="s">
        <v>42</v>
      </c>
      <c r="H213" s="1">
        <v>2</v>
      </c>
      <c r="I213" s="1">
        <v>4</v>
      </c>
      <c r="J213" s="1">
        <v>0</v>
      </c>
      <c r="K213" s="1">
        <v>0</v>
      </c>
      <c r="L213" s="1">
        <v>4</v>
      </c>
      <c r="M213" s="1">
        <f t="shared" si="8"/>
        <v>1104</v>
      </c>
      <c r="N213" s="1">
        <f t="shared" si="9"/>
        <v>1104</v>
      </c>
      <c r="O213" s="2" t="s">
        <v>525</v>
      </c>
      <c r="P213" s="1"/>
      <c r="Q213" s="1">
        <v>4.0000000000000001E-3</v>
      </c>
      <c r="R213" s="1" t="s">
        <v>44</v>
      </c>
      <c r="S213" s="30" t="s">
        <v>423</v>
      </c>
      <c r="T213" s="31" t="s">
        <v>238</v>
      </c>
      <c r="U213" s="1"/>
      <c r="V213" s="1">
        <v>5000</v>
      </c>
      <c r="W213" s="1" t="s">
        <v>239</v>
      </c>
      <c r="X213" s="32" t="s">
        <v>286</v>
      </c>
      <c r="Y213" s="1" t="s">
        <v>241</v>
      </c>
      <c r="Z213" s="2" t="s">
        <v>242</v>
      </c>
      <c r="AA213" s="1"/>
      <c r="AB213" s="1"/>
      <c r="AC213" s="1"/>
      <c r="AD213" s="1"/>
      <c r="AE213" s="1"/>
      <c r="AF213" s="1"/>
      <c r="AG213" s="1"/>
      <c r="AH213" s="1"/>
      <c r="AI213" s="1"/>
      <c r="AJ213" s="1"/>
      <c r="AK213" s="1"/>
      <c r="AL213" s="1"/>
      <c r="AM213" s="1"/>
      <c r="AN213" s="1"/>
      <c r="AO213" s="1"/>
      <c r="AP213" s="1"/>
      <c r="AQ213" s="1"/>
      <c r="AR213" s="1"/>
      <c r="AS213" s="1"/>
      <c r="AT213" s="1"/>
      <c r="AU213" s="1"/>
      <c r="AV213" s="1">
        <f>SUM($AT213,Z213:$AA213)-SUM($AV$5:AV$5)*$J213-SUM($AV$6:AV$6)*$K213</f>
        <v>0</v>
      </c>
      <c r="AW213" s="1">
        <f>SUM($AT213,$AA213:AA213)-SUM($AV$5:AW$5)*$J213-SUM($AV$6:AW$6)*$K213</f>
        <v>0</v>
      </c>
      <c r="AX213" s="1">
        <f>SUM($AT213,$AA213:AB213)-SUM($AV$5:AX$5)*$J213-SUM($AV$6:AX$6)*$K213</f>
        <v>0</v>
      </c>
      <c r="AY213" s="1">
        <f>SUM($AT213,$AA213:AC213)-SUM($AV$5:AY$5)*$J213-SUM($AV$6:AY$6)*$K213</f>
        <v>0</v>
      </c>
      <c r="AZ213" s="1">
        <f>SUM($AT213,$AA213:AD213)-SUM($AV$5:AZ$5)*$J213-SUM($AV$6:AZ$6)*$K213</f>
        <v>0</v>
      </c>
      <c r="BA213" s="1">
        <f>SUM($AT213,$AA213:AE213)-SUM($AV$5:BA$5)*$J213-SUM($AV$6:BA$6)*$K213</f>
        <v>0</v>
      </c>
      <c r="BB213" s="1">
        <f>SUM($AT213,$AA213:AF213)-SUM($AV$5:BB$5)*$J213-SUM($AV$6:BB$6)*$K213</f>
        <v>0</v>
      </c>
      <c r="BC213" s="1">
        <f>SUM($AT213,$AA213:AG213)-SUM($AV$5:BC$5)*$J213-SUM($AV$6:BC$6)*$K213</f>
        <v>0</v>
      </c>
      <c r="BD213" s="1">
        <f>SUM($AT213,$AA213:AH213)-SUM($AV$5:BD$5)*$J213-SUM($AV$6:BD$6)*$K213</f>
        <v>0</v>
      </c>
      <c r="BE213" s="1">
        <f>SUM($AT213,$AA213:AI213)-SUM($AV$5:BE$5)*$J213-SUM($AV$6:BE$6)*$K213</f>
        <v>0</v>
      </c>
      <c r="BF213" s="1">
        <f>SUM($AT213,$AA213:AJ213)-SUM($AV$5:BF$5)*$J213-SUM($AV$6:BF$6)*$K213</f>
        <v>0</v>
      </c>
      <c r="BG213" s="1">
        <f>SUM($AT213,$AA213:AK213)-SUM($AV$5:BG$5)*$J213-SUM($AV$6:BG$6)*$K213</f>
        <v>0</v>
      </c>
      <c r="BH213" s="1">
        <f>SUM($AT213,$AA213:AL213)-SUM($AV$5:BH$5)*$J213-SUM($AV$6:BH$6)*$K213</f>
        <v>0</v>
      </c>
      <c r="BI213" s="1">
        <f>SUM($AT213,$AA213:AM213)-SUM($AV$5:BI$5)*$J213-SUM($AV$6:BI$6)*$K213</f>
        <v>0</v>
      </c>
      <c r="BJ213" s="1">
        <f>SUM($AT213,$AA213:AN213)-SUM($AV$5:BJ$5)*$J213-SUM($AV$6:BJ$6)*$K213</f>
        <v>0</v>
      </c>
      <c r="BK213" s="1">
        <f>SUM($AT213,$AA213:AO213)-SUM($AV$5:BK$5)*$J213-SUM($AV$6:BK$6)*$K213</f>
        <v>0</v>
      </c>
      <c r="BL213" s="1">
        <f>SUM($AT213,$AA213:AP213)-SUM($AV$5:BL$5)*$J213-SUM($AV$6:BL$6)*$K213</f>
        <v>0</v>
      </c>
      <c r="BM213" s="1">
        <f>SUM($AT213,$AA213:AQ213)-SUM($AV$5:BM$5)*$J213-SUM($AV$6:BM$6)*$K213</f>
        <v>0</v>
      </c>
      <c r="BN213" s="1">
        <f>SUM($AT213,$AA213:AR213)-SUM($AV$5:BN$5)*$J213-SUM($AV$6:BN$6)*$K213</f>
        <v>0</v>
      </c>
    </row>
    <row r="214" spans="1:66">
      <c r="A214" s="1">
        <v>236</v>
      </c>
      <c r="B214" s="28" t="s">
        <v>700</v>
      </c>
      <c r="C214" s="1" t="s">
        <v>40</v>
      </c>
      <c r="D214" s="2">
        <v>401282464</v>
      </c>
      <c r="E214" s="3" t="s">
        <v>701</v>
      </c>
      <c r="F214" s="1" t="s">
        <v>702</v>
      </c>
      <c r="G214" s="1" t="s">
        <v>42</v>
      </c>
      <c r="H214" s="1">
        <v>2</v>
      </c>
      <c r="I214" s="1">
        <v>2</v>
      </c>
      <c r="J214" s="1">
        <v>2</v>
      </c>
      <c r="K214" s="1">
        <v>0</v>
      </c>
      <c r="L214" s="1">
        <v>0</v>
      </c>
      <c r="M214" s="1">
        <f t="shared" si="8"/>
        <v>1164</v>
      </c>
      <c r="N214" s="1">
        <f t="shared" si="9"/>
        <v>1164</v>
      </c>
      <c r="O214" s="2" t="s">
        <v>525</v>
      </c>
      <c r="P214" s="1"/>
      <c r="Q214" s="1">
        <v>4.0000000000000001E-3</v>
      </c>
      <c r="R214" s="1" t="s">
        <v>44</v>
      </c>
      <c r="S214" s="30" t="s">
        <v>423</v>
      </c>
      <c r="T214" s="31" t="s">
        <v>238</v>
      </c>
      <c r="U214" s="1"/>
      <c r="V214" s="1">
        <v>5000</v>
      </c>
      <c r="W214" s="1" t="s">
        <v>239</v>
      </c>
      <c r="X214" s="32" t="s">
        <v>240</v>
      </c>
      <c r="Y214" s="1" t="s">
        <v>241</v>
      </c>
      <c r="Z214" s="2" t="s">
        <v>242</v>
      </c>
      <c r="AA214" s="1"/>
      <c r="AB214" s="1"/>
      <c r="AC214" s="1"/>
      <c r="AD214" s="1"/>
      <c r="AE214" s="1"/>
      <c r="AF214" s="1"/>
      <c r="AG214" s="1"/>
      <c r="AH214" s="1"/>
      <c r="AI214" s="1"/>
      <c r="AJ214" s="1"/>
      <c r="AK214" s="1"/>
      <c r="AL214" s="1"/>
      <c r="AM214" s="1"/>
      <c r="AN214" s="1"/>
      <c r="AO214" s="1"/>
      <c r="AP214" s="1"/>
      <c r="AQ214" s="1"/>
      <c r="AR214" s="1"/>
      <c r="AS214" s="1"/>
      <c r="AT214" s="1"/>
      <c r="AU214" s="1"/>
      <c r="AV214" s="1">
        <f>SUM($AT214,Z214:$AA214)-SUM($AV$5:AV$5)*$J214-SUM($AV$6:AV$6)*$K214</f>
        <v>0</v>
      </c>
      <c r="AW214" s="1">
        <f>SUM($AT214,$AA214:AA214)-SUM($AV$5:AW$5)*$J214-SUM($AV$6:AW$6)*$K214</f>
        <v>0</v>
      </c>
      <c r="AX214" s="1">
        <f>SUM($AT214,$AA214:AB214)-SUM($AV$5:AX$5)*$J214-SUM($AV$6:AX$6)*$K214</f>
        <v>0</v>
      </c>
      <c r="AY214" s="1">
        <f>SUM($AT214,$AA214:AC214)-SUM($AV$5:AY$5)*$J214-SUM($AV$6:AY$6)*$K214</f>
        <v>0</v>
      </c>
      <c r="AZ214" s="1">
        <f>SUM($AT214,$AA214:AD214)-SUM($AV$5:AZ$5)*$J214-SUM($AV$6:AZ$6)*$K214</f>
        <v>-80</v>
      </c>
      <c r="BA214" s="1">
        <f>SUM($AT214,$AA214:AE214)-SUM($AV$5:BA$5)*$J214-SUM($AV$6:BA$6)*$K214</f>
        <v>-160</v>
      </c>
      <c r="BB214" s="1">
        <f>SUM($AT214,$AA214:AF214)-SUM($AV$5:BB$5)*$J214-SUM($AV$6:BB$6)*$K214</f>
        <v>-240</v>
      </c>
      <c r="BC214" s="1">
        <f>SUM($AT214,$AA214:AG214)-SUM($AV$5:BC$5)*$J214-SUM($AV$6:BC$6)*$K214</f>
        <v>-320</v>
      </c>
      <c r="BD214" s="1">
        <f>SUM($AT214,$AA214:AH214)-SUM($AV$5:BD$5)*$J214-SUM($AV$6:BD$6)*$K214</f>
        <v>-400</v>
      </c>
      <c r="BE214" s="1">
        <f>SUM($AT214,$AA214:AI214)-SUM($AV$5:BE$5)*$J214-SUM($AV$6:BE$6)*$K214</f>
        <v>-480</v>
      </c>
      <c r="BF214" s="1">
        <f>SUM($AT214,$AA214:AJ214)-SUM($AV$5:BF$5)*$J214-SUM($AV$6:BF$6)*$K214</f>
        <v>-560</v>
      </c>
      <c r="BG214" s="1">
        <f>SUM($AT214,$AA214:AK214)-SUM($AV$5:BG$5)*$J214-SUM($AV$6:BG$6)*$K214</f>
        <v>-640</v>
      </c>
      <c r="BH214" s="1">
        <f>SUM($AT214,$AA214:AL214)-SUM($AV$5:BH$5)*$J214-SUM($AV$6:BH$6)*$K214</f>
        <v>-720</v>
      </c>
      <c r="BI214" s="1">
        <f>SUM($AT214,$AA214:AM214)-SUM($AV$5:BI$5)*$J214-SUM($AV$6:BI$6)*$K214</f>
        <v>-800</v>
      </c>
      <c r="BJ214" s="1">
        <f>SUM($AT214,$AA214:AN214)-SUM($AV$5:BJ$5)*$J214-SUM($AV$6:BJ$6)*$K214</f>
        <v>-880</v>
      </c>
      <c r="BK214" s="1">
        <f>SUM($AT214,$AA214:AO214)-SUM($AV$5:BK$5)*$J214-SUM($AV$6:BK$6)*$K214</f>
        <v>-960</v>
      </c>
      <c r="BL214" s="1">
        <f>SUM($AT214,$AA214:AP214)-SUM($AV$5:BL$5)*$J214-SUM($AV$6:BL$6)*$K214</f>
        <v>-1040</v>
      </c>
      <c r="BM214" s="1">
        <f>SUM($AT214,$AA214:AQ214)-SUM($AV$5:BM$5)*$J214-SUM($AV$6:BM$6)*$K214</f>
        <v>-1120</v>
      </c>
      <c r="BN214" s="1">
        <f>SUM($AT214,$AA214:AR214)-SUM($AV$5:BN$5)*$J214-SUM($AV$6:BN$6)*$K214</f>
        <v>-1164</v>
      </c>
    </row>
    <row r="215" spans="1:66">
      <c r="A215" s="1">
        <v>237</v>
      </c>
      <c r="B215" s="28" t="s">
        <v>703</v>
      </c>
      <c r="C215" s="1" t="s">
        <v>40</v>
      </c>
      <c r="D215" s="2">
        <v>401468750</v>
      </c>
      <c r="E215" s="3" t="s">
        <v>704</v>
      </c>
      <c r="F215" s="1" t="s">
        <v>705</v>
      </c>
      <c r="G215" s="1" t="s">
        <v>42</v>
      </c>
      <c r="H215" s="1">
        <v>2</v>
      </c>
      <c r="I215" s="1">
        <v>7</v>
      </c>
      <c r="J215" s="1">
        <v>7</v>
      </c>
      <c r="K215" s="1">
        <v>0</v>
      </c>
      <c r="L215" s="1">
        <v>0</v>
      </c>
      <c r="M215" s="1">
        <f t="shared" si="8"/>
        <v>4074</v>
      </c>
      <c r="N215" s="1">
        <f t="shared" si="9"/>
        <v>4074</v>
      </c>
      <c r="O215" s="2" t="s">
        <v>525</v>
      </c>
      <c r="P215" s="1"/>
      <c r="Q215" s="1">
        <v>4.0000000000000001E-3</v>
      </c>
      <c r="R215" s="1" t="s">
        <v>44</v>
      </c>
      <c r="S215" s="30" t="s">
        <v>423</v>
      </c>
      <c r="T215" s="31" t="s">
        <v>238</v>
      </c>
      <c r="U215" s="1"/>
      <c r="V215" s="1">
        <v>5000</v>
      </c>
      <c r="W215" s="1" t="s">
        <v>239</v>
      </c>
      <c r="X215" s="32" t="s">
        <v>240</v>
      </c>
      <c r="Y215" s="1" t="s">
        <v>241</v>
      </c>
      <c r="Z215" s="2" t="s">
        <v>242</v>
      </c>
      <c r="AA215" s="1"/>
      <c r="AB215" s="1"/>
      <c r="AC215" s="1"/>
      <c r="AD215" s="1"/>
      <c r="AE215" s="1"/>
      <c r="AF215" s="1"/>
      <c r="AG215" s="1"/>
      <c r="AH215" s="1"/>
      <c r="AI215" s="1"/>
      <c r="AJ215" s="1"/>
      <c r="AK215" s="1"/>
      <c r="AL215" s="1"/>
      <c r="AM215" s="1"/>
      <c r="AN215" s="1"/>
      <c r="AO215" s="1"/>
      <c r="AP215" s="1"/>
      <c r="AQ215" s="1"/>
      <c r="AR215" s="1"/>
      <c r="AS215" s="1"/>
      <c r="AT215" s="1"/>
      <c r="AU215" s="1"/>
      <c r="AV215" s="1">
        <f>SUM($AT215,Z215:$AA215)-SUM($AV$5:AV$5)*$J215-SUM($AV$6:AV$6)*$K215</f>
        <v>0</v>
      </c>
      <c r="AW215" s="1">
        <f>SUM($AT215,$AA215:AA215)-SUM($AV$5:AW$5)*$J215-SUM($AV$6:AW$6)*$K215</f>
        <v>0</v>
      </c>
      <c r="AX215" s="1">
        <f>SUM($AT215,$AA215:AB215)-SUM($AV$5:AX$5)*$J215-SUM($AV$6:AX$6)*$K215</f>
        <v>0</v>
      </c>
      <c r="AY215" s="1">
        <f>SUM($AT215,$AA215:AC215)-SUM($AV$5:AY$5)*$J215-SUM($AV$6:AY$6)*$K215</f>
        <v>0</v>
      </c>
      <c r="AZ215" s="1">
        <f>SUM($AT215,$AA215:AD215)-SUM($AV$5:AZ$5)*$J215-SUM($AV$6:AZ$6)*$K215</f>
        <v>-280</v>
      </c>
      <c r="BA215" s="1">
        <f>SUM($AT215,$AA215:AE215)-SUM($AV$5:BA$5)*$J215-SUM($AV$6:BA$6)*$K215</f>
        <v>-560</v>
      </c>
      <c r="BB215" s="1">
        <f>SUM($AT215,$AA215:AF215)-SUM($AV$5:BB$5)*$J215-SUM($AV$6:BB$6)*$K215</f>
        <v>-840</v>
      </c>
      <c r="BC215" s="1">
        <f>SUM($AT215,$AA215:AG215)-SUM($AV$5:BC$5)*$J215-SUM($AV$6:BC$6)*$K215</f>
        <v>-1120</v>
      </c>
      <c r="BD215" s="1">
        <f>SUM($AT215,$AA215:AH215)-SUM($AV$5:BD$5)*$J215-SUM($AV$6:BD$6)*$K215</f>
        <v>-1400</v>
      </c>
      <c r="BE215" s="1">
        <f>SUM($AT215,$AA215:AI215)-SUM($AV$5:BE$5)*$J215-SUM($AV$6:BE$6)*$K215</f>
        <v>-1680</v>
      </c>
      <c r="BF215" s="1">
        <f>SUM($AT215,$AA215:AJ215)-SUM($AV$5:BF$5)*$J215-SUM($AV$6:BF$6)*$K215</f>
        <v>-1960</v>
      </c>
      <c r="BG215" s="1">
        <f>SUM($AT215,$AA215:AK215)-SUM($AV$5:BG$5)*$J215-SUM($AV$6:BG$6)*$K215</f>
        <v>-2240</v>
      </c>
      <c r="BH215" s="1">
        <f>SUM($AT215,$AA215:AL215)-SUM($AV$5:BH$5)*$J215-SUM($AV$6:BH$6)*$K215</f>
        <v>-2520</v>
      </c>
      <c r="BI215" s="1">
        <f>SUM($AT215,$AA215:AM215)-SUM($AV$5:BI$5)*$J215-SUM($AV$6:BI$6)*$K215</f>
        <v>-2800</v>
      </c>
      <c r="BJ215" s="1">
        <f>SUM($AT215,$AA215:AN215)-SUM($AV$5:BJ$5)*$J215-SUM($AV$6:BJ$6)*$K215</f>
        <v>-3080</v>
      </c>
      <c r="BK215" s="1">
        <f>SUM($AT215,$AA215:AO215)-SUM($AV$5:BK$5)*$J215-SUM($AV$6:BK$6)*$K215</f>
        <v>-3360</v>
      </c>
      <c r="BL215" s="1">
        <f>SUM($AT215,$AA215:AP215)-SUM($AV$5:BL$5)*$J215-SUM($AV$6:BL$6)*$K215</f>
        <v>-3640</v>
      </c>
      <c r="BM215" s="1">
        <f>SUM($AT215,$AA215:AQ215)-SUM($AV$5:BM$5)*$J215-SUM($AV$6:BM$6)*$K215</f>
        <v>-3920</v>
      </c>
      <c r="BN215" s="1">
        <f>SUM($AT215,$AA215:AR215)-SUM($AV$5:BN$5)*$J215-SUM($AV$6:BN$6)*$K215</f>
        <v>-4074</v>
      </c>
    </row>
    <row r="216" spans="1:66">
      <c r="A216" s="1">
        <v>239</v>
      </c>
      <c r="B216" s="28" t="s">
        <v>706</v>
      </c>
      <c r="C216" s="1" t="s">
        <v>40</v>
      </c>
      <c r="D216" s="2">
        <v>411321351</v>
      </c>
      <c r="E216" s="3" t="s">
        <v>707</v>
      </c>
      <c r="F216" s="1" t="s">
        <v>708</v>
      </c>
      <c r="G216" s="1" t="s">
        <v>42</v>
      </c>
      <c r="H216" s="1">
        <v>2</v>
      </c>
      <c r="I216" s="1">
        <v>1</v>
      </c>
      <c r="J216" s="1">
        <v>1</v>
      </c>
      <c r="K216" s="1">
        <v>0</v>
      </c>
      <c r="L216" s="1">
        <v>0</v>
      </c>
      <c r="M216" s="1">
        <f t="shared" si="8"/>
        <v>582</v>
      </c>
      <c r="N216" s="1">
        <f t="shared" si="9"/>
        <v>582</v>
      </c>
      <c r="O216" s="2" t="s">
        <v>525</v>
      </c>
      <c r="P216" s="1"/>
      <c r="Q216" s="1">
        <v>4.0000000000000001E-3</v>
      </c>
      <c r="R216" s="1" t="s">
        <v>44</v>
      </c>
      <c r="S216" s="30" t="s">
        <v>423</v>
      </c>
      <c r="T216" s="31" t="s">
        <v>238</v>
      </c>
      <c r="U216" s="1"/>
      <c r="V216" s="1">
        <v>5000</v>
      </c>
      <c r="W216" s="1" t="s">
        <v>239</v>
      </c>
      <c r="X216" s="32" t="s">
        <v>240</v>
      </c>
      <c r="Y216" s="1" t="s">
        <v>241</v>
      </c>
      <c r="Z216" s="2" t="s">
        <v>242</v>
      </c>
      <c r="AA216" s="1"/>
      <c r="AB216" s="1"/>
      <c r="AC216" s="1"/>
      <c r="AD216" s="1"/>
      <c r="AE216" s="1"/>
      <c r="AF216" s="1"/>
      <c r="AG216" s="1"/>
      <c r="AH216" s="1"/>
      <c r="AI216" s="1"/>
      <c r="AJ216" s="1"/>
      <c r="AK216" s="1"/>
      <c r="AL216" s="1"/>
      <c r="AM216" s="1"/>
      <c r="AN216" s="1"/>
      <c r="AO216" s="1"/>
      <c r="AP216" s="1"/>
      <c r="AQ216" s="1"/>
      <c r="AR216" s="1"/>
      <c r="AS216" s="1"/>
      <c r="AT216" s="1"/>
      <c r="AU216" s="1"/>
      <c r="AV216" s="1">
        <f>SUM($AT216,Z216:$AA216)-SUM($AV$5:AV$5)*$J216-SUM($AV$6:AV$6)*$K216</f>
        <v>0</v>
      </c>
      <c r="AW216" s="1">
        <f>SUM($AT216,$AA216:AA216)-SUM($AV$5:AW$5)*$J216-SUM($AV$6:AW$6)*$K216</f>
        <v>0</v>
      </c>
      <c r="AX216" s="1">
        <f>SUM($AT216,$AA216:AB216)-SUM($AV$5:AX$5)*$J216-SUM($AV$6:AX$6)*$K216</f>
        <v>0</v>
      </c>
      <c r="AY216" s="1">
        <f>SUM($AT216,$AA216:AC216)-SUM($AV$5:AY$5)*$J216-SUM($AV$6:AY$6)*$K216</f>
        <v>0</v>
      </c>
      <c r="AZ216" s="1">
        <f>SUM($AT216,$AA216:AD216)-SUM($AV$5:AZ$5)*$J216-SUM($AV$6:AZ$6)*$K216</f>
        <v>-40</v>
      </c>
      <c r="BA216" s="1">
        <f>SUM($AT216,$AA216:AE216)-SUM($AV$5:BA$5)*$J216-SUM($AV$6:BA$6)*$K216</f>
        <v>-80</v>
      </c>
      <c r="BB216" s="1">
        <f>SUM($AT216,$AA216:AF216)-SUM($AV$5:BB$5)*$J216-SUM($AV$6:BB$6)*$K216</f>
        <v>-120</v>
      </c>
      <c r="BC216" s="1">
        <f>SUM($AT216,$AA216:AG216)-SUM($AV$5:BC$5)*$J216-SUM($AV$6:BC$6)*$K216</f>
        <v>-160</v>
      </c>
      <c r="BD216" s="1">
        <f>SUM($AT216,$AA216:AH216)-SUM($AV$5:BD$5)*$J216-SUM($AV$6:BD$6)*$K216</f>
        <v>-200</v>
      </c>
      <c r="BE216" s="1">
        <f>SUM($AT216,$AA216:AI216)-SUM($AV$5:BE$5)*$J216-SUM($AV$6:BE$6)*$K216</f>
        <v>-240</v>
      </c>
      <c r="BF216" s="1">
        <f>SUM($AT216,$AA216:AJ216)-SUM($AV$5:BF$5)*$J216-SUM($AV$6:BF$6)*$K216</f>
        <v>-280</v>
      </c>
      <c r="BG216" s="1">
        <f>SUM($AT216,$AA216:AK216)-SUM($AV$5:BG$5)*$J216-SUM($AV$6:BG$6)*$K216</f>
        <v>-320</v>
      </c>
      <c r="BH216" s="1">
        <f>SUM($AT216,$AA216:AL216)-SUM($AV$5:BH$5)*$J216-SUM($AV$6:BH$6)*$K216</f>
        <v>-360</v>
      </c>
      <c r="BI216" s="1">
        <f>SUM($AT216,$AA216:AM216)-SUM($AV$5:BI$5)*$J216-SUM($AV$6:BI$6)*$K216</f>
        <v>-400</v>
      </c>
      <c r="BJ216" s="1">
        <f>SUM($AT216,$AA216:AN216)-SUM($AV$5:BJ$5)*$J216-SUM($AV$6:BJ$6)*$K216</f>
        <v>-440</v>
      </c>
      <c r="BK216" s="1">
        <f>SUM($AT216,$AA216:AO216)-SUM($AV$5:BK$5)*$J216-SUM($AV$6:BK$6)*$K216</f>
        <v>-480</v>
      </c>
      <c r="BL216" s="1">
        <f>SUM($AT216,$AA216:AP216)-SUM($AV$5:BL$5)*$J216-SUM($AV$6:BL$6)*$K216</f>
        <v>-520</v>
      </c>
      <c r="BM216" s="1">
        <f>SUM($AT216,$AA216:AQ216)-SUM($AV$5:BM$5)*$J216-SUM($AV$6:BM$6)*$K216</f>
        <v>-560</v>
      </c>
      <c r="BN216" s="1">
        <f>SUM($AT216,$AA216:AR216)-SUM($AV$5:BN$5)*$J216-SUM($AV$6:BN$6)*$K216</f>
        <v>-582</v>
      </c>
    </row>
    <row r="217" spans="1:66">
      <c r="A217" s="1">
        <v>221</v>
      </c>
      <c r="B217" s="28" t="s">
        <v>709</v>
      </c>
      <c r="C217" s="1" t="s">
        <v>40</v>
      </c>
      <c r="D217" s="2">
        <v>414258422</v>
      </c>
      <c r="E217" s="3" t="s">
        <v>710</v>
      </c>
      <c r="F217" s="1">
        <v>400860238</v>
      </c>
      <c r="G217" s="1" t="s">
        <v>42</v>
      </c>
      <c r="H217" s="1">
        <v>2</v>
      </c>
      <c r="I217" s="1">
        <v>8</v>
      </c>
      <c r="J217" s="1">
        <v>0</v>
      </c>
      <c r="K217" s="1">
        <v>0</v>
      </c>
      <c r="L217" s="1">
        <v>8</v>
      </c>
      <c r="M217" s="1">
        <f t="shared" si="8"/>
        <v>2208</v>
      </c>
      <c r="N217" s="1">
        <f t="shared" si="9"/>
        <v>2208</v>
      </c>
      <c r="O217" s="2" t="s">
        <v>598</v>
      </c>
      <c r="P217" s="1"/>
      <c r="Q217" s="1">
        <v>5.0000000000000001E-3</v>
      </c>
      <c r="R217" s="1" t="s">
        <v>44</v>
      </c>
      <c r="S217" s="30" t="s">
        <v>62</v>
      </c>
      <c r="T217" s="31" t="s">
        <v>238</v>
      </c>
      <c r="U217" s="1">
        <v>5000</v>
      </c>
      <c r="V217" s="1">
        <v>5000</v>
      </c>
      <c r="W217" s="1" t="s">
        <v>239</v>
      </c>
      <c r="X217" s="32" t="s">
        <v>286</v>
      </c>
      <c r="Y217" s="1" t="s">
        <v>241</v>
      </c>
      <c r="Z217" s="2" t="s">
        <v>242</v>
      </c>
      <c r="AA217" s="1"/>
      <c r="AB217" s="1"/>
      <c r="AC217" s="1"/>
      <c r="AD217" s="1"/>
      <c r="AE217" s="1"/>
      <c r="AF217" s="1"/>
      <c r="AG217" s="1"/>
      <c r="AH217" s="1"/>
      <c r="AI217" s="1"/>
      <c r="AJ217" s="1"/>
      <c r="AK217" s="1"/>
      <c r="AL217" s="1"/>
      <c r="AM217" s="1"/>
      <c r="AN217" s="1"/>
      <c r="AO217" s="1"/>
      <c r="AP217" s="1"/>
      <c r="AQ217" s="1"/>
      <c r="AR217" s="1"/>
      <c r="AS217" s="1"/>
      <c r="AT217" s="1"/>
      <c r="AU217" s="1"/>
      <c r="AV217" s="1">
        <f>SUM($AT217,Z217:$AA217)-SUM($AV$5:AV$5)*$J217-SUM($AV$6:AV$6)*$K217</f>
        <v>0</v>
      </c>
      <c r="AW217" s="1">
        <f>SUM($AT217,$AA217:AA217)-SUM($AV$5:AW$5)*$J217-SUM($AV$6:AW$6)*$K217</f>
        <v>0</v>
      </c>
      <c r="AX217" s="1">
        <f>SUM($AT217,$AA217:AB217)-SUM($AV$5:AX$5)*$J217-SUM($AV$6:AX$6)*$K217</f>
        <v>0</v>
      </c>
      <c r="AY217" s="1">
        <f>SUM($AT217,$AA217:AC217)-SUM($AV$5:AY$5)*$J217-SUM($AV$6:AY$6)*$K217</f>
        <v>0</v>
      </c>
      <c r="AZ217" s="1">
        <f>SUM($AT217,$AA217:AD217)-SUM($AV$5:AZ$5)*$J217-SUM($AV$6:AZ$6)*$K217</f>
        <v>0</v>
      </c>
      <c r="BA217" s="1">
        <f>SUM($AT217,$AA217:AE217)-SUM($AV$5:BA$5)*$J217-SUM($AV$6:BA$6)*$K217</f>
        <v>0</v>
      </c>
      <c r="BB217" s="1">
        <f>SUM($AT217,$AA217:AF217)-SUM($AV$5:BB$5)*$J217-SUM($AV$6:BB$6)*$K217</f>
        <v>0</v>
      </c>
      <c r="BC217" s="1">
        <f>SUM($AT217,$AA217:AG217)-SUM($AV$5:BC$5)*$J217-SUM($AV$6:BC$6)*$K217</f>
        <v>0</v>
      </c>
      <c r="BD217" s="1">
        <f>SUM($AT217,$AA217:AH217)-SUM($AV$5:BD$5)*$J217-SUM($AV$6:BD$6)*$K217</f>
        <v>0</v>
      </c>
      <c r="BE217" s="1">
        <f>SUM($AT217,$AA217:AI217)-SUM($AV$5:BE$5)*$J217-SUM($AV$6:BE$6)*$K217</f>
        <v>0</v>
      </c>
      <c r="BF217" s="1">
        <f>SUM($AT217,$AA217:AJ217)-SUM($AV$5:BF$5)*$J217-SUM($AV$6:BF$6)*$K217</f>
        <v>0</v>
      </c>
      <c r="BG217" s="1">
        <f>SUM($AT217,$AA217:AK217)-SUM($AV$5:BG$5)*$J217-SUM($AV$6:BG$6)*$K217</f>
        <v>0</v>
      </c>
      <c r="BH217" s="1">
        <f>SUM($AT217,$AA217:AL217)-SUM($AV$5:BH$5)*$J217-SUM($AV$6:BH$6)*$K217</f>
        <v>0</v>
      </c>
      <c r="BI217" s="1">
        <f>SUM($AT217,$AA217:AM217)-SUM($AV$5:BI$5)*$J217-SUM($AV$6:BI$6)*$K217</f>
        <v>0</v>
      </c>
      <c r="BJ217" s="1">
        <f>SUM($AT217,$AA217:AN217)-SUM($AV$5:BJ$5)*$J217-SUM($AV$6:BJ$6)*$K217</f>
        <v>0</v>
      </c>
      <c r="BK217" s="1">
        <f>SUM($AT217,$AA217:AO217)-SUM($AV$5:BK$5)*$J217-SUM($AV$6:BK$6)*$K217</f>
        <v>0</v>
      </c>
      <c r="BL217" s="1">
        <f>SUM($AT217,$AA217:AP217)-SUM($AV$5:BL$5)*$J217-SUM($AV$6:BL$6)*$K217</f>
        <v>0</v>
      </c>
      <c r="BM217" s="1">
        <f>SUM($AT217,$AA217:AQ217)-SUM($AV$5:BM$5)*$J217-SUM($AV$6:BM$6)*$K217</f>
        <v>0</v>
      </c>
      <c r="BN217" s="1">
        <f>SUM($AT217,$AA217:AR217)-SUM($AV$5:BN$5)*$J217-SUM($AV$6:BN$6)*$K217</f>
        <v>0</v>
      </c>
    </row>
    <row r="218" spans="1:66">
      <c r="A218" s="1">
        <v>222</v>
      </c>
      <c r="B218" s="28" t="s">
        <v>711</v>
      </c>
      <c r="C218" s="1" t="s">
        <v>40</v>
      </c>
      <c r="D218" s="2">
        <v>401212272</v>
      </c>
      <c r="E218" s="3" t="s">
        <v>712</v>
      </c>
      <c r="F218" s="1" t="s">
        <v>713</v>
      </c>
      <c r="G218" s="1" t="s">
        <v>42</v>
      </c>
      <c r="H218" s="1">
        <v>2</v>
      </c>
      <c r="I218" s="1">
        <v>4</v>
      </c>
      <c r="J218" s="1">
        <v>0</v>
      </c>
      <c r="K218" s="1">
        <v>0</v>
      </c>
      <c r="L218" s="1">
        <v>4</v>
      </c>
      <c r="M218" s="1">
        <f t="shared" si="8"/>
        <v>1104</v>
      </c>
      <c r="N218" s="1">
        <f t="shared" si="9"/>
        <v>1104</v>
      </c>
      <c r="O218" s="2" t="s">
        <v>525</v>
      </c>
      <c r="P218" s="1"/>
      <c r="Q218" s="1">
        <v>4.0000000000000001E-3</v>
      </c>
      <c r="R218" s="1" t="s">
        <v>44</v>
      </c>
      <c r="S218" s="30" t="s">
        <v>423</v>
      </c>
      <c r="T218" s="31" t="s">
        <v>238</v>
      </c>
      <c r="U218" s="1"/>
      <c r="V218" s="1">
        <v>5000</v>
      </c>
      <c r="W218" s="1" t="s">
        <v>239</v>
      </c>
      <c r="X218" s="32" t="s">
        <v>286</v>
      </c>
      <c r="Y218" s="1" t="s">
        <v>241</v>
      </c>
      <c r="Z218" s="2" t="s">
        <v>242</v>
      </c>
      <c r="AA218" s="1"/>
      <c r="AB218" s="1"/>
      <c r="AC218" s="1"/>
      <c r="AD218" s="1"/>
      <c r="AE218" s="1"/>
      <c r="AF218" s="1"/>
      <c r="AG218" s="1"/>
      <c r="AH218" s="1"/>
      <c r="AI218" s="1"/>
      <c r="AJ218" s="1"/>
      <c r="AK218" s="1"/>
      <c r="AL218" s="1"/>
      <c r="AM218" s="1"/>
      <c r="AN218" s="1"/>
      <c r="AO218" s="1"/>
      <c r="AP218" s="1"/>
      <c r="AQ218" s="1"/>
      <c r="AR218" s="1"/>
      <c r="AS218" s="1"/>
      <c r="AT218" s="1"/>
      <c r="AU218" s="1"/>
      <c r="AV218" s="1">
        <f>SUM($AT218,Z218:$AA218)-SUM($AV$5:AV$5)*$J218-SUM($AV$6:AV$6)*$K218</f>
        <v>0</v>
      </c>
      <c r="AW218" s="1">
        <f>SUM($AT218,$AA218:AA218)-SUM($AV$5:AW$5)*$J218-SUM($AV$6:AW$6)*$K218</f>
        <v>0</v>
      </c>
      <c r="AX218" s="1">
        <f>SUM($AT218,$AA218:AB218)-SUM($AV$5:AX$5)*$J218-SUM($AV$6:AX$6)*$K218</f>
        <v>0</v>
      </c>
      <c r="AY218" s="1">
        <f>SUM($AT218,$AA218:AC218)-SUM($AV$5:AY$5)*$J218-SUM($AV$6:AY$6)*$K218</f>
        <v>0</v>
      </c>
      <c r="AZ218" s="1">
        <f>SUM($AT218,$AA218:AD218)-SUM($AV$5:AZ$5)*$J218-SUM($AV$6:AZ$6)*$K218</f>
        <v>0</v>
      </c>
      <c r="BA218" s="1">
        <f>SUM($AT218,$AA218:AE218)-SUM($AV$5:BA$5)*$J218-SUM($AV$6:BA$6)*$K218</f>
        <v>0</v>
      </c>
      <c r="BB218" s="1">
        <f>SUM($AT218,$AA218:AF218)-SUM($AV$5:BB$5)*$J218-SUM($AV$6:BB$6)*$K218</f>
        <v>0</v>
      </c>
      <c r="BC218" s="1">
        <f>SUM($AT218,$AA218:AG218)-SUM($AV$5:BC$5)*$J218-SUM($AV$6:BC$6)*$K218</f>
        <v>0</v>
      </c>
      <c r="BD218" s="1">
        <f>SUM($AT218,$AA218:AH218)-SUM($AV$5:BD$5)*$J218-SUM($AV$6:BD$6)*$K218</f>
        <v>0</v>
      </c>
      <c r="BE218" s="1">
        <f>SUM($AT218,$AA218:AI218)-SUM($AV$5:BE$5)*$J218-SUM($AV$6:BE$6)*$K218</f>
        <v>0</v>
      </c>
      <c r="BF218" s="1">
        <f>SUM($AT218,$AA218:AJ218)-SUM($AV$5:BF$5)*$J218-SUM($AV$6:BF$6)*$K218</f>
        <v>0</v>
      </c>
      <c r="BG218" s="1">
        <f>SUM($AT218,$AA218:AK218)-SUM($AV$5:BG$5)*$J218-SUM($AV$6:BG$6)*$K218</f>
        <v>0</v>
      </c>
      <c r="BH218" s="1">
        <f>SUM($AT218,$AA218:AL218)-SUM($AV$5:BH$5)*$J218-SUM($AV$6:BH$6)*$K218</f>
        <v>0</v>
      </c>
      <c r="BI218" s="1">
        <f>SUM($AT218,$AA218:AM218)-SUM($AV$5:BI$5)*$J218-SUM($AV$6:BI$6)*$K218</f>
        <v>0</v>
      </c>
      <c r="BJ218" s="1">
        <f>SUM($AT218,$AA218:AN218)-SUM($AV$5:BJ$5)*$J218-SUM($AV$6:BJ$6)*$K218</f>
        <v>0</v>
      </c>
      <c r="BK218" s="1">
        <f>SUM($AT218,$AA218:AO218)-SUM($AV$5:BK$5)*$J218-SUM($AV$6:BK$6)*$K218</f>
        <v>0</v>
      </c>
      <c r="BL218" s="1">
        <f>SUM($AT218,$AA218:AP218)-SUM($AV$5:BL$5)*$J218-SUM($AV$6:BL$6)*$K218</f>
        <v>0</v>
      </c>
      <c r="BM218" s="1">
        <f>SUM($AT218,$AA218:AQ218)-SUM($AV$5:BM$5)*$J218-SUM($AV$6:BM$6)*$K218</f>
        <v>0</v>
      </c>
      <c r="BN218" s="1">
        <f>SUM($AT218,$AA218:AR218)-SUM($AV$5:BN$5)*$J218-SUM($AV$6:BN$6)*$K218</f>
        <v>0</v>
      </c>
    </row>
    <row r="219" spans="1:66">
      <c r="A219" s="1">
        <v>240</v>
      </c>
      <c r="B219" s="28" t="s">
        <v>714</v>
      </c>
      <c r="C219" s="1" t="s">
        <v>40</v>
      </c>
      <c r="D219" s="2">
        <v>401655756</v>
      </c>
      <c r="E219" s="3" t="s">
        <v>715</v>
      </c>
      <c r="F219" s="1" t="s">
        <v>716</v>
      </c>
      <c r="G219" s="1" t="s">
        <v>42</v>
      </c>
      <c r="H219" s="1">
        <v>2</v>
      </c>
      <c r="I219" s="1">
        <v>3</v>
      </c>
      <c r="J219" s="1">
        <v>3</v>
      </c>
      <c r="K219" s="1">
        <v>0</v>
      </c>
      <c r="L219" s="1">
        <v>0</v>
      </c>
      <c r="M219" s="1">
        <f t="shared" si="8"/>
        <v>1746</v>
      </c>
      <c r="N219" s="1">
        <f t="shared" si="9"/>
        <v>1746</v>
      </c>
      <c r="O219" s="2" t="s">
        <v>525</v>
      </c>
      <c r="P219" s="1"/>
      <c r="Q219" s="1">
        <v>4.0000000000000001E-3</v>
      </c>
      <c r="R219" s="1" t="s">
        <v>44</v>
      </c>
      <c r="S219" s="30" t="s">
        <v>423</v>
      </c>
      <c r="T219" s="31" t="s">
        <v>238</v>
      </c>
      <c r="U219" s="1">
        <v>5000</v>
      </c>
      <c r="V219" s="1">
        <v>5000</v>
      </c>
      <c r="W219" s="1" t="s">
        <v>239</v>
      </c>
      <c r="X219" s="32" t="s">
        <v>240</v>
      </c>
      <c r="Y219" s="1" t="s">
        <v>241</v>
      </c>
      <c r="Z219" s="2" t="s">
        <v>242</v>
      </c>
      <c r="AA219" s="1"/>
      <c r="AB219" s="1"/>
      <c r="AC219" s="1"/>
      <c r="AD219" s="1"/>
      <c r="AE219" s="1"/>
      <c r="AF219" s="1"/>
      <c r="AG219" s="1"/>
      <c r="AH219" s="1"/>
      <c r="AI219" s="1"/>
      <c r="AJ219" s="1"/>
      <c r="AK219" s="1"/>
      <c r="AL219" s="1"/>
      <c r="AM219" s="1"/>
      <c r="AN219" s="1"/>
      <c r="AO219" s="1"/>
      <c r="AP219" s="1"/>
      <c r="AQ219" s="1"/>
      <c r="AR219" s="1"/>
      <c r="AS219" s="1"/>
      <c r="AT219" s="1"/>
      <c r="AU219" s="1"/>
      <c r="AV219" s="1">
        <f>SUM($AT219,Z219:$AA219)-SUM($AV$5:AV$5)*$J219-SUM($AV$6:AV$6)*$K219</f>
        <v>0</v>
      </c>
      <c r="AW219" s="1">
        <f>SUM($AT219,$AA219:AA219)-SUM($AV$5:AW$5)*$J219-SUM($AV$6:AW$6)*$K219</f>
        <v>0</v>
      </c>
      <c r="AX219" s="1">
        <f>SUM($AT219,$AA219:AB219)-SUM($AV$5:AX$5)*$J219-SUM($AV$6:AX$6)*$K219</f>
        <v>0</v>
      </c>
      <c r="AY219" s="1">
        <f>SUM($AT219,$AA219:AC219)-SUM($AV$5:AY$5)*$J219-SUM($AV$6:AY$6)*$K219</f>
        <v>0</v>
      </c>
      <c r="AZ219" s="1">
        <f>SUM($AT219,$AA219:AD219)-SUM($AV$5:AZ$5)*$J219-SUM($AV$6:AZ$6)*$K219</f>
        <v>-120</v>
      </c>
      <c r="BA219" s="1">
        <f>SUM($AT219,$AA219:AE219)-SUM($AV$5:BA$5)*$J219-SUM($AV$6:BA$6)*$K219</f>
        <v>-240</v>
      </c>
      <c r="BB219" s="1">
        <f>SUM($AT219,$AA219:AF219)-SUM($AV$5:BB$5)*$J219-SUM($AV$6:BB$6)*$K219</f>
        <v>-360</v>
      </c>
      <c r="BC219" s="1">
        <f>SUM($AT219,$AA219:AG219)-SUM($AV$5:BC$5)*$J219-SUM($AV$6:BC$6)*$K219</f>
        <v>-480</v>
      </c>
      <c r="BD219" s="1">
        <f>SUM($AT219,$AA219:AH219)-SUM($AV$5:BD$5)*$J219-SUM($AV$6:BD$6)*$K219</f>
        <v>-600</v>
      </c>
      <c r="BE219" s="1">
        <f>SUM($AT219,$AA219:AI219)-SUM($AV$5:BE$5)*$J219-SUM($AV$6:BE$6)*$K219</f>
        <v>-720</v>
      </c>
      <c r="BF219" s="1">
        <f>SUM($AT219,$AA219:AJ219)-SUM($AV$5:BF$5)*$J219-SUM($AV$6:BF$6)*$K219</f>
        <v>-840</v>
      </c>
      <c r="BG219" s="1">
        <f>SUM($AT219,$AA219:AK219)-SUM($AV$5:BG$5)*$J219-SUM($AV$6:BG$6)*$K219</f>
        <v>-960</v>
      </c>
      <c r="BH219" s="1">
        <f>SUM($AT219,$AA219:AL219)-SUM($AV$5:BH$5)*$J219-SUM($AV$6:BH$6)*$K219</f>
        <v>-1080</v>
      </c>
      <c r="BI219" s="1">
        <f>SUM($AT219,$AA219:AM219)-SUM($AV$5:BI$5)*$J219-SUM($AV$6:BI$6)*$K219</f>
        <v>-1200</v>
      </c>
      <c r="BJ219" s="1">
        <f>SUM($AT219,$AA219:AN219)-SUM($AV$5:BJ$5)*$J219-SUM($AV$6:BJ$6)*$K219</f>
        <v>-1320</v>
      </c>
      <c r="BK219" s="1">
        <f>SUM($AT219,$AA219:AO219)-SUM($AV$5:BK$5)*$J219-SUM($AV$6:BK$6)*$K219</f>
        <v>-1440</v>
      </c>
      <c r="BL219" s="1">
        <f>SUM($AT219,$AA219:AP219)-SUM($AV$5:BL$5)*$J219-SUM($AV$6:BL$6)*$K219</f>
        <v>-1560</v>
      </c>
      <c r="BM219" s="1">
        <f>SUM($AT219,$AA219:AQ219)-SUM($AV$5:BM$5)*$J219-SUM($AV$6:BM$6)*$K219</f>
        <v>-1680</v>
      </c>
      <c r="BN219" s="1">
        <f>SUM($AT219,$AA219:AR219)-SUM($AV$5:BN$5)*$J219-SUM($AV$6:BN$6)*$K219</f>
        <v>-1746</v>
      </c>
    </row>
    <row r="220" spans="1:66">
      <c r="A220" s="1">
        <v>241</v>
      </c>
      <c r="B220" s="28" t="s">
        <v>717</v>
      </c>
      <c r="C220" s="1" t="s">
        <v>40</v>
      </c>
      <c r="D220" s="2">
        <v>408369100</v>
      </c>
      <c r="E220" s="3" t="s">
        <v>718</v>
      </c>
      <c r="F220" s="1" t="s">
        <v>719</v>
      </c>
      <c r="G220" s="1" t="s">
        <v>42</v>
      </c>
      <c r="H220" s="1">
        <v>2</v>
      </c>
      <c r="I220" s="1">
        <v>2</v>
      </c>
      <c r="J220" s="1">
        <v>2</v>
      </c>
      <c r="K220" s="1">
        <v>0</v>
      </c>
      <c r="L220" s="1">
        <v>0</v>
      </c>
      <c r="M220" s="1">
        <f t="shared" si="8"/>
        <v>1164</v>
      </c>
      <c r="N220" s="1">
        <f t="shared" si="9"/>
        <v>1164</v>
      </c>
      <c r="O220" s="2" t="s">
        <v>525</v>
      </c>
      <c r="P220" s="1"/>
      <c r="Q220" s="1">
        <v>4.0000000000000001E-3</v>
      </c>
      <c r="R220" s="1" t="s">
        <v>44</v>
      </c>
      <c r="S220" s="30" t="s">
        <v>423</v>
      </c>
      <c r="T220" s="31" t="s">
        <v>238</v>
      </c>
      <c r="U220" s="1">
        <v>5000</v>
      </c>
      <c r="V220" s="1">
        <v>5000</v>
      </c>
      <c r="W220" s="1" t="s">
        <v>239</v>
      </c>
      <c r="X220" s="32" t="s">
        <v>240</v>
      </c>
      <c r="Y220" s="1" t="s">
        <v>241</v>
      </c>
      <c r="Z220" s="2" t="s">
        <v>242</v>
      </c>
      <c r="AA220" s="1"/>
      <c r="AB220" s="1"/>
      <c r="AC220" s="1"/>
      <c r="AD220" s="1"/>
      <c r="AE220" s="1"/>
      <c r="AF220" s="1"/>
      <c r="AG220" s="1"/>
      <c r="AH220" s="1"/>
      <c r="AI220" s="1"/>
      <c r="AJ220" s="1"/>
      <c r="AK220" s="1"/>
      <c r="AL220" s="1"/>
      <c r="AM220" s="1"/>
      <c r="AN220" s="1"/>
      <c r="AO220" s="1"/>
      <c r="AP220" s="1"/>
      <c r="AQ220" s="1"/>
      <c r="AR220" s="1"/>
      <c r="AS220" s="1"/>
      <c r="AT220" s="1"/>
      <c r="AU220" s="1"/>
      <c r="AV220" s="1">
        <f>SUM($AT220,Z220:$AA220)-SUM($AV$5:AV$5)*$J220-SUM($AV$6:AV$6)*$K220</f>
        <v>0</v>
      </c>
      <c r="AW220" s="1">
        <f>SUM($AT220,$AA220:AA220)-SUM($AV$5:AW$5)*$J220-SUM($AV$6:AW$6)*$K220</f>
        <v>0</v>
      </c>
      <c r="AX220" s="1">
        <f>SUM($AT220,$AA220:AB220)-SUM($AV$5:AX$5)*$J220-SUM($AV$6:AX$6)*$K220</f>
        <v>0</v>
      </c>
      <c r="AY220" s="1">
        <f>SUM($AT220,$AA220:AC220)-SUM($AV$5:AY$5)*$J220-SUM($AV$6:AY$6)*$K220</f>
        <v>0</v>
      </c>
      <c r="AZ220" s="1">
        <f>SUM($AT220,$AA220:AD220)-SUM($AV$5:AZ$5)*$J220-SUM($AV$6:AZ$6)*$K220</f>
        <v>-80</v>
      </c>
      <c r="BA220" s="1">
        <f>SUM($AT220,$AA220:AE220)-SUM($AV$5:BA$5)*$J220-SUM($AV$6:BA$6)*$K220</f>
        <v>-160</v>
      </c>
      <c r="BB220" s="1">
        <f>SUM($AT220,$AA220:AF220)-SUM($AV$5:BB$5)*$J220-SUM($AV$6:BB$6)*$K220</f>
        <v>-240</v>
      </c>
      <c r="BC220" s="1">
        <f>SUM($AT220,$AA220:AG220)-SUM($AV$5:BC$5)*$J220-SUM($AV$6:BC$6)*$K220</f>
        <v>-320</v>
      </c>
      <c r="BD220" s="1">
        <f>SUM($AT220,$AA220:AH220)-SUM($AV$5:BD$5)*$J220-SUM($AV$6:BD$6)*$K220</f>
        <v>-400</v>
      </c>
      <c r="BE220" s="1">
        <f>SUM($AT220,$AA220:AI220)-SUM($AV$5:BE$5)*$J220-SUM($AV$6:BE$6)*$K220</f>
        <v>-480</v>
      </c>
      <c r="BF220" s="1">
        <f>SUM($AT220,$AA220:AJ220)-SUM($AV$5:BF$5)*$J220-SUM($AV$6:BF$6)*$K220</f>
        <v>-560</v>
      </c>
      <c r="BG220" s="1">
        <f>SUM($AT220,$AA220:AK220)-SUM($AV$5:BG$5)*$J220-SUM($AV$6:BG$6)*$K220</f>
        <v>-640</v>
      </c>
      <c r="BH220" s="1">
        <f>SUM($AT220,$AA220:AL220)-SUM($AV$5:BH$5)*$J220-SUM($AV$6:BH$6)*$K220</f>
        <v>-720</v>
      </c>
      <c r="BI220" s="1">
        <f>SUM($AT220,$AA220:AM220)-SUM($AV$5:BI$5)*$J220-SUM($AV$6:BI$6)*$K220</f>
        <v>-800</v>
      </c>
      <c r="BJ220" s="1">
        <f>SUM($AT220,$AA220:AN220)-SUM($AV$5:BJ$5)*$J220-SUM($AV$6:BJ$6)*$K220</f>
        <v>-880</v>
      </c>
      <c r="BK220" s="1">
        <f>SUM($AT220,$AA220:AO220)-SUM($AV$5:BK$5)*$J220-SUM($AV$6:BK$6)*$K220</f>
        <v>-960</v>
      </c>
      <c r="BL220" s="1">
        <f>SUM($AT220,$AA220:AP220)-SUM($AV$5:BL$5)*$J220-SUM($AV$6:BL$6)*$K220</f>
        <v>-1040</v>
      </c>
      <c r="BM220" s="1">
        <f>SUM($AT220,$AA220:AQ220)-SUM($AV$5:BM$5)*$J220-SUM($AV$6:BM$6)*$K220</f>
        <v>-1120</v>
      </c>
      <c r="BN220" s="1">
        <f>SUM($AT220,$AA220:AR220)-SUM($AV$5:BN$5)*$J220-SUM($AV$6:BN$6)*$K220</f>
        <v>-1164</v>
      </c>
    </row>
    <row r="221" spans="1:66">
      <c r="A221" s="1">
        <v>242</v>
      </c>
      <c r="B221" s="28" t="s">
        <v>720</v>
      </c>
      <c r="C221" s="1" t="s">
        <v>40</v>
      </c>
      <c r="D221" s="2">
        <v>400700886</v>
      </c>
      <c r="E221" s="3" t="s">
        <v>721</v>
      </c>
      <c r="F221" s="1" t="s">
        <v>722</v>
      </c>
      <c r="G221" s="1" t="s">
        <v>42</v>
      </c>
      <c r="H221" s="1">
        <v>2</v>
      </c>
      <c r="I221" s="1">
        <v>1</v>
      </c>
      <c r="J221" s="1">
        <v>1</v>
      </c>
      <c r="K221" s="1">
        <v>0</v>
      </c>
      <c r="L221" s="1">
        <v>0</v>
      </c>
      <c r="M221" s="1">
        <f t="shared" si="8"/>
        <v>582</v>
      </c>
      <c r="N221" s="1">
        <f t="shared" si="9"/>
        <v>582</v>
      </c>
      <c r="O221" s="2" t="s">
        <v>525</v>
      </c>
      <c r="P221" s="1"/>
      <c r="Q221" s="1">
        <v>7.0000000000000001E-3</v>
      </c>
      <c r="R221" s="1" t="s">
        <v>44</v>
      </c>
      <c r="S221" s="30" t="s">
        <v>423</v>
      </c>
      <c r="T221" s="31" t="s">
        <v>238</v>
      </c>
      <c r="U221" s="1"/>
      <c r="V221" s="1">
        <v>5000</v>
      </c>
      <c r="W221" s="1" t="s">
        <v>239</v>
      </c>
      <c r="X221" s="32" t="s">
        <v>240</v>
      </c>
      <c r="Y221" s="1" t="s">
        <v>241</v>
      </c>
      <c r="Z221" s="2" t="s">
        <v>242</v>
      </c>
      <c r="AA221" s="1"/>
      <c r="AB221" s="1"/>
      <c r="AC221" s="1"/>
      <c r="AD221" s="1"/>
      <c r="AE221" s="1"/>
      <c r="AF221" s="1"/>
      <c r="AG221" s="1"/>
      <c r="AH221" s="1"/>
      <c r="AI221" s="1"/>
      <c r="AJ221" s="1"/>
      <c r="AK221" s="1"/>
      <c r="AL221" s="1"/>
      <c r="AM221" s="1"/>
      <c r="AN221" s="1"/>
      <c r="AO221" s="1"/>
      <c r="AP221" s="1"/>
      <c r="AQ221" s="1"/>
      <c r="AR221" s="1"/>
      <c r="AS221" s="1"/>
      <c r="AT221" s="1"/>
      <c r="AU221" s="1"/>
      <c r="AV221" s="1">
        <f>SUM($AT221,Z221:$AA221)-SUM($AV$5:AV$5)*$J221-SUM($AV$6:AV$6)*$K221</f>
        <v>0</v>
      </c>
      <c r="AW221" s="1">
        <f>SUM($AT221,$AA221:AA221)-SUM($AV$5:AW$5)*$J221-SUM($AV$6:AW$6)*$K221</f>
        <v>0</v>
      </c>
      <c r="AX221" s="1">
        <f>SUM($AT221,$AA221:AB221)-SUM($AV$5:AX$5)*$J221-SUM($AV$6:AX$6)*$K221</f>
        <v>0</v>
      </c>
      <c r="AY221" s="1">
        <f>SUM($AT221,$AA221:AC221)-SUM($AV$5:AY$5)*$J221-SUM($AV$6:AY$6)*$K221</f>
        <v>0</v>
      </c>
      <c r="AZ221" s="1">
        <f>SUM($AT221,$AA221:AD221)-SUM($AV$5:AZ$5)*$J221-SUM($AV$6:AZ$6)*$K221</f>
        <v>-40</v>
      </c>
      <c r="BA221" s="1">
        <f>SUM($AT221,$AA221:AE221)-SUM($AV$5:BA$5)*$J221-SUM($AV$6:BA$6)*$K221</f>
        <v>-80</v>
      </c>
      <c r="BB221" s="1">
        <f>SUM($AT221,$AA221:AF221)-SUM($AV$5:BB$5)*$J221-SUM($AV$6:BB$6)*$K221</f>
        <v>-120</v>
      </c>
      <c r="BC221" s="1">
        <f>SUM($AT221,$AA221:AG221)-SUM($AV$5:BC$5)*$J221-SUM($AV$6:BC$6)*$K221</f>
        <v>-160</v>
      </c>
      <c r="BD221" s="1">
        <f>SUM($AT221,$AA221:AH221)-SUM($AV$5:BD$5)*$J221-SUM($AV$6:BD$6)*$K221</f>
        <v>-200</v>
      </c>
      <c r="BE221" s="1">
        <f>SUM($AT221,$AA221:AI221)-SUM($AV$5:BE$5)*$J221-SUM($AV$6:BE$6)*$K221</f>
        <v>-240</v>
      </c>
      <c r="BF221" s="1">
        <f>SUM($AT221,$AA221:AJ221)-SUM($AV$5:BF$5)*$J221-SUM($AV$6:BF$6)*$K221</f>
        <v>-280</v>
      </c>
      <c r="BG221" s="1">
        <f>SUM($AT221,$AA221:AK221)-SUM($AV$5:BG$5)*$J221-SUM($AV$6:BG$6)*$K221</f>
        <v>-320</v>
      </c>
      <c r="BH221" s="1">
        <f>SUM($AT221,$AA221:AL221)-SUM($AV$5:BH$5)*$J221-SUM($AV$6:BH$6)*$K221</f>
        <v>-360</v>
      </c>
      <c r="BI221" s="1">
        <f>SUM($AT221,$AA221:AM221)-SUM($AV$5:BI$5)*$J221-SUM($AV$6:BI$6)*$K221</f>
        <v>-400</v>
      </c>
      <c r="BJ221" s="1">
        <f>SUM($AT221,$AA221:AN221)-SUM($AV$5:BJ$5)*$J221-SUM($AV$6:BJ$6)*$K221</f>
        <v>-440</v>
      </c>
      <c r="BK221" s="1">
        <f>SUM($AT221,$AA221:AO221)-SUM($AV$5:BK$5)*$J221-SUM($AV$6:BK$6)*$K221</f>
        <v>-480</v>
      </c>
      <c r="BL221" s="1">
        <f>SUM($AT221,$AA221:AP221)-SUM($AV$5:BL$5)*$J221-SUM($AV$6:BL$6)*$K221</f>
        <v>-520</v>
      </c>
      <c r="BM221" s="1">
        <f>SUM($AT221,$AA221:AQ221)-SUM($AV$5:BM$5)*$J221-SUM($AV$6:BM$6)*$K221</f>
        <v>-560</v>
      </c>
      <c r="BN221" s="1">
        <f>SUM($AT221,$AA221:AR221)-SUM($AV$5:BN$5)*$J221-SUM($AV$6:BN$6)*$K221</f>
        <v>-582</v>
      </c>
    </row>
    <row r="222" spans="1:66">
      <c r="A222" s="1">
        <v>243</v>
      </c>
      <c r="B222" s="28" t="s">
        <v>723</v>
      </c>
      <c r="C222" s="1" t="s">
        <v>40</v>
      </c>
      <c r="D222" s="2">
        <v>400693193</v>
      </c>
      <c r="E222" s="3" t="s">
        <v>724</v>
      </c>
      <c r="F222" s="1" t="s">
        <v>725</v>
      </c>
      <c r="G222" s="1" t="s">
        <v>42</v>
      </c>
      <c r="H222" s="1">
        <v>2</v>
      </c>
      <c r="I222" s="1">
        <v>3</v>
      </c>
      <c r="J222" s="1">
        <v>3</v>
      </c>
      <c r="K222" s="1">
        <v>0</v>
      </c>
      <c r="L222" s="1">
        <v>0</v>
      </c>
      <c r="M222" s="1">
        <f t="shared" si="8"/>
        <v>1746</v>
      </c>
      <c r="N222" s="1">
        <f t="shared" si="9"/>
        <v>1746</v>
      </c>
      <c r="O222" s="2" t="s">
        <v>525</v>
      </c>
      <c r="P222" s="1"/>
      <c r="Q222" s="1">
        <v>4.0000000000000001E-3</v>
      </c>
      <c r="R222" s="1" t="s">
        <v>44</v>
      </c>
      <c r="S222" s="30" t="s">
        <v>423</v>
      </c>
      <c r="T222" s="31" t="s">
        <v>238</v>
      </c>
      <c r="U222" s="1"/>
      <c r="V222" s="1">
        <v>5000</v>
      </c>
      <c r="W222" s="1" t="s">
        <v>239</v>
      </c>
      <c r="X222" s="32" t="s">
        <v>240</v>
      </c>
      <c r="Y222" s="1" t="s">
        <v>241</v>
      </c>
      <c r="Z222" s="2" t="s">
        <v>242</v>
      </c>
      <c r="AA222" s="1"/>
      <c r="AB222" s="1"/>
      <c r="AC222" s="1"/>
      <c r="AD222" s="1"/>
      <c r="AE222" s="1"/>
      <c r="AF222" s="1"/>
      <c r="AG222" s="1"/>
      <c r="AH222" s="1"/>
      <c r="AI222" s="1"/>
      <c r="AJ222" s="1"/>
      <c r="AK222" s="1"/>
      <c r="AL222" s="1"/>
      <c r="AM222" s="1"/>
      <c r="AN222" s="1"/>
      <c r="AO222" s="1"/>
      <c r="AP222" s="1"/>
      <c r="AQ222" s="1"/>
      <c r="AR222" s="1"/>
      <c r="AS222" s="1"/>
      <c r="AT222" s="1"/>
      <c r="AU222" s="1"/>
      <c r="AV222" s="1">
        <f>SUM($AT222,Z222:$AA222)-SUM($AV$5:AV$5)*$J222-SUM($AV$6:AV$6)*$K222</f>
        <v>0</v>
      </c>
      <c r="AW222" s="1">
        <f>SUM($AT222,$AA222:AA222)-SUM($AV$5:AW$5)*$J222-SUM($AV$6:AW$6)*$K222</f>
        <v>0</v>
      </c>
      <c r="AX222" s="1">
        <f>SUM($AT222,$AA222:AB222)-SUM($AV$5:AX$5)*$J222-SUM($AV$6:AX$6)*$K222</f>
        <v>0</v>
      </c>
      <c r="AY222" s="1">
        <f>SUM($AT222,$AA222:AC222)-SUM($AV$5:AY$5)*$J222-SUM($AV$6:AY$6)*$K222</f>
        <v>0</v>
      </c>
      <c r="AZ222" s="1">
        <f>SUM($AT222,$AA222:AD222)-SUM($AV$5:AZ$5)*$J222-SUM($AV$6:AZ$6)*$K222</f>
        <v>-120</v>
      </c>
      <c r="BA222" s="1">
        <f>SUM($AT222,$AA222:AE222)-SUM($AV$5:BA$5)*$J222-SUM($AV$6:BA$6)*$K222</f>
        <v>-240</v>
      </c>
      <c r="BB222" s="1">
        <f>SUM($AT222,$AA222:AF222)-SUM($AV$5:BB$5)*$J222-SUM($AV$6:BB$6)*$K222</f>
        <v>-360</v>
      </c>
      <c r="BC222" s="1">
        <f>SUM($AT222,$AA222:AG222)-SUM($AV$5:BC$5)*$J222-SUM($AV$6:BC$6)*$K222</f>
        <v>-480</v>
      </c>
      <c r="BD222" s="1">
        <f>SUM($AT222,$AA222:AH222)-SUM($AV$5:BD$5)*$J222-SUM($AV$6:BD$6)*$K222</f>
        <v>-600</v>
      </c>
      <c r="BE222" s="1">
        <f>SUM($AT222,$AA222:AI222)-SUM($AV$5:BE$5)*$J222-SUM($AV$6:BE$6)*$K222</f>
        <v>-720</v>
      </c>
      <c r="BF222" s="1">
        <f>SUM($AT222,$AA222:AJ222)-SUM($AV$5:BF$5)*$J222-SUM($AV$6:BF$6)*$K222</f>
        <v>-840</v>
      </c>
      <c r="BG222" s="1">
        <f>SUM($AT222,$AA222:AK222)-SUM($AV$5:BG$5)*$J222-SUM($AV$6:BG$6)*$K222</f>
        <v>-960</v>
      </c>
      <c r="BH222" s="1">
        <f>SUM($AT222,$AA222:AL222)-SUM($AV$5:BH$5)*$J222-SUM($AV$6:BH$6)*$K222</f>
        <v>-1080</v>
      </c>
      <c r="BI222" s="1">
        <f>SUM($AT222,$AA222:AM222)-SUM($AV$5:BI$5)*$J222-SUM($AV$6:BI$6)*$K222</f>
        <v>-1200</v>
      </c>
      <c r="BJ222" s="1">
        <f>SUM($AT222,$AA222:AN222)-SUM($AV$5:BJ$5)*$J222-SUM($AV$6:BJ$6)*$K222</f>
        <v>-1320</v>
      </c>
      <c r="BK222" s="1">
        <f>SUM($AT222,$AA222:AO222)-SUM($AV$5:BK$5)*$J222-SUM($AV$6:BK$6)*$K222</f>
        <v>-1440</v>
      </c>
      <c r="BL222" s="1">
        <f>SUM($AT222,$AA222:AP222)-SUM($AV$5:BL$5)*$J222-SUM($AV$6:BL$6)*$K222</f>
        <v>-1560</v>
      </c>
      <c r="BM222" s="1">
        <f>SUM($AT222,$AA222:AQ222)-SUM($AV$5:BM$5)*$J222-SUM($AV$6:BM$6)*$K222</f>
        <v>-1680</v>
      </c>
      <c r="BN222" s="1">
        <f>SUM($AT222,$AA222:AR222)-SUM($AV$5:BN$5)*$J222-SUM($AV$6:BN$6)*$K222</f>
        <v>-1746</v>
      </c>
    </row>
    <row r="223" spans="1:66">
      <c r="A223" s="1">
        <v>227</v>
      </c>
      <c r="B223" s="28" t="s">
        <v>726</v>
      </c>
      <c r="C223" s="1" t="s">
        <v>40</v>
      </c>
      <c r="D223" s="2">
        <v>400693204</v>
      </c>
      <c r="E223" s="3" t="s">
        <v>727</v>
      </c>
      <c r="F223" s="1" t="s">
        <v>728</v>
      </c>
      <c r="G223" s="1" t="s">
        <v>42</v>
      </c>
      <c r="H223" s="1">
        <v>2</v>
      </c>
      <c r="I223" s="1">
        <v>15</v>
      </c>
      <c r="J223" s="1">
        <v>0</v>
      </c>
      <c r="K223" s="1">
        <v>0</v>
      </c>
      <c r="L223" s="1">
        <v>15</v>
      </c>
      <c r="M223" s="1">
        <f t="shared" ref="M223:M286" si="10">SUMPRODUCT(J223:L223,$J$2:$L$2)</f>
        <v>4140</v>
      </c>
      <c r="N223" s="1">
        <f t="shared" ref="N223:N286" si="11">SUMPRODUCT(J223:L223,$J$2:$L$2)</f>
        <v>4140</v>
      </c>
      <c r="O223" s="2" t="s">
        <v>525</v>
      </c>
      <c r="P223" s="1"/>
      <c r="Q223" s="1">
        <v>4.0000000000000001E-3</v>
      </c>
      <c r="R223" s="1" t="s">
        <v>44</v>
      </c>
      <c r="S223" s="30" t="s">
        <v>423</v>
      </c>
      <c r="T223" s="31" t="s">
        <v>238</v>
      </c>
      <c r="U223" s="1">
        <v>5000</v>
      </c>
      <c r="V223" s="1">
        <v>5000</v>
      </c>
      <c r="W223" s="1" t="s">
        <v>239</v>
      </c>
      <c r="X223" s="32" t="s">
        <v>286</v>
      </c>
      <c r="Y223" s="1" t="s">
        <v>241</v>
      </c>
      <c r="Z223" s="2" t="s">
        <v>242</v>
      </c>
      <c r="AA223" s="1"/>
      <c r="AB223" s="1"/>
      <c r="AC223" s="1"/>
      <c r="AD223" s="1"/>
      <c r="AE223" s="1"/>
      <c r="AF223" s="1"/>
      <c r="AG223" s="1"/>
      <c r="AH223" s="1"/>
      <c r="AI223" s="1"/>
      <c r="AJ223" s="1"/>
      <c r="AK223" s="1"/>
      <c r="AL223" s="1"/>
      <c r="AM223" s="1"/>
      <c r="AN223" s="1"/>
      <c r="AO223" s="1"/>
      <c r="AP223" s="1"/>
      <c r="AQ223" s="1"/>
      <c r="AR223" s="1"/>
      <c r="AS223" s="1"/>
      <c r="AT223" s="1"/>
      <c r="AU223" s="1"/>
      <c r="AV223" s="1">
        <f>SUM($AT223,Z223:$AA223)-SUM($AV$5:AV$5)*$J223-SUM($AV$6:AV$6)*$K223</f>
        <v>0</v>
      </c>
      <c r="AW223" s="1">
        <f>SUM($AT223,$AA223:AA223)-SUM($AV$5:AW$5)*$J223-SUM($AV$6:AW$6)*$K223</f>
        <v>0</v>
      </c>
      <c r="AX223" s="1">
        <f>SUM($AT223,$AA223:AB223)-SUM($AV$5:AX$5)*$J223-SUM($AV$6:AX$6)*$K223</f>
        <v>0</v>
      </c>
      <c r="AY223" s="1">
        <f>SUM($AT223,$AA223:AC223)-SUM($AV$5:AY$5)*$J223-SUM($AV$6:AY$6)*$K223</f>
        <v>0</v>
      </c>
      <c r="AZ223" s="1">
        <f>SUM($AT223,$AA223:AD223)-SUM($AV$5:AZ$5)*$J223-SUM($AV$6:AZ$6)*$K223</f>
        <v>0</v>
      </c>
      <c r="BA223" s="1">
        <f>SUM($AT223,$AA223:AE223)-SUM($AV$5:BA$5)*$J223-SUM($AV$6:BA$6)*$K223</f>
        <v>0</v>
      </c>
      <c r="BB223" s="1">
        <f>SUM($AT223,$AA223:AF223)-SUM($AV$5:BB$5)*$J223-SUM($AV$6:BB$6)*$K223</f>
        <v>0</v>
      </c>
      <c r="BC223" s="1">
        <f>SUM($AT223,$AA223:AG223)-SUM($AV$5:BC$5)*$J223-SUM($AV$6:BC$6)*$K223</f>
        <v>0</v>
      </c>
      <c r="BD223" s="1">
        <f>SUM($AT223,$AA223:AH223)-SUM($AV$5:BD$5)*$J223-SUM($AV$6:BD$6)*$K223</f>
        <v>0</v>
      </c>
      <c r="BE223" s="1">
        <f>SUM($AT223,$AA223:AI223)-SUM($AV$5:BE$5)*$J223-SUM($AV$6:BE$6)*$K223</f>
        <v>0</v>
      </c>
      <c r="BF223" s="1">
        <f>SUM($AT223,$AA223:AJ223)-SUM($AV$5:BF$5)*$J223-SUM($AV$6:BF$6)*$K223</f>
        <v>0</v>
      </c>
      <c r="BG223" s="1">
        <f>SUM($AT223,$AA223:AK223)-SUM($AV$5:BG$5)*$J223-SUM($AV$6:BG$6)*$K223</f>
        <v>0</v>
      </c>
      <c r="BH223" s="1">
        <f>SUM($AT223,$AA223:AL223)-SUM($AV$5:BH$5)*$J223-SUM($AV$6:BH$6)*$K223</f>
        <v>0</v>
      </c>
      <c r="BI223" s="1">
        <f>SUM($AT223,$AA223:AM223)-SUM($AV$5:BI$5)*$J223-SUM($AV$6:BI$6)*$K223</f>
        <v>0</v>
      </c>
      <c r="BJ223" s="1">
        <f>SUM($AT223,$AA223:AN223)-SUM($AV$5:BJ$5)*$J223-SUM($AV$6:BJ$6)*$K223</f>
        <v>0</v>
      </c>
      <c r="BK223" s="1">
        <f>SUM($AT223,$AA223:AO223)-SUM($AV$5:BK$5)*$J223-SUM($AV$6:BK$6)*$K223</f>
        <v>0</v>
      </c>
      <c r="BL223" s="1">
        <f>SUM($AT223,$AA223:AP223)-SUM($AV$5:BL$5)*$J223-SUM($AV$6:BL$6)*$K223</f>
        <v>0</v>
      </c>
      <c r="BM223" s="1">
        <f>SUM($AT223,$AA223:AQ223)-SUM($AV$5:BM$5)*$J223-SUM($AV$6:BM$6)*$K223</f>
        <v>0</v>
      </c>
      <c r="BN223" s="1">
        <f>SUM($AT223,$AA223:AR223)-SUM($AV$5:BN$5)*$J223-SUM($AV$6:BN$6)*$K223</f>
        <v>0</v>
      </c>
    </row>
    <row r="224" spans="1:66">
      <c r="A224" s="1">
        <v>253</v>
      </c>
      <c r="B224" s="28" t="s">
        <v>729</v>
      </c>
      <c r="C224" s="1" t="s">
        <v>40</v>
      </c>
      <c r="D224" s="2">
        <v>412611005</v>
      </c>
      <c r="E224" s="3" t="s">
        <v>730</v>
      </c>
      <c r="F224" s="1"/>
      <c r="G224" s="1" t="s">
        <v>42</v>
      </c>
      <c r="H224" s="1">
        <v>2</v>
      </c>
      <c r="I224" s="1">
        <v>16</v>
      </c>
      <c r="J224" s="1">
        <v>16</v>
      </c>
      <c r="K224" s="1">
        <v>0</v>
      </c>
      <c r="L224" s="1">
        <v>0</v>
      </c>
      <c r="M224" s="1">
        <f t="shared" si="10"/>
        <v>9312</v>
      </c>
      <c r="N224" s="1">
        <f t="shared" si="11"/>
        <v>9312</v>
      </c>
      <c r="O224" s="2" t="s">
        <v>731</v>
      </c>
      <c r="P224" s="1"/>
      <c r="Q224" s="1">
        <v>0.68</v>
      </c>
      <c r="R224" s="1" t="s">
        <v>44</v>
      </c>
      <c r="S224" s="30" t="s">
        <v>732</v>
      </c>
      <c r="T224" s="31" t="s">
        <v>238</v>
      </c>
      <c r="U224" s="1"/>
      <c r="V224" s="1">
        <v>3000</v>
      </c>
      <c r="W224" s="1" t="s">
        <v>239</v>
      </c>
      <c r="X224" s="32" t="s">
        <v>240</v>
      </c>
      <c r="Y224" s="1" t="s">
        <v>241</v>
      </c>
      <c r="Z224" s="2" t="s">
        <v>242</v>
      </c>
      <c r="AA224" s="1"/>
      <c r="AB224" s="1"/>
      <c r="AC224" s="1"/>
      <c r="AD224" s="1"/>
      <c r="AE224" s="1"/>
      <c r="AF224" s="1"/>
      <c r="AG224" s="1"/>
      <c r="AH224" s="1"/>
      <c r="AI224" s="1"/>
      <c r="AJ224" s="1"/>
      <c r="AK224" s="1"/>
      <c r="AL224" s="1"/>
      <c r="AM224" s="1"/>
      <c r="AN224" s="1"/>
      <c r="AO224" s="1"/>
      <c r="AP224" s="1"/>
      <c r="AQ224" s="1"/>
      <c r="AR224" s="1"/>
      <c r="AS224" s="1"/>
      <c r="AT224" s="1"/>
      <c r="AU224" s="1"/>
      <c r="AV224" s="1">
        <f>SUM($AT224,Z224:$AA224)-SUM($AV$5:AV$5)*$J224-SUM($AV$6:AV$6)*$K224</f>
        <v>0</v>
      </c>
      <c r="AW224" s="1">
        <f>SUM($AT224,$AA224:AA224)-SUM($AV$5:AW$5)*$J224-SUM($AV$6:AW$6)*$K224</f>
        <v>0</v>
      </c>
      <c r="AX224" s="1">
        <f>SUM($AT224,$AA224:AB224)-SUM($AV$5:AX$5)*$J224-SUM($AV$6:AX$6)*$K224</f>
        <v>0</v>
      </c>
      <c r="AY224" s="1">
        <f>SUM($AT224,$AA224:AC224)-SUM($AV$5:AY$5)*$J224-SUM($AV$6:AY$6)*$K224</f>
        <v>0</v>
      </c>
      <c r="AZ224" s="1">
        <f>SUM($AT224,$AA224:AD224)-SUM($AV$5:AZ$5)*$J224-SUM($AV$6:AZ$6)*$K224</f>
        <v>-640</v>
      </c>
      <c r="BA224" s="1">
        <f>SUM($AT224,$AA224:AE224)-SUM($AV$5:BA$5)*$J224-SUM($AV$6:BA$6)*$K224</f>
        <v>-1280</v>
      </c>
      <c r="BB224" s="1">
        <f>SUM($AT224,$AA224:AF224)-SUM($AV$5:BB$5)*$J224-SUM($AV$6:BB$6)*$K224</f>
        <v>-1920</v>
      </c>
      <c r="BC224" s="1">
        <f>SUM($AT224,$AA224:AG224)-SUM($AV$5:BC$5)*$J224-SUM($AV$6:BC$6)*$K224</f>
        <v>-2560</v>
      </c>
      <c r="BD224" s="1">
        <f>SUM($AT224,$AA224:AH224)-SUM($AV$5:BD$5)*$J224-SUM($AV$6:BD$6)*$K224</f>
        <v>-3200</v>
      </c>
      <c r="BE224" s="1">
        <f>SUM($AT224,$AA224:AI224)-SUM($AV$5:BE$5)*$J224-SUM($AV$6:BE$6)*$K224</f>
        <v>-3840</v>
      </c>
      <c r="BF224" s="1">
        <f>SUM($AT224,$AA224:AJ224)-SUM($AV$5:BF$5)*$J224-SUM($AV$6:BF$6)*$K224</f>
        <v>-4480</v>
      </c>
      <c r="BG224" s="1">
        <f>SUM($AT224,$AA224:AK224)-SUM($AV$5:BG$5)*$J224-SUM($AV$6:BG$6)*$K224</f>
        <v>-5120</v>
      </c>
      <c r="BH224" s="1">
        <f>SUM($AT224,$AA224:AL224)-SUM($AV$5:BH$5)*$J224-SUM($AV$6:BH$6)*$K224</f>
        <v>-5760</v>
      </c>
      <c r="BI224" s="1">
        <f>SUM($AT224,$AA224:AM224)-SUM($AV$5:BI$5)*$J224-SUM($AV$6:BI$6)*$K224</f>
        <v>-6400</v>
      </c>
      <c r="BJ224" s="1">
        <f>SUM($AT224,$AA224:AN224)-SUM($AV$5:BJ$5)*$J224-SUM($AV$6:BJ$6)*$K224</f>
        <v>-7040</v>
      </c>
      <c r="BK224" s="1">
        <f>SUM($AT224,$AA224:AO224)-SUM($AV$5:BK$5)*$J224-SUM($AV$6:BK$6)*$K224</f>
        <v>-7680</v>
      </c>
      <c r="BL224" s="1">
        <f>SUM($AT224,$AA224:AP224)-SUM($AV$5:BL$5)*$J224-SUM($AV$6:BL$6)*$K224</f>
        <v>-8320</v>
      </c>
      <c r="BM224" s="1">
        <f>SUM($AT224,$AA224:AQ224)-SUM($AV$5:BM$5)*$J224-SUM($AV$6:BM$6)*$K224</f>
        <v>-8960</v>
      </c>
      <c r="BN224" s="1">
        <f>SUM($AT224,$AA224:AR224)-SUM($AV$5:BN$5)*$J224-SUM($AV$6:BN$6)*$K224</f>
        <v>-9312</v>
      </c>
    </row>
    <row r="225" spans="1:66">
      <c r="A225" s="1">
        <v>254</v>
      </c>
      <c r="B225" s="28" t="s">
        <v>733</v>
      </c>
      <c r="C225" s="1" t="s">
        <v>40</v>
      </c>
      <c r="D225" s="2">
        <v>400649520</v>
      </c>
      <c r="E225" s="3" t="s">
        <v>734</v>
      </c>
      <c r="F225" s="1"/>
      <c r="G225" s="1" t="s">
        <v>42</v>
      </c>
      <c r="H225" s="1">
        <v>2</v>
      </c>
      <c r="I225" s="1">
        <v>2</v>
      </c>
      <c r="J225" s="1">
        <v>2</v>
      </c>
      <c r="K225" s="1">
        <v>0</v>
      </c>
      <c r="L225" s="1">
        <v>0</v>
      </c>
      <c r="M225" s="1">
        <f t="shared" si="10"/>
        <v>1164</v>
      </c>
      <c r="N225" s="1">
        <f t="shared" si="11"/>
        <v>1164</v>
      </c>
      <c r="O225" s="2" t="s">
        <v>393</v>
      </c>
      <c r="P225" s="1"/>
      <c r="Q225" s="1">
        <v>0.12</v>
      </c>
      <c r="R225" s="1" t="s">
        <v>44</v>
      </c>
      <c r="S225" s="30" t="s">
        <v>386</v>
      </c>
      <c r="T225" s="31" t="s">
        <v>369</v>
      </c>
      <c r="U225" s="1"/>
      <c r="V225" s="1">
        <v>2000</v>
      </c>
      <c r="W225" s="1" t="s">
        <v>370</v>
      </c>
      <c r="X225" s="32" t="s">
        <v>371</v>
      </c>
      <c r="Y225" s="1" t="s">
        <v>372</v>
      </c>
      <c r="Z225" s="2" t="s">
        <v>393</v>
      </c>
      <c r="AA225" s="1"/>
      <c r="AB225" s="1"/>
      <c r="AC225" s="1"/>
      <c r="AD225" s="1"/>
      <c r="AE225" s="1"/>
      <c r="AF225" s="1"/>
      <c r="AG225" s="1"/>
      <c r="AH225" s="1"/>
      <c r="AI225" s="1"/>
      <c r="AJ225" s="1"/>
      <c r="AK225" s="1"/>
      <c r="AL225" s="1"/>
      <c r="AM225" s="1"/>
      <c r="AN225" s="1"/>
      <c r="AO225" s="1"/>
      <c r="AP225" s="1"/>
      <c r="AQ225" s="1"/>
      <c r="AR225" s="1"/>
      <c r="AS225" s="1"/>
      <c r="AT225" s="1"/>
      <c r="AU225" s="1"/>
      <c r="AV225" s="1">
        <f>SUM($AT225,Z225:$AA225)-SUM($AV$5:AV$5)*$J225-SUM($AV$6:AV$6)*$K225</f>
        <v>0</v>
      </c>
      <c r="AW225" s="1">
        <f>SUM($AT225,$AA225:AA225)-SUM($AV$5:AW$5)*$J225-SUM($AV$6:AW$6)*$K225</f>
        <v>0</v>
      </c>
      <c r="AX225" s="1">
        <f>SUM($AT225,$AA225:AB225)-SUM($AV$5:AX$5)*$J225-SUM($AV$6:AX$6)*$K225</f>
        <v>0</v>
      </c>
      <c r="AY225" s="1">
        <f>SUM($AT225,$AA225:AC225)-SUM($AV$5:AY$5)*$J225-SUM($AV$6:AY$6)*$K225</f>
        <v>0</v>
      </c>
      <c r="AZ225" s="1">
        <f>SUM($AT225,$AA225:AD225)-SUM($AV$5:AZ$5)*$J225-SUM($AV$6:AZ$6)*$K225</f>
        <v>-80</v>
      </c>
      <c r="BA225" s="1">
        <f>SUM($AT225,$AA225:AE225)-SUM($AV$5:BA$5)*$J225-SUM($AV$6:BA$6)*$K225</f>
        <v>-160</v>
      </c>
      <c r="BB225" s="1">
        <f>SUM($AT225,$AA225:AF225)-SUM($AV$5:BB$5)*$J225-SUM($AV$6:BB$6)*$K225</f>
        <v>-240</v>
      </c>
      <c r="BC225" s="1">
        <f>SUM($AT225,$AA225:AG225)-SUM($AV$5:BC$5)*$J225-SUM($AV$6:BC$6)*$K225</f>
        <v>-320</v>
      </c>
      <c r="BD225" s="1">
        <f>SUM($AT225,$AA225:AH225)-SUM($AV$5:BD$5)*$J225-SUM($AV$6:BD$6)*$K225</f>
        <v>-400</v>
      </c>
      <c r="BE225" s="1">
        <f>SUM($AT225,$AA225:AI225)-SUM($AV$5:BE$5)*$J225-SUM($AV$6:BE$6)*$K225</f>
        <v>-480</v>
      </c>
      <c r="BF225" s="1">
        <f>SUM($AT225,$AA225:AJ225)-SUM($AV$5:BF$5)*$J225-SUM($AV$6:BF$6)*$K225</f>
        <v>-560</v>
      </c>
      <c r="BG225" s="1">
        <f>SUM($AT225,$AA225:AK225)-SUM($AV$5:BG$5)*$J225-SUM($AV$6:BG$6)*$K225</f>
        <v>-640</v>
      </c>
      <c r="BH225" s="1">
        <f>SUM($AT225,$AA225:AL225)-SUM($AV$5:BH$5)*$J225-SUM($AV$6:BH$6)*$K225</f>
        <v>-720</v>
      </c>
      <c r="BI225" s="1">
        <f>SUM($AT225,$AA225:AM225)-SUM($AV$5:BI$5)*$J225-SUM($AV$6:BI$6)*$K225</f>
        <v>-800</v>
      </c>
      <c r="BJ225" s="1">
        <f>SUM($AT225,$AA225:AN225)-SUM($AV$5:BJ$5)*$J225-SUM($AV$6:BJ$6)*$K225</f>
        <v>-880</v>
      </c>
      <c r="BK225" s="1">
        <f>SUM($AT225,$AA225:AO225)-SUM($AV$5:BK$5)*$J225-SUM($AV$6:BK$6)*$K225</f>
        <v>-960</v>
      </c>
      <c r="BL225" s="1">
        <f>SUM($AT225,$AA225:AP225)-SUM($AV$5:BL$5)*$J225-SUM($AV$6:BL$6)*$K225</f>
        <v>-1040</v>
      </c>
      <c r="BM225" s="1">
        <f>SUM($AT225,$AA225:AQ225)-SUM($AV$5:BM$5)*$J225-SUM($AV$6:BM$6)*$K225</f>
        <v>-1120</v>
      </c>
      <c r="BN225" s="1">
        <f>SUM($AT225,$AA225:AR225)-SUM($AV$5:BN$5)*$J225-SUM($AV$6:BN$6)*$K225</f>
        <v>-1164</v>
      </c>
    </row>
    <row r="226" spans="1:66">
      <c r="A226" s="1">
        <v>230</v>
      </c>
      <c r="B226" s="28" t="s">
        <v>735</v>
      </c>
      <c r="C226" s="1" t="s">
        <v>40</v>
      </c>
      <c r="D226" s="2">
        <v>400249970</v>
      </c>
      <c r="E226" s="3" t="s">
        <v>736</v>
      </c>
      <c r="F226" s="1" t="s">
        <v>737</v>
      </c>
      <c r="G226" s="1" t="s">
        <v>42</v>
      </c>
      <c r="H226" s="1">
        <v>2</v>
      </c>
      <c r="I226" s="1">
        <v>8</v>
      </c>
      <c r="J226" s="1">
        <v>0</v>
      </c>
      <c r="K226" s="1">
        <v>0</v>
      </c>
      <c r="L226" s="1">
        <v>8</v>
      </c>
      <c r="M226" s="1">
        <f t="shared" si="10"/>
        <v>2208</v>
      </c>
      <c r="N226" s="1">
        <f t="shared" si="11"/>
        <v>2208</v>
      </c>
      <c r="O226" s="2" t="s">
        <v>525</v>
      </c>
      <c r="P226" s="1"/>
      <c r="Q226" s="1">
        <v>5.0000000000000001E-3</v>
      </c>
      <c r="R226" s="1" t="s">
        <v>44</v>
      </c>
      <c r="S226" s="30" t="s">
        <v>423</v>
      </c>
      <c r="T226" s="31" t="s">
        <v>238</v>
      </c>
      <c r="U226" s="1">
        <v>5000</v>
      </c>
      <c r="V226" s="1">
        <v>5000</v>
      </c>
      <c r="W226" s="1" t="s">
        <v>239</v>
      </c>
      <c r="X226" s="32" t="s">
        <v>286</v>
      </c>
      <c r="Y226" s="1" t="s">
        <v>241</v>
      </c>
      <c r="Z226" s="2" t="s">
        <v>242</v>
      </c>
      <c r="AA226" s="1"/>
      <c r="AB226" s="1"/>
      <c r="AC226" s="1"/>
      <c r="AD226" s="1"/>
      <c r="AE226" s="1"/>
      <c r="AF226" s="1"/>
      <c r="AG226" s="1"/>
      <c r="AH226" s="1"/>
      <c r="AI226" s="1"/>
      <c r="AJ226" s="1"/>
      <c r="AK226" s="1"/>
      <c r="AL226" s="1"/>
      <c r="AM226" s="1"/>
      <c r="AN226" s="1"/>
      <c r="AO226" s="1"/>
      <c r="AP226" s="1"/>
      <c r="AQ226" s="1"/>
      <c r="AR226" s="1"/>
      <c r="AS226" s="1"/>
      <c r="AT226" s="1"/>
      <c r="AU226" s="1"/>
      <c r="AV226" s="1">
        <f>SUM($AT226,Z226:$AA226)-SUM($AV$5:AV$5)*$J226-SUM($AV$6:AV$6)*$K226</f>
        <v>0</v>
      </c>
      <c r="AW226" s="1">
        <f>SUM($AT226,$AA226:AA226)-SUM($AV$5:AW$5)*$J226-SUM($AV$6:AW$6)*$K226</f>
        <v>0</v>
      </c>
      <c r="AX226" s="1">
        <f>SUM($AT226,$AA226:AB226)-SUM($AV$5:AX$5)*$J226-SUM($AV$6:AX$6)*$K226</f>
        <v>0</v>
      </c>
      <c r="AY226" s="1">
        <f>SUM($AT226,$AA226:AC226)-SUM($AV$5:AY$5)*$J226-SUM($AV$6:AY$6)*$K226</f>
        <v>0</v>
      </c>
      <c r="AZ226" s="1">
        <f>SUM($AT226,$AA226:AD226)-SUM($AV$5:AZ$5)*$J226-SUM($AV$6:AZ$6)*$K226</f>
        <v>0</v>
      </c>
      <c r="BA226" s="1">
        <f>SUM($AT226,$AA226:AE226)-SUM($AV$5:BA$5)*$J226-SUM($AV$6:BA$6)*$K226</f>
        <v>0</v>
      </c>
      <c r="BB226" s="1">
        <f>SUM($AT226,$AA226:AF226)-SUM($AV$5:BB$5)*$J226-SUM($AV$6:BB$6)*$K226</f>
        <v>0</v>
      </c>
      <c r="BC226" s="1">
        <f>SUM($AT226,$AA226:AG226)-SUM($AV$5:BC$5)*$J226-SUM($AV$6:BC$6)*$K226</f>
        <v>0</v>
      </c>
      <c r="BD226" s="1">
        <f>SUM($AT226,$AA226:AH226)-SUM($AV$5:BD$5)*$J226-SUM($AV$6:BD$6)*$K226</f>
        <v>0</v>
      </c>
      <c r="BE226" s="1">
        <f>SUM($AT226,$AA226:AI226)-SUM($AV$5:BE$5)*$J226-SUM($AV$6:BE$6)*$K226</f>
        <v>0</v>
      </c>
      <c r="BF226" s="1">
        <f>SUM($AT226,$AA226:AJ226)-SUM($AV$5:BF$5)*$J226-SUM($AV$6:BF$6)*$K226</f>
        <v>0</v>
      </c>
      <c r="BG226" s="1">
        <f>SUM($AT226,$AA226:AK226)-SUM($AV$5:BG$5)*$J226-SUM($AV$6:BG$6)*$K226</f>
        <v>0</v>
      </c>
      <c r="BH226" s="1">
        <f>SUM($AT226,$AA226:AL226)-SUM($AV$5:BH$5)*$J226-SUM($AV$6:BH$6)*$K226</f>
        <v>0</v>
      </c>
      <c r="BI226" s="1">
        <f>SUM($AT226,$AA226:AM226)-SUM($AV$5:BI$5)*$J226-SUM($AV$6:BI$6)*$K226</f>
        <v>0</v>
      </c>
      <c r="BJ226" s="1">
        <f>SUM($AT226,$AA226:AN226)-SUM($AV$5:BJ$5)*$J226-SUM($AV$6:BJ$6)*$K226</f>
        <v>0</v>
      </c>
      <c r="BK226" s="1">
        <f>SUM($AT226,$AA226:AO226)-SUM($AV$5:BK$5)*$J226-SUM($AV$6:BK$6)*$K226</f>
        <v>0</v>
      </c>
      <c r="BL226" s="1">
        <f>SUM($AT226,$AA226:AP226)-SUM($AV$5:BL$5)*$J226-SUM($AV$6:BL$6)*$K226</f>
        <v>0</v>
      </c>
      <c r="BM226" s="1">
        <f>SUM($AT226,$AA226:AQ226)-SUM($AV$5:BM$5)*$J226-SUM($AV$6:BM$6)*$K226</f>
        <v>0</v>
      </c>
      <c r="BN226" s="1">
        <f>SUM($AT226,$AA226:AR226)-SUM($AV$5:BN$5)*$J226-SUM($AV$6:BN$6)*$K226</f>
        <v>0</v>
      </c>
    </row>
    <row r="227" spans="1:66">
      <c r="A227" s="1">
        <v>255</v>
      </c>
      <c r="B227" s="28" t="s">
        <v>738</v>
      </c>
      <c r="C227" s="1" t="s">
        <v>40</v>
      </c>
      <c r="D227" s="2">
        <v>400117128</v>
      </c>
      <c r="E227" s="3" t="s">
        <v>739</v>
      </c>
      <c r="F227" s="1"/>
      <c r="G227" s="1" t="s">
        <v>42</v>
      </c>
      <c r="H227" s="1">
        <v>2</v>
      </c>
      <c r="I227" s="1">
        <v>2</v>
      </c>
      <c r="J227" s="1">
        <v>2</v>
      </c>
      <c r="K227" s="1">
        <v>0</v>
      </c>
      <c r="L227" s="1">
        <v>0</v>
      </c>
      <c r="M227" s="1">
        <f t="shared" si="10"/>
        <v>1164</v>
      </c>
      <c r="N227" s="1">
        <f t="shared" si="11"/>
        <v>1164</v>
      </c>
      <c r="O227" s="2" t="s">
        <v>65</v>
      </c>
      <c r="P227" s="1"/>
      <c r="Q227" s="1">
        <v>0.69</v>
      </c>
      <c r="R227" s="1" t="s">
        <v>44</v>
      </c>
      <c r="S227" s="30" t="s">
        <v>66</v>
      </c>
      <c r="T227" s="31" t="s">
        <v>67</v>
      </c>
      <c r="U227" s="1"/>
      <c r="V227" s="1">
        <v>750</v>
      </c>
      <c r="W227" s="1" t="s">
        <v>68</v>
      </c>
      <c r="X227" s="32" t="s">
        <v>69</v>
      </c>
      <c r="Y227" s="1" t="s">
        <v>70</v>
      </c>
      <c r="Z227" s="2" t="s">
        <v>65</v>
      </c>
      <c r="AA227" s="1"/>
      <c r="AB227" s="1"/>
      <c r="AC227" s="1">
        <v>1500</v>
      </c>
      <c r="AD227" s="1"/>
      <c r="AE227" s="1"/>
      <c r="AF227" s="1"/>
      <c r="AG227" s="1"/>
      <c r="AH227" s="1"/>
      <c r="AI227" s="1"/>
      <c r="AJ227" s="1"/>
      <c r="AK227" s="1"/>
      <c r="AL227" s="1"/>
      <c r="AM227" s="1"/>
      <c r="AN227" s="1"/>
      <c r="AO227" s="1"/>
      <c r="AP227" s="1"/>
      <c r="AQ227" s="1"/>
      <c r="AR227" s="1"/>
      <c r="AS227" s="1"/>
      <c r="AT227" s="1"/>
      <c r="AU227" s="1"/>
      <c r="AV227" s="1">
        <f>SUM($AT227,Z227:$AA227)-SUM($AV$5:AV$5)*$J227-SUM($AV$6:AV$6)*$K227</f>
        <v>0</v>
      </c>
      <c r="AW227" s="1">
        <f>SUM($AT227,$AA227:AA227)-SUM($AV$5:AW$5)*$J227-SUM($AV$6:AW$6)*$K227</f>
        <v>0</v>
      </c>
      <c r="AX227" s="1">
        <f>SUM($AT227,$AA227:AB227)-SUM($AV$5:AX$5)*$J227-SUM($AV$6:AX$6)*$K227</f>
        <v>0</v>
      </c>
      <c r="AY227" s="1">
        <f>SUM($AT227,$AA227:AC227)-SUM($AV$5:AY$5)*$J227-SUM($AV$6:AY$6)*$K227</f>
        <v>1500</v>
      </c>
      <c r="AZ227" s="1">
        <f>SUM($AT227,$AA227:AD227)-SUM($AV$5:AZ$5)*$J227-SUM($AV$6:AZ$6)*$K227</f>
        <v>1420</v>
      </c>
      <c r="BA227" s="1">
        <f>SUM($AT227,$AA227:AE227)-SUM($AV$5:BA$5)*$J227-SUM($AV$6:BA$6)*$K227</f>
        <v>1340</v>
      </c>
      <c r="BB227" s="1">
        <f>SUM($AT227,$AA227:AF227)-SUM($AV$5:BB$5)*$J227-SUM($AV$6:BB$6)*$K227</f>
        <v>1260</v>
      </c>
      <c r="BC227" s="1">
        <f>SUM($AT227,$AA227:AG227)-SUM($AV$5:BC$5)*$J227-SUM($AV$6:BC$6)*$K227</f>
        <v>1180</v>
      </c>
      <c r="BD227" s="1">
        <f>SUM($AT227,$AA227:AH227)-SUM($AV$5:BD$5)*$J227-SUM($AV$6:BD$6)*$K227</f>
        <v>1100</v>
      </c>
      <c r="BE227" s="1">
        <f>SUM($AT227,$AA227:AI227)-SUM($AV$5:BE$5)*$J227-SUM($AV$6:BE$6)*$K227</f>
        <v>1020</v>
      </c>
      <c r="BF227" s="1">
        <f>SUM($AT227,$AA227:AJ227)-SUM($AV$5:BF$5)*$J227-SUM($AV$6:BF$6)*$K227</f>
        <v>940</v>
      </c>
      <c r="BG227" s="1">
        <f>SUM($AT227,$AA227:AK227)-SUM($AV$5:BG$5)*$J227-SUM($AV$6:BG$6)*$K227</f>
        <v>860</v>
      </c>
      <c r="BH227" s="1">
        <f>SUM($AT227,$AA227:AL227)-SUM($AV$5:BH$5)*$J227-SUM($AV$6:BH$6)*$K227</f>
        <v>780</v>
      </c>
      <c r="BI227" s="1">
        <f>SUM($AT227,$AA227:AM227)-SUM($AV$5:BI$5)*$J227-SUM($AV$6:BI$6)*$K227</f>
        <v>700</v>
      </c>
      <c r="BJ227" s="1">
        <f>SUM($AT227,$AA227:AN227)-SUM($AV$5:BJ$5)*$J227-SUM($AV$6:BJ$6)*$K227</f>
        <v>620</v>
      </c>
      <c r="BK227" s="1">
        <f>SUM($AT227,$AA227:AO227)-SUM($AV$5:BK$5)*$J227-SUM($AV$6:BK$6)*$K227</f>
        <v>540</v>
      </c>
      <c r="BL227" s="1">
        <f>SUM($AT227,$AA227:AP227)-SUM($AV$5:BL$5)*$J227-SUM($AV$6:BL$6)*$K227</f>
        <v>460</v>
      </c>
      <c r="BM227" s="1">
        <f>SUM($AT227,$AA227:AQ227)-SUM($AV$5:BM$5)*$J227-SUM($AV$6:BM$6)*$K227</f>
        <v>380</v>
      </c>
      <c r="BN227" s="1">
        <f>SUM($AT227,$AA227:AR227)-SUM($AV$5:BN$5)*$J227-SUM($AV$6:BN$6)*$K227</f>
        <v>336</v>
      </c>
    </row>
    <row r="228" spans="1:66">
      <c r="A228" s="1">
        <v>232</v>
      </c>
      <c r="B228" s="28" t="s">
        <v>740</v>
      </c>
      <c r="C228" s="1" t="s">
        <v>40</v>
      </c>
      <c r="D228" s="2">
        <v>401220833</v>
      </c>
      <c r="E228" s="3" t="s">
        <v>741</v>
      </c>
      <c r="F228" s="1" t="s">
        <v>742</v>
      </c>
      <c r="G228" s="1" t="s">
        <v>42</v>
      </c>
      <c r="H228" s="1">
        <v>2</v>
      </c>
      <c r="I228" s="1">
        <v>4</v>
      </c>
      <c r="J228" s="1">
        <v>0</v>
      </c>
      <c r="K228" s="1">
        <v>0</v>
      </c>
      <c r="L228" s="1">
        <v>4</v>
      </c>
      <c r="M228" s="1">
        <f t="shared" si="10"/>
        <v>1104</v>
      </c>
      <c r="N228" s="1">
        <f t="shared" si="11"/>
        <v>1104</v>
      </c>
      <c r="O228" s="2" t="s">
        <v>525</v>
      </c>
      <c r="P228" s="1"/>
      <c r="Q228" s="1">
        <v>4.0000000000000001E-3</v>
      </c>
      <c r="R228" s="1" t="s">
        <v>44</v>
      </c>
      <c r="S228" s="30" t="s">
        <v>423</v>
      </c>
      <c r="T228" s="31" t="s">
        <v>238</v>
      </c>
      <c r="U228" s="1"/>
      <c r="V228" s="1">
        <v>5000</v>
      </c>
      <c r="W228" s="1" t="s">
        <v>239</v>
      </c>
      <c r="X228" s="32" t="s">
        <v>286</v>
      </c>
      <c r="Y228" s="1" t="s">
        <v>241</v>
      </c>
      <c r="Z228" s="2" t="s">
        <v>242</v>
      </c>
      <c r="AA228" s="1"/>
      <c r="AB228" s="1"/>
      <c r="AC228" s="1"/>
      <c r="AD228" s="1"/>
      <c r="AE228" s="1"/>
      <c r="AF228" s="1"/>
      <c r="AG228" s="1"/>
      <c r="AH228" s="1"/>
      <c r="AI228" s="1"/>
      <c r="AJ228" s="1"/>
      <c r="AK228" s="1"/>
      <c r="AL228" s="1"/>
      <c r="AM228" s="1"/>
      <c r="AN228" s="1"/>
      <c r="AO228" s="1"/>
      <c r="AP228" s="1"/>
      <c r="AQ228" s="1"/>
      <c r="AR228" s="1"/>
      <c r="AS228" s="1"/>
      <c r="AT228" s="1"/>
      <c r="AU228" s="1"/>
      <c r="AV228" s="1">
        <f>SUM($AT228,Z228:$AA228)-SUM($AV$5:AV$5)*$J228-SUM($AV$6:AV$6)*$K228</f>
        <v>0</v>
      </c>
      <c r="AW228" s="1">
        <f>SUM($AT228,$AA228:AA228)-SUM($AV$5:AW$5)*$J228-SUM($AV$6:AW$6)*$K228</f>
        <v>0</v>
      </c>
      <c r="AX228" s="1">
        <f>SUM($AT228,$AA228:AB228)-SUM($AV$5:AX$5)*$J228-SUM($AV$6:AX$6)*$K228</f>
        <v>0</v>
      </c>
      <c r="AY228" s="1">
        <f>SUM($AT228,$AA228:AC228)-SUM($AV$5:AY$5)*$J228-SUM($AV$6:AY$6)*$K228</f>
        <v>0</v>
      </c>
      <c r="AZ228" s="1">
        <f>SUM($AT228,$AA228:AD228)-SUM($AV$5:AZ$5)*$J228-SUM($AV$6:AZ$6)*$K228</f>
        <v>0</v>
      </c>
      <c r="BA228" s="1">
        <f>SUM($AT228,$AA228:AE228)-SUM($AV$5:BA$5)*$J228-SUM($AV$6:BA$6)*$K228</f>
        <v>0</v>
      </c>
      <c r="BB228" s="1">
        <f>SUM($AT228,$AA228:AF228)-SUM($AV$5:BB$5)*$J228-SUM($AV$6:BB$6)*$K228</f>
        <v>0</v>
      </c>
      <c r="BC228" s="1">
        <f>SUM($AT228,$AA228:AG228)-SUM($AV$5:BC$5)*$J228-SUM($AV$6:BC$6)*$K228</f>
        <v>0</v>
      </c>
      <c r="BD228" s="1">
        <f>SUM($AT228,$AA228:AH228)-SUM($AV$5:BD$5)*$J228-SUM($AV$6:BD$6)*$K228</f>
        <v>0</v>
      </c>
      <c r="BE228" s="1">
        <f>SUM($AT228,$AA228:AI228)-SUM($AV$5:BE$5)*$J228-SUM($AV$6:BE$6)*$K228</f>
        <v>0</v>
      </c>
      <c r="BF228" s="1">
        <f>SUM($AT228,$AA228:AJ228)-SUM($AV$5:BF$5)*$J228-SUM($AV$6:BF$6)*$K228</f>
        <v>0</v>
      </c>
      <c r="BG228" s="1">
        <f>SUM($AT228,$AA228:AK228)-SUM($AV$5:BG$5)*$J228-SUM($AV$6:BG$6)*$K228</f>
        <v>0</v>
      </c>
      <c r="BH228" s="1">
        <f>SUM($AT228,$AA228:AL228)-SUM($AV$5:BH$5)*$J228-SUM($AV$6:BH$6)*$K228</f>
        <v>0</v>
      </c>
      <c r="BI228" s="1">
        <f>SUM($AT228,$AA228:AM228)-SUM($AV$5:BI$5)*$J228-SUM($AV$6:BI$6)*$K228</f>
        <v>0</v>
      </c>
      <c r="BJ228" s="1">
        <f>SUM($AT228,$AA228:AN228)-SUM($AV$5:BJ$5)*$J228-SUM($AV$6:BJ$6)*$K228</f>
        <v>0</v>
      </c>
      <c r="BK228" s="1">
        <f>SUM($AT228,$AA228:AO228)-SUM($AV$5:BK$5)*$J228-SUM($AV$6:BK$6)*$K228</f>
        <v>0</v>
      </c>
      <c r="BL228" s="1">
        <f>SUM($AT228,$AA228:AP228)-SUM($AV$5:BL$5)*$J228-SUM($AV$6:BL$6)*$K228</f>
        <v>0</v>
      </c>
      <c r="BM228" s="1">
        <f>SUM($AT228,$AA228:AQ228)-SUM($AV$5:BM$5)*$J228-SUM($AV$6:BM$6)*$K228</f>
        <v>0</v>
      </c>
      <c r="BN228" s="1">
        <f>SUM($AT228,$AA228:AR228)-SUM($AV$5:BN$5)*$J228-SUM($AV$6:BN$6)*$K228</f>
        <v>0</v>
      </c>
    </row>
    <row r="229" spans="1:66">
      <c r="A229" s="1">
        <v>256</v>
      </c>
      <c r="B229" s="28" t="s">
        <v>743</v>
      </c>
      <c r="C229" s="1" t="s">
        <v>176</v>
      </c>
      <c r="D229" s="2">
        <v>401455786</v>
      </c>
      <c r="E229" s="3" t="s">
        <v>744</v>
      </c>
      <c r="F229" s="1"/>
      <c r="G229" s="1" t="s">
        <v>42</v>
      </c>
      <c r="H229" s="1">
        <v>2</v>
      </c>
      <c r="I229" s="1">
        <v>1</v>
      </c>
      <c r="J229" s="1">
        <v>1</v>
      </c>
      <c r="K229" s="1">
        <v>0</v>
      </c>
      <c r="L229" s="1">
        <v>0</v>
      </c>
      <c r="M229" s="1">
        <f t="shared" si="10"/>
        <v>582</v>
      </c>
      <c r="N229" s="1">
        <f t="shared" si="11"/>
        <v>582</v>
      </c>
      <c r="O229" s="2" t="s">
        <v>745</v>
      </c>
      <c r="P229" s="1"/>
      <c r="Q229" s="1">
        <v>3.69</v>
      </c>
      <c r="R229" s="1" t="s">
        <v>44</v>
      </c>
      <c r="S229" s="30" t="s">
        <v>359</v>
      </c>
      <c r="T229" s="31" t="s">
        <v>417</v>
      </c>
      <c r="U229" s="1"/>
      <c r="V229" s="1">
        <v>100</v>
      </c>
      <c r="W229" s="1" t="s">
        <v>418</v>
      </c>
      <c r="X229" s="32" t="s">
        <v>419</v>
      </c>
      <c r="Y229" s="1" t="s">
        <v>420</v>
      </c>
      <c r="Z229" s="2" t="s">
        <v>745</v>
      </c>
      <c r="AA229" s="1"/>
      <c r="AB229" s="1"/>
      <c r="AC229" s="1"/>
      <c r="AD229" s="1"/>
      <c r="AE229" s="1">
        <v>600</v>
      </c>
      <c r="AF229" s="1"/>
      <c r="AG229" s="1"/>
      <c r="AH229" s="1"/>
      <c r="AI229" s="1"/>
      <c r="AJ229" s="1"/>
      <c r="AK229" s="1"/>
      <c r="AL229" s="1"/>
      <c r="AM229" s="1"/>
      <c r="AN229" s="1"/>
      <c r="AO229" s="1"/>
      <c r="AP229" s="1"/>
      <c r="AQ229" s="1"/>
      <c r="AR229" s="1"/>
      <c r="AS229" s="1"/>
      <c r="AT229" s="1"/>
      <c r="AU229" s="1"/>
      <c r="AV229" s="1">
        <f>SUM($AT229,Z229:$AA229)-SUM($AV$5:AV$5)*$J229-SUM($AV$6:AV$6)*$K229</f>
        <v>0</v>
      </c>
      <c r="AW229" s="1">
        <f>SUM($AT229,$AA229:AA229)-SUM($AV$5:AW$5)*$J229-SUM($AV$6:AW$6)*$K229</f>
        <v>0</v>
      </c>
      <c r="AX229" s="1">
        <f>SUM($AT229,$AA229:AB229)-SUM($AV$5:AX$5)*$J229-SUM($AV$6:AX$6)*$K229</f>
        <v>0</v>
      </c>
      <c r="AY229" s="1">
        <f>SUM($AT229,$AA229:AC229)-SUM($AV$5:AY$5)*$J229-SUM($AV$6:AY$6)*$K229</f>
        <v>0</v>
      </c>
      <c r="AZ229" s="1">
        <f>SUM($AT229,$AA229:AD229)-SUM($AV$5:AZ$5)*$J229-SUM($AV$6:AZ$6)*$K229</f>
        <v>-40</v>
      </c>
      <c r="BA229" s="1">
        <f>SUM($AT229,$AA229:AE229)-SUM($AV$5:BA$5)*$J229-SUM($AV$6:BA$6)*$K229</f>
        <v>520</v>
      </c>
      <c r="BB229" s="1">
        <f>SUM($AT229,$AA229:AF229)-SUM($AV$5:BB$5)*$J229-SUM($AV$6:BB$6)*$K229</f>
        <v>480</v>
      </c>
      <c r="BC229" s="1">
        <f>SUM($AT229,$AA229:AG229)-SUM($AV$5:BC$5)*$J229-SUM($AV$6:BC$6)*$K229</f>
        <v>440</v>
      </c>
      <c r="BD229" s="1">
        <f>SUM($AT229,$AA229:AH229)-SUM($AV$5:BD$5)*$J229-SUM($AV$6:BD$6)*$K229</f>
        <v>400</v>
      </c>
      <c r="BE229" s="1">
        <f>SUM($AT229,$AA229:AI229)-SUM($AV$5:BE$5)*$J229-SUM($AV$6:BE$6)*$K229</f>
        <v>360</v>
      </c>
      <c r="BF229" s="1">
        <f>SUM($AT229,$AA229:AJ229)-SUM($AV$5:BF$5)*$J229-SUM($AV$6:BF$6)*$K229</f>
        <v>320</v>
      </c>
      <c r="BG229" s="1">
        <f>SUM($AT229,$AA229:AK229)-SUM($AV$5:BG$5)*$J229-SUM($AV$6:BG$6)*$K229</f>
        <v>280</v>
      </c>
      <c r="BH229" s="1">
        <f>SUM($AT229,$AA229:AL229)-SUM($AV$5:BH$5)*$J229-SUM($AV$6:BH$6)*$K229</f>
        <v>240</v>
      </c>
      <c r="BI229" s="1">
        <f>SUM($AT229,$AA229:AM229)-SUM($AV$5:BI$5)*$J229-SUM($AV$6:BI$6)*$K229</f>
        <v>200</v>
      </c>
      <c r="BJ229" s="1">
        <f>SUM($AT229,$AA229:AN229)-SUM($AV$5:BJ$5)*$J229-SUM($AV$6:BJ$6)*$K229</f>
        <v>160</v>
      </c>
      <c r="BK229" s="1">
        <f>SUM($AT229,$AA229:AO229)-SUM($AV$5:BK$5)*$J229-SUM($AV$6:BK$6)*$K229</f>
        <v>120</v>
      </c>
      <c r="BL229" s="1">
        <f>SUM($AT229,$AA229:AP229)-SUM($AV$5:BL$5)*$J229-SUM($AV$6:BL$6)*$K229</f>
        <v>80</v>
      </c>
      <c r="BM229" s="1">
        <f>SUM($AT229,$AA229:AQ229)-SUM($AV$5:BM$5)*$J229-SUM($AV$6:BM$6)*$K229</f>
        <v>40</v>
      </c>
      <c r="BN229" s="1">
        <f>SUM($AT229,$AA229:AR229)-SUM($AV$5:BN$5)*$J229-SUM($AV$6:BN$6)*$K229</f>
        <v>18</v>
      </c>
    </row>
    <row r="230" spans="1:66">
      <c r="A230" s="1">
        <v>257</v>
      </c>
      <c r="B230" s="45" t="s">
        <v>746</v>
      </c>
      <c r="C230" s="1" t="s">
        <v>176</v>
      </c>
      <c r="D230" s="2">
        <v>400929924</v>
      </c>
      <c r="E230" s="3" t="s">
        <v>747</v>
      </c>
      <c r="F230" s="1">
        <v>400930961</v>
      </c>
      <c r="G230" s="1" t="s">
        <v>42</v>
      </c>
      <c r="H230" s="1">
        <v>2</v>
      </c>
      <c r="I230" s="1">
        <v>1</v>
      </c>
      <c r="J230" s="1">
        <v>1</v>
      </c>
      <c r="K230" s="1">
        <v>0</v>
      </c>
      <c r="L230" s="1">
        <v>0</v>
      </c>
      <c r="M230" s="1">
        <f t="shared" si="10"/>
        <v>582</v>
      </c>
      <c r="N230" s="1">
        <f t="shared" si="11"/>
        <v>582</v>
      </c>
      <c r="O230" s="2" t="s">
        <v>745</v>
      </c>
      <c r="P230" s="1"/>
      <c r="Q230" s="1">
        <v>1.42</v>
      </c>
      <c r="R230" s="1" t="s">
        <v>44</v>
      </c>
      <c r="S230" s="30" t="s">
        <v>359</v>
      </c>
      <c r="T230" s="31" t="s">
        <v>417</v>
      </c>
      <c r="U230" s="1"/>
      <c r="V230" s="1">
        <v>3000</v>
      </c>
      <c r="W230" s="1" t="s">
        <v>418</v>
      </c>
      <c r="X230" s="32" t="s">
        <v>419</v>
      </c>
      <c r="Y230" s="1" t="s">
        <v>420</v>
      </c>
      <c r="Z230" s="2" t="s">
        <v>745</v>
      </c>
      <c r="AA230" s="1"/>
      <c r="AB230" s="1"/>
      <c r="AC230" s="1"/>
      <c r="AD230" s="1"/>
      <c r="AE230" s="1"/>
      <c r="AF230" s="1"/>
      <c r="AG230" s="1"/>
      <c r="AH230" s="1"/>
      <c r="AI230" s="1"/>
      <c r="AJ230" s="1"/>
      <c r="AK230" s="1"/>
      <c r="AL230" s="1"/>
      <c r="AM230" s="1"/>
      <c r="AN230" s="1"/>
      <c r="AO230" s="1"/>
      <c r="AP230" s="1"/>
      <c r="AQ230" s="1"/>
      <c r="AR230" s="1"/>
      <c r="AS230" s="1"/>
      <c r="AT230" s="1"/>
      <c r="AU230" s="1"/>
      <c r="AV230" s="1">
        <f>SUM($AT230,Z230:$AA230)-SUM($AV$5:AV$5)*$J230-SUM($AV$6:AV$6)*$K230</f>
        <v>0</v>
      </c>
      <c r="AW230" s="1">
        <f>SUM($AT230,$AA230:AA230)-SUM($AV$5:AW$5)*$J230-SUM($AV$6:AW$6)*$K230</f>
        <v>0</v>
      </c>
      <c r="AX230" s="1">
        <f>SUM($AT230,$AA230:AB230)-SUM($AV$5:AX$5)*$J230-SUM($AV$6:AX$6)*$K230</f>
        <v>0</v>
      </c>
      <c r="AY230" s="1">
        <f>SUM($AT230,$AA230:AC230)-SUM($AV$5:AY$5)*$J230-SUM($AV$6:AY$6)*$K230</f>
        <v>0</v>
      </c>
      <c r="AZ230" s="1">
        <f>SUM($AT230,$AA230:AD230)-SUM($AV$5:AZ$5)*$J230-SUM($AV$6:AZ$6)*$K230</f>
        <v>-40</v>
      </c>
      <c r="BA230" s="1">
        <f>SUM($AT230,$AA230:AE230)-SUM($AV$5:BA$5)*$J230-SUM($AV$6:BA$6)*$K230</f>
        <v>-80</v>
      </c>
      <c r="BB230" s="1">
        <f>SUM($AT230,$AA230:AF230)-SUM($AV$5:BB$5)*$J230-SUM($AV$6:BB$6)*$K230</f>
        <v>-120</v>
      </c>
      <c r="BC230" s="1">
        <f>SUM($AT230,$AA230:AG230)-SUM($AV$5:BC$5)*$J230-SUM($AV$6:BC$6)*$K230</f>
        <v>-160</v>
      </c>
      <c r="BD230" s="1">
        <f>SUM($AT230,$AA230:AH230)-SUM($AV$5:BD$5)*$J230-SUM($AV$6:BD$6)*$K230</f>
        <v>-200</v>
      </c>
      <c r="BE230" s="1">
        <f>SUM($AT230,$AA230:AI230)-SUM($AV$5:BE$5)*$J230-SUM($AV$6:BE$6)*$K230</f>
        <v>-240</v>
      </c>
      <c r="BF230" s="1">
        <f>SUM($AT230,$AA230:AJ230)-SUM($AV$5:BF$5)*$J230-SUM($AV$6:BF$6)*$K230</f>
        <v>-280</v>
      </c>
      <c r="BG230" s="1">
        <f>SUM($AT230,$AA230:AK230)-SUM($AV$5:BG$5)*$J230-SUM($AV$6:BG$6)*$K230</f>
        <v>-320</v>
      </c>
      <c r="BH230" s="1">
        <f>SUM($AT230,$AA230:AL230)-SUM($AV$5:BH$5)*$J230-SUM($AV$6:BH$6)*$K230</f>
        <v>-360</v>
      </c>
      <c r="BI230" s="1">
        <f>SUM($AT230,$AA230:AM230)-SUM($AV$5:BI$5)*$J230-SUM($AV$6:BI$6)*$K230</f>
        <v>-400</v>
      </c>
      <c r="BJ230" s="1">
        <f>SUM($AT230,$AA230:AN230)-SUM($AV$5:BJ$5)*$J230-SUM($AV$6:BJ$6)*$K230</f>
        <v>-440</v>
      </c>
      <c r="BK230" s="1">
        <f>SUM($AT230,$AA230:AO230)-SUM($AV$5:BK$5)*$J230-SUM($AV$6:BK$6)*$K230</f>
        <v>-480</v>
      </c>
      <c r="BL230" s="1">
        <f>SUM($AT230,$AA230:AP230)-SUM($AV$5:BL$5)*$J230-SUM($AV$6:BL$6)*$K230</f>
        <v>-520</v>
      </c>
      <c r="BM230" s="1">
        <f>SUM($AT230,$AA230:AQ230)-SUM($AV$5:BM$5)*$J230-SUM($AV$6:BM$6)*$K230</f>
        <v>-560</v>
      </c>
      <c r="BN230" s="1">
        <f>SUM($AT230,$AA230:AR230)-SUM($AV$5:BN$5)*$J230-SUM($AV$6:BN$6)*$K230</f>
        <v>-582</v>
      </c>
    </row>
    <row r="231" spans="1:66">
      <c r="A231" s="1">
        <v>258</v>
      </c>
      <c r="B231" s="28" t="s">
        <v>748</v>
      </c>
      <c r="C231" s="1" t="s">
        <v>40</v>
      </c>
      <c r="D231" s="2">
        <v>400290775</v>
      </c>
      <c r="E231" s="3" t="s">
        <v>749</v>
      </c>
      <c r="F231" s="1"/>
      <c r="G231" s="1" t="s">
        <v>42</v>
      </c>
      <c r="H231" s="1">
        <v>2</v>
      </c>
      <c r="I231" s="1">
        <v>1</v>
      </c>
      <c r="J231" s="1">
        <v>1</v>
      </c>
      <c r="K231" s="1">
        <v>0</v>
      </c>
      <c r="L231" s="1">
        <v>0</v>
      </c>
      <c r="M231" s="1">
        <f t="shared" si="10"/>
        <v>582</v>
      </c>
      <c r="N231" s="1">
        <f t="shared" si="11"/>
        <v>582</v>
      </c>
      <c r="O231" s="2" t="s">
        <v>358</v>
      </c>
      <c r="P231" s="1"/>
      <c r="Q231" s="1">
        <v>0.51</v>
      </c>
      <c r="R231" s="1" t="s">
        <v>44</v>
      </c>
      <c r="S231" s="30" t="s">
        <v>359</v>
      </c>
      <c r="T231" s="31" t="s">
        <v>360</v>
      </c>
      <c r="U231" s="1"/>
      <c r="V231" s="1">
        <v>95</v>
      </c>
      <c r="W231" s="1" t="s">
        <v>361</v>
      </c>
      <c r="X231" s="32" t="s">
        <v>362</v>
      </c>
      <c r="Y231" s="1" t="s">
        <v>363</v>
      </c>
      <c r="Z231" s="2" t="s">
        <v>358</v>
      </c>
      <c r="AA231" s="1"/>
      <c r="AB231" s="1"/>
      <c r="AC231" s="1"/>
      <c r="AD231" s="1"/>
      <c r="AE231" s="1"/>
      <c r="AF231" s="1"/>
      <c r="AG231" s="1"/>
      <c r="AH231" s="1"/>
      <c r="AI231" s="1"/>
      <c r="AJ231" s="1"/>
      <c r="AK231" s="1"/>
      <c r="AL231" s="1"/>
      <c r="AM231" s="1"/>
      <c r="AN231" s="1"/>
      <c r="AO231" s="1"/>
      <c r="AP231" s="1"/>
      <c r="AQ231" s="1"/>
      <c r="AR231" s="1"/>
      <c r="AS231" s="1"/>
      <c r="AT231" s="1"/>
      <c r="AU231" s="1"/>
      <c r="AV231" s="1">
        <f>SUM($AT231,Z231:$AA231)-SUM($AV$5:AV$5)*$J231-SUM($AV$6:AV$6)*$K231</f>
        <v>0</v>
      </c>
      <c r="AW231" s="1">
        <f>SUM($AT231,$AA231:AA231)-SUM($AV$5:AW$5)*$J231-SUM($AV$6:AW$6)*$K231</f>
        <v>0</v>
      </c>
      <c r="AX231" s="1">
        <f>SUM($AT231,$AA231:AB231)-SUM($AV$5:AX$5)*$J231-SUM($AV$6:AX$6)*$K231</f>
        <v>0</v>
      </c>
      <c r="AY231" s="1">
        <f>SUM($AT231,$AA231:AC231)-SUM($AV$5:AY$5)*$J231-SUM($AV$6:AY$6)*$K231</f>
        <v>0</v>
      </c>
      <c r="AZ231" s="1">
        <f>SUM($AT231,$AA231:AD231)-SUM($AV$5:AZ$5)*$J231-SUM($AV$6:AZ$6)*$K231</f>
        <v>-40</v>
      </c>
      <c r="BA231" s="1">
        <f>SUM($AT231,$AA231:AE231)-SUM($AV$5:BA$5)*$J231-SUM($AV$6:BA$6)*$K231</f>
        <v>-80</v>
      </c>
      <c r="BB231" s="1">
        <f>SUM($AT231,$AA231:AF231)-SUM($AV$5:BB$5)*$J231-SUM($AV$6:BB$6)*$K231</f>
        <v>-120</v>
      </c>
      <c r="BC231" s="1">
        <f>SUM($AT231,$AA231:AG231)-SUM($AV$5:BC$5)*$J231-SUM($AV$6:BC$6)*$K231</f>
        <v>-160</v>
      </c>
      <c r="BD231" s="1">
        <f>SUM($AT231,$AA231:AH231)-SUM($AV$5:BD$5)*$J231-SUM($AV$6:BD$6)*$K231</f>
        <v>-200</v>
      </c>
      <c r="BE231" s="1">
        <f>SUM($AT231,$AA231:AI231)-SUM($AV$5:BE$5)*$J231-SUM($AV$6:BE$6)*$K231</f>
        <v>-240</v>
      </c>
      <c r="BF231" s="1">
        <f>SUM($AT231,$AA231:AJ231)-SUM($AV$5:BF$5)*$J231-SUM($AV$6:BF$6)*$K231</f>
        <v>-280</v>
      </c>
      <c r="BG231" s="1">
        <f>SUM($AT231,$AA231:AK231)-SUM($AV$5:BG$5)*$J231-SUM($AV$6:BG$6)*$K231</f>
        <v>-320</v>
      </c>
      <c r="BH231" s="1">
        <f>SUM($AT231,$AA231:AL231)-SUM($AV$5:BH$5)*$J231-SUM($AV$6:BH$6)*$K231</f>
        <v>-360</v>
      </c>
      <c r="BI231" s="1">
        <f>SUM($AT231,$AA231:AM231)-SUM($AV$5:BI$5)*$J231-SUM($AV$6:BI$6)*$K231</f>
        <v>-400</v>
      </c>
      <c r="BJ231" s="1">
        <f>SUM($AT231,$AA231:AN231)-SUM($AV$5:BJ$5)*$J231-SUM($AV$6:BJ$6)*$K231</f>
        <v>-440</v>
      </c>
      <c r="BK231" s="1">
        <f>SUM($AT231,$AA231:AO231)-SUM($AV$5:BK$5)*$J231-SUM($AV$6:BK$6)*$K231</f>
        <v>-480</v>
      </c>
      <c r="BL231" s="1">
        <f>SUM($AT231,$AA231:AP231)-SUM($AV$5:BL$5)*$J231-SUM($AV$6:BL$6)*$K231</f>
        <v>-520</v>
      </c>
      <c r="BM231" s="1">
        <f>SUM($AT231,$AA231:AQ231)-SUM($AV$5:BM$5)*$J231-SUM($AV$6:BM$6)*$K231</f>
        <v>-560</v>
      </c>
      <c r="BN231" s="1">
        <f>SUM($AT231,$AA231:AR231)-SUM($AV$5:BN$5)*$J231-SUM($AV$6:BN$6)*$K231</f>
        <v>-582</v>
      </c>
    </row>
    <row r="232" spans="1:66">
      <c r="A232" s="1">
        <v>259</v>
      </c>
      <c r="B232" s="28" t="s">
        <v>750</v>
      </c>
      <c r="C232" s="1" t="s">
        <v>40</v>
      </c>
      <c r="D232" s="2">
        <v>400290778</v>
      </c>
      <c r="E232" s="3" t="s">
        <v>751</v>
      </c>
      <c r="F232" s="1"/>
      <c r="G232" s="1" t="s">
        <v>42</v>
      </c>
      <c r="H232" s="1">
        <v>2</v>
      </c>
      <c r="I232" s="1">
        <v>2</v>
      </c>
      <c r="J232" s="1">
        <v>2</v>
      </c>
      <c r="K232" s="1">
        <v>0</v>
      </c>
      <c r="L232" s="1">
        <v>0</v>
      </c>
      <c r="M232" s="1">
        <f t="shared" si="10"/>
        <v>1164</v>
      </c>
      <c r="N232" s="1">
        <f t="shared" si="11"/>
        <v>1164</v>
      </c>
      <c r="O232" s="2" t="s">
        <v>358</v>
      </c>
      <c r="P232" s="1"/>
      <c r="Q232" s="1">
        <v>0.51</v>
      </c>
      <c r="R232" s="1" t="s">
        <v>44</v>
      </c>
      <c r="S232" s="30" t="s">
        <v>359</v>
      </c>
      <c r="T232" s="31" t="s">
        <v>360</v>
      </c>
      <c r="U232" s="1"/>
      <c r="V232" s="1">
        <v>95</v>
      </c>
      <c r="W232" s="1" t="s">
        <v>361</v>
      </c>
      <c r="X232" s="32" t="s">
        <v>362</v>
      </c>
      <c r="Y232" s="1" t="s">
        <v>363</v>
      </c>
      <c r="Z232" s="2" t="s">
        <v>358</v>
      </c>
      <c r="AA232" s="1"/>
      <c r="AB232" s="1"/>
      <c r="AC232" s="1"/>
      <c r="AD232" s="1"/>
      <c r="AE232" s="1"/>
      <c r="AF232" s="1"/>
      <c r="AG232" s="1"/>
      <c r="AH232" s="1"/>
      <c r="AI232" s="1"/>
      <c r="AJ232" s="1"/>
      <c r="AK232" s="1"/>
      <c r="AL232" s="1"/>
      <c r="AM232" s="1"/>
      <c r="AN232" s="1"/>
      <c r="AO232" s="1"/>
      <c r="AP232" s="1"/>
      <c r="AQ232" s="1"/>
      <c r="AR232" s="1"/>
      <c r="AS232" s="1"/>
      <c r="AT232" s="1"/>
      <c r="AU232" s="1"/>
      <c r="AV232" s="1">
        <f>SUM($AT232,Z232:$AA232)-SUM($AV$5:AV$5)*$J232-SUM($AV$6:AV$6)*$K232</f>
        <v>0</v>
      </c>
      <c r="AW232" s="1">
        <f>SUM($AT232,$AA232:AA232)-SUM($AV$5:AW$5)*$J232-SUM($AV$6:AW$6)*$K232</f>
        <v>0</v>
      </c>
      <c r="AX232" s="1">
        <f>SUM($AT232,$AA232:AB232)-SUM($AV$5:AX$5)*$J232-SUM($AV$6:AX$6)*$K232</f>
        <v>0</v>
      </c>
      <c r="AY232" s="1">
        <f>SUM($AT232,$AA232:AC232)-SUM($AV$5:AY$5)*$J232-SUM($AV$6:AY$6)*$K232</f>
        <v>0</v>
      </c>
      <c r="AZ232" s="1">
        <f>SUM($AT232,$AA232:AD232)-SUM($AV$5:AZ$5)*$J232-SUM($AV$6:AZ$6)*$K232</f>
        <v>-80</v>
      </c>
      <c r="BA232" s="1">
        <f>SUM($AT232,$AA232:AE232)-SUM($AV$5:BA$5)*$J232-SUM($AV$6:BA$6)*$K232</f>
        <v>-160</v>
      </c>
      <c r="BB232" s="1">
        <f>SUM($AT232,$AA232:AF232)-SUM($AV$5:BB$5)*$J232-SUM($AV$6:BB$6)*$K232</f>
        <v>-240</v>
      </c>
      <c r="BC232" s="1">
        <f>SUM($AT232,$AA232:AG232)-SUM($AV$5:BC$5)*$J232-SUM($AV$6:BC$6)*$K232</f>
        <v>-320</v>
      </c>
      <c r="BD232" s="1">
        <f>SUM($AT232,$AA232:AH232)-SUM($AV$5:BD$5)*$J232-SUM($AV$6:BD$6)*$K232</f>
        <v>-400</v>
      </c>
      <c r="BE232" s="1">
        <f>SUM($AT232,$AA232:AI232)-SUM($AV$5:BE$5)*$J232-SUM($AV$6:BE$6)*$K232</f>
        <v>-480</v>
      </c>
      <c r="BF232" s="1">
        <f>SUM($AT232,$AA232:AJ232)-SUM($AV$5:BF$5)*$J232-SUM($AV$6:BF$6)*$K232</f>
        <v>-560</v>
      </c>
      <c r="BG232" s="1">
        <f>SUM($AT232,$AA232:AK232)-SUM($AV$5:BG$5)*$J232-SUM($AV$6:BG$6)*$K232</f>
        <v>-640</v>
      </c>
      <c r="BH232" s="1">
        <f>SUM($AT232,$AA232:AL232)-SUM($AV$5:BH$5)*$J232-SUM($AV$6:BH$6)*$K232</f>
        <v>-720</v>
      </c>
      <c r="BI232" s="1">
        <f>SUM($AT232,$AA232:AM232)-SUM($AV$5:BI$5)*$J232-SUM($AV$6:BI$6)*$K232</f>
        <v>-800</v>
      </c>
      <c r="BJ232" s="1">
        <f>SUM($AT232,$AA232:AN232)-SUM($AV$5:BJ$5)*$J232-SUM($AV$6:BJ$6)*$K232</f>
        <v>-880</v>
      </c>
      <c r="BK232" s="1">
        <f>SUM($AT232,$AA232:AO232)-SUM($AV$5:BK$5)*$J232-SUM($AV$6:BK$6)*$K232</f>
        <v>-960</v>
      </c>
      <c r="BL232" s="1">
        <f>SUM($AT232,$AA232:AP232)-SUM($AV$5:BL$5)*$J232-SUM($AV$6:BL$6)*$K232</f>
        <v>-1040</v>
      </c>
      <c r="BM232" s="1">
        <f>SUM($AT232,$AA232:AQ232)-SUM($AV$5:BM$5)*$J232-SUM($AV$6:BM$6)*$K232</f>
        <v>-1120</v>
      </c>
      <c r="BN232" s="1">
        <f>SUM($AT232,$AA232:AR232)-SUM($AV$5:BN$5)*$J232-SUM($AV$6:BN$6)*$K232</f>
        <v>-1164</v>
      </c>
    </row>
    <row r="233" spans="1:66">
      <c r="A233" s="1">
        <v>260</v>
      </c>
      <c r="B233" s="28" t="s">
        <v>752</v>
      </c>
      <c r="C233" s="1" t="s">
        <v>40</v>
      </c>
      <c r="D233" s="2">
        <v>400706781</v>
      </c>
      <c r="E233" s="3" t="s">
        <v>753</v>
      </c>
      <c r="F233" s="1">
        <v>400510820</v>
      </c>
      <c r="G233" s="1" t="s">
        <v>42</v>
      </c>
      <c r="H233" s="1">
        <v>2</v>
      </c>
      <c r="I233" s="1">
        <v>2</v>
      </c>
      <c r="J233" s="1">
        <v>2</v>
      </c>
      <c r="K233" s="1">
        <v>0</v>
      </c>
      <c r="L233" s="1">
        <v>0</v>
      </c>
      <c r="M233" s="1">
        <f t="shared" si="10"/>
        <v>1164</v>
      </c>
      <c r="N233" s="1">
        <f t="shared" si="11"/>
        <v>1164</v>
      </c>
      <c r="O233" s="2" t="s">
        <v>358</v>
      </c>
      <c r="P233" s="1"/>
      <c r="Q233" s="1">
        <v>0.88</v>
      </c>
      <c r="R233" s="1" t="s">
        <v>44</v>
      </c>
      <c r="S233" s="30" t="s">
        <v>359</v>
      </c>
      <c r="T233" s="31" t="s">
        <v>360</v>
      </c>
      <c r="U233" s="1"/>
      <c r="V233" s="1">
        <v>2500</v>
      </c>
      <c r="W233" s="1" t="s">
        <v>361</v>
      </c>
      <c r="X233" s="32" t="s">
        <v>362</v>
      </c>
      <c r="Y233" s="1" t="s">
        <v>363</v>
      </c>
      <c r="Z233" s="2" t="s">
        <v>358</v>
      </c>
      <c r="AA233" s="1"/>
      <c r="AB233" s="1"/>
      <c r="AC233" s="1"/>
      <c r="AD233" s="1"/>
      <c r="AE233" s="1"/>
      <c r="AF233" s="1"/>
      <c r="AG233" s="1"/>
      <c r="AH233" s="1"/>
      <c r="AI233" s="1"/>
      <c r="AJ233" s="1"/>
      <c r="AK233" s="1"/>
      <c r="AL233" s="1"/>
      <c r="AM233" s="1"/>
      <c r="AN233" s="1"/>
      <c r="AO233" s="1"/>
      <c r="AP233" s="1"/>
      <c r="AQ233" s="1"/>
      <c r="AR233" s="1"/>
      <c r="AS233" s="1"/>
      <c r="AT233" s="1"/>
      <c r="AU233" s="1"/>
      <c r="AV233" s="1">
        <f>SUM($AT233,Z233:$AA233)-SUM($AV$5:AV$5)*$J233-SUM($AV$6:AV$6)*$K233</f>
        <v>0</v>
      </c>
      <c r="AW233" s="1">
        <f>SUM($AT233,$AA233:AA233)-SUM($AV$5:AW$5)*$J233-SUM($AV$6:AW$6)*$K233</f>
        <v>0</v>
      </c>
      <c r="AX233" s="1">
        <f>SUM($AT233,$AA233:AB233)-SUM($AV$5:AX$5)*$J233-SUM($AV$6:AX$6)*$K233</f>
        <v>0</v>
      </c>
      <c r="AY233" s="1">
        <f>SUM($AT233,$AA233:AC233)-SUM($AV$5:AY$5)*$J233-SUM($AV$6:AY$6)*$K233</f>
        <v>0</v>
      </c>
      <c r="AZ233" s="1">
        <f>SUM($AT233,$AA233:AD233)-SUM($AV$5:AZ$5)*$J233-SUM($AV$6:AZ$6)*$K233</f>
        <v>-80</v>
      </c>
      <c r="BA233" s="1">
        <f>SUM($AT233,$AA233:AE233)-SUM($AV$5:BA$5)*$J233-SUM($AV$6:BA$6)*$K233</f>
        <v>-160</v>
      </c>
      <c r="BB233" s="1">
        <f>SUM($AT233,$AA233:AF233)-SUM($AV$5:BB$5)*$J233-SUM($AV$6:BB$6)*$K233</f>
        <v>-240</v>
      </c>
      <c r="BC233" s="1">
        <f>SUM($AT233,$AA233:AG233)-SUM($AV$5:BC$5)*$J233-SUM($AV$6:BC$6)*$K233</f>
        <v>-320</v>
      </c>
      <c r="BD233" s="1">
        <f>SUM($AT233,$AA233:AH233)-SUM($AV$5:BD$5)*$J233-SUM($AV$6:BD$6)*$K233</f>
        <v>-400</v>
      </c>
      <c r="BE233" s="1">
        <f>SUM($AT233,$AA233:AI233)-SUM($AV$5:BE$5)*$J233-SUM($AV$6:BE$6)*$K233</f>
        <v>-480</v>
      </c>
      <c r="BF233" s="1">
        <f>SUM($AT233,$AA233:AJ233)-SUM($AV$5:BF$5)*$J233-SUM($AV$6:BF$6)*$K233</f>
        <v>-560</v>
      </c>
      <c r="BG233" s="1">
        <f>SUM($AT233,$AA233:AK233)-SUM($AV$5:BG$5)*$J233-SUM($AV$6:BG$6)*$K233</f>
        <v>-640</v>
      </c>
      <c r="BH233" s="1">
        <f>SUM($AT233,$AA233:AL233)-SUM($AV$5:BH$5)*$J233-SUM($AV$6:BH$6)*$K233</f>
        <v>-720</v>
      </c>
      <c r="BI233" s="1">
        <f>SUM($AT233,$AA233:AM233)-SUM($AV$5:BI$5)*$J233-SUM($AV$6:BI$6)*$K233</f>
        <v>-800</v>
      </c>
      <c r="BJ233" s="1">
        <f>SUM($AT233,$AA233:AN233)-SUM($AV$5:BJ$5)*$J233-SUM($AV$6:BJ$6)*$K233</f>
        <v>-880</v>
      </c>
      <c r="BK233" s="1">
        <f>SUM($AT233,$AA233:AO233)-SUM($AV$5:BK$5)*$J233-SUM($AV$6:BK$6)*$K233</f>
        <v>-960</v>
      </c>
      <c r="BL233" s="1">
        <f>SUM($AT233,$AA233:AP233)-SUM($AV$5:BL$5)*$J233-SUM($AV$6:BL$6)*$K233</f>
        <v>-1040</v>
      </c>
      <c r="BM233" s="1">
        <f>SUM($AT233,$AA233:AQ233)-SUM($AV$5:BM$5)*$J233-SUM($AV$6:BM$6)*$K233</f>
        <v>-1120</v>
      </c>
      <c r="BN233" s="1">
        <f>SUM($AT233,$AA233:AR233)-SUM($AV$5:BN$5)*$J233-SUM($AV$6:BN$6)*$K233</f>
        <v>-1164</v>
      </c>
    </row>
    <row r="234" spans="1:66">
      <c r="A234" s="1">
        <v>238</v>
      </c>
      <c r="B234" s="28" t="s">
        <v>754</v>
      </c>
      <c r="C234" s="1" t="s">
        <v>40</v>
      </c>
      <c r="D234" s="2">
        <v>401041478</v>
      </c>
      <c r="E234" s="3" t="s">
        <v>755</v>
      </c>
      <c r="F234" s="1" t="s">
        <v>756</v>
      </c>
      <c r="G234" s="1" t="s">
        <v>42</v>
      </c>
      <c r="H234" s="1">
        <v>2</v>
      </c>
      <c r="I234" s="1">
        <v>3</v>
      </c>
      <c r="J234" s="1">
        <v>0</v>
      </c>
      <c r="K234" s="1">
        <v>0</v>
      </c>
      <c r="L234" s="1">
        <v>3</v>
      </c>
      <c r="M234" s="1">
        <f t="shared" si="10"/>
        <v>828</v>
      </c>
      <c r="N234" s="1">
        <f t="shared" si="11"/>
        <v>828</v>
      </c>
      <c r="O234" s="2" t="s">
        <v>525</v>
      </c>
      <c r="P234" s="1"/>
      <c r="Q234" s="1">
        <v>4.0000000000000001E-3</v>
      </c>
      <c r="R234" s="1" t="s">
        <v>44</v>
      </c>
      <c r="S234" s="30" t="s">
        <v>423</v>
      </c>
      <c r="T234" s="31" t="s">
        <v>238</v>
      </c>
      <c r="U234" s="1"/>
      <c r="V234" s="1">
        <v>5000</v>
      </c>
      <c r="W234" s="1" t="s">
        <v>239</v>
      </c>
      <c r="X234" s="32" t="s">
        <v>286</v>
      </c>
      <c r="Y234" s="1" t="s">
        <v>241</v>
      </c>
      <c r="Z234" s="2" t="s">
        <v>242</v>
      </c>
      <c r="AA234" s="1"/>
      <c r="AB234" s="1"/>
      <c r="AC234" s="1"/>
      <c r="AD234" s="1"/>
      <c r="AE234" s="1"/>
      <c r="AF234" s="1"/>
      <c r="AG234" s="1"/>
      <c r="AH234" s="1"/>
      <c r="AI234" s="1"/>
      <c r="AJ234" s="1"/>
      <c r="AK234" s="1"/>
      <c r="AL234" s="1"/>
      <c r="AM234" s="1"/>
      <c r="AN234" s="1"/>
      <c r="AO234" s="1"/>
      <c r="AP234" s="1"/>
      <c r="AQ234" s="1"/>
      <c r="AR234" s="1"/>
      <c r="AS234" s="1"/>
      <c r="AT234" s="1"/>
      <c r="AU234" s="1"/>
      <c r="AV234" s="1">
        <f>SUM($AT234,Z234:$AA234)-SUM($AV$5:AV$5)*$J234-SUM($AV$6:AV$6)*$K234</f>
        <v>0</v>
      </c>
      <c r="AW234" s="1">
        <f>SUM($AT234,$AA234:AA234)-SUM($AV$5:AW$5)*$J234-SUM($AV$6:AW$6)*$K234</f>
        <v>0</v>
      </c>
      <c r="AX234" s="1">
        <f>SUM($AT234,$AA234:AB234)-SUM($AV$5:AX$5)*$J234-SUM($AV$6:AX$6)*$K234</f>
        <v>0</v>
      </c>
      <c r="AY234" s="1">
        <f>SUM($AT234,$AA234:AC234)-SUM($AV$5:AY$5)*$J234-SUM($AV$6:AY$6)*$K234</f>
        <v>0</v>
      </c>
      <c r="AZ234" s="1">
        <f>SUM($AT234,$AA234:AD234)-SUM($AV$5:AZ$5)*$J234-SUM($AV$6:AZ$6)*$K234</f>
        <v>0</v>
      </c>
      <c r="BA234" s="1">
        <f>SUM($AT234,$AA234:AE234)-SUM($AV$5:BA$5)*$J234-SUM($AV$6:BA$6)*$K234</f>
        <v>0</v>
      </c>
      <c r="BB234" s="1">
        <f>SUM($AT234,$AA234:AF234)-SUM($AV$5:BB$5)*$J234-SUM($AV$6:BB$6)*$K234</f>
        <v>0</v>
      </c>
      <c r="BC234" s="1">
        <f>SUM($AT234,$AA234:AG234)-SUM($AV$5:BC$5)*$J234-SUM($AV$6:BC$6)*$K234</f>
        <v>0</v>
      </c>
      <c r="BD234" s="1">
        <f>SUM($AT234,$AA234:AH234)-SUM($AV$5:BD$5)*$J234-SUM($AV$6:BD$6)*$K234</f>
        <v>0</v>
      </c>
      <c r="BE234" s="1">
        <f>SUM($AT234,$AA234:AI234)-SUM($AV$5:BE$5)*$J234-SUM($AV$6:BE$6)*$K234</f>
        <v>0</v>
      </c>
      <c r="BF234" s="1">
        <f>SUM($AT234,$AA234:AJ234)-SUM($AV$5:BF$5)*$J234-SUM($AV$6:BF$6)*$K234</f>
        <v>0</v>
      </c>
      <c r="BG234" s="1">
        <f>SUM($AT234,$AA234:AK234)-SUM($AV$5:BG$5)*$J234-SUM($AV$6:BG$6)*$K234</f>
        <v>0</v>
      </c>
      <c r="BH234" s="1">
        <f>SUM($AT234,$AA234:AL234)-SUM($AV$5:BH$5)*$J234-SUM($AV$6:BH$6)*$K234</f>
        <v>0</v>
      </c>
      <c r="BI234" s="1">
        <f>SUM($AT234,$AA234:AM234)-SUM($AV$5:BI$5)*$J234-SUM($AV$6:BI$6)*$K234</f>
        <v>0</v>
      </c>
      <c r="BJ234" s="1">
        <f>SUM($AT234,$AA234:AN234)-SUM($AV$5:BJ$5)*$J234-SUM($AV$6:BJ$6)*$K234</f>
        <v>0</v>
      </c>
      <c r="BK234" s="1">
        <f>SUM($AT234,$AA234:AO234)-SUM($AV$5:BK$5)*$J234-SUM($AV$6:BK$6)*$K234</f>
        <v>0</v>
      </c>
      <c r="BL234" s="1">
        <f>SUM($AT234,$AA234:AP234)-SUM($AV$5:BL$5)*$J234-SUM($AV$6:BL$6)*$K234</f>
        <v>0</v>
      </c>
      <c r="BM234" s="1">
        <f>SUM($AT234,$AA234:AQ234)-SUM($AV$5:BM$5)*$J234-SUM($AV$6:BM$6)*$K234</f>
        <v>0</v>
      </c>
      <c r="BN234" s="1">
        <f>SUM($AT234,$AA234:AR234)-SUM($AV$5:BN$5)*$J234-SUM($AV$6:BN$6)*$K234</f>
        <v>0</v>
      </c>
    </row>
    <row r="235" spans="1:66">
      <c r="A235" s="1">
        <v>266</v>
      </c>
      <c r="B235" s="28" t="s">
        <v>757</v>
      </c>
      <c r="C235" s="1" t="s">
        <v>176</v>
      </c>
      <c r="D235" s="2">
        <v>400722122</v>
      </c>
      <c r="E235" s="3" t="s">
        <v>758</v>
      </c>
      <c r="F235" s="1"/>
      <c r="G235" s="1" t="s">
        <v>42</v>
      </c>
      <c r="H235" s="1">
        <v>2</v>
      </c>
      <c r="I235" s="1">
        <v>4</v>
      </c>
      <c r="J235" s="1">
        <v>4</v>
      </c>
      <c r="K235" s="1">
        <v>0</v>
      </c>
      <c r="L235" s="1">
        <v>0</v>
      </c>
      <c r="M235" s="1">
        <f t="shared" si="10"/>
        <v>2328</v>
      </c>
      <c r="N235" s="1">
        <f t="shared" si="11"/>
        <v>2328</v>
      </c>
      <c r="O235" s="2" t="s">
        <v>505</v>
      </c>
      <c r="P235" s="1"/>
      <c r="Q235" s="1">
        <v>2.85</v>
      </c>
      <c r="R235" s="1" t="s">
        <v>44</v>
      </c>
      <c r="S235" s="30" t="s">
        <v>45</v>
      </c>
      <c r="T235" s="31" t="s">
        <v>505</v>
      </c>
      <c r="U235" s="1"/>
      <c r="V235" s="1">
        <v>325</v>
      </c>
      <c r="W235" s="1" t="s">
        <v>506</v>
      </c>
      <c r="X235" s="32" t="s">
        <v>507</v>
      </c>
      <c r="Y235" s="1" t="s">
        <v>508</v>
      </c>
      <c r="Z235" s="2" t="s">
        <v>505</v>
      </c>
      <c r="AA235" s="1"/>
      <c r="AB235" s="1"/>
      <c r="AC235" s="1"/>
      <c r="AD235" s="1"/>
      <c r="AE235" s="1"/>
      <c r="AF235" s="1"/>
      <c r="AG235" s="1"/>
      <c r="AH235" s="1"/>
      <c r="AI235" s="1"/>
      <c r="AJ235" s="1"/>
      <c r="AK235" s="1"/>
      <c r="AL235" s="1"/>
      <c r="AM235" s="1"/>
      <c r="AN235" s="1"/>
      <c r="AO235" s="1"/>
      <c r="AP235" s="1"/>
      <c r="AQ235" s="1"/>
      <c r="AR235" s="1"/>
      <c r="AS235" s="1"/>
      <c r="AT235" s="1"/>
      <c r="AU235" s="1"/>
      <c r="AV235" s="1">
        <f>SUM($AT235,Z235:$AA235)-SUM($AV$5:AV$5)*$J235-SUM($AV$6:AV$6)*$K235</f>
        <v>0</v>
      </c>
      <c r="AW235" s="1">
        <f>SUM($AT235,$AA235:AA235)-SUM($AV$5:AW$5)*$J235-SUM($AV$6:AW$6)*$K235</f>
        <v>0</v>
      </c>
      <c r="AX235" s="1">
        <f>SUM($AT235,$AA235:AB235)-SUM($AV$5:AX$5)*$J235-SUM($AV$6:AX$6)*$K235</f>
        <v>0</v>
      </c>
      <c r="AY235" s="1">
        <f>SUM($AT235,$AA235:AC235)-SUM($AV$5:AY$5)*$J235-SUM($AV$6:AY$6)*$K235</f>
        <v>0</v>
      </c>
      <c r="AZ235" s="1">
        <f>SUM($AT235,$AA235:AD235)-SUM($AV$5:AZ$5)*$J235-SUM($AV$6:AZ$6)*$K235</f>
        <v>-160</v>
      </c>
      <c r="BA235" s="1">
        <f>SUM($AT235,$AA235:AE235)-SUM($AV$5:BA$5)*$J235-SUM($AV$6:BA$6)*$K235</f>
        <v>-320</v>
      </c>
      <c r="BB235" s="1">
        <f>SUM($AT235,$AA235:AF235)-SUM($AV$5:BB$5)*$J235-SUM($AV$6:BB$6)*$K235</f>
        <v>-480</v>
      </c>
      <c r="BC235" s="1">
        <f>SUM($AT235,$AA235:AG235)-SUM($AV$5:BC$5)*$J235-SUM($AV$6:BC$6)*$K235</f>
        <v>-640</v>
      </c>
      <c r="BD235" s="1">
        <f>SUM($AT235,$AA235:AH235)-SUM($AV$5:BD$5)*$J235-SUM($AV$6:BD$6)*$K235</f>
        <v>-800</v>
      </c>
      <c r="BE235" s="1">
        <f>SUM($AT235,$AA235:AI235)-SUM($AV$5:BE$5)*$J235-SUM($AV$6:BE$6)*$K235</f>
        <v>-960</v>
      </c>
      <c r="BF235" s="1">
        <f>SUM($AT235,$AA235:AJ235)-SUM($AV$5:BF$5)*$J235-SUM($AV$6:BF$6)*$K235</f>
        <v>-1120</v>
      </c>
      <c r="BG235" s="1">
        <f>SUM($AT235,$AA235:AK235)-SUM($AV$5:BG$5)*$J235-SUM($AV$6:BG$6)*$K235</f>
        <v>-1280</v>
      </c>
      <c r="BH235" s="1">
        <f>SUM($AT235,$AA235:AL235)-SUM($AV$5:BH$5)*$J235-SUM($AV$6:BH$6)*$K235</f>
        <v>-1440</v>
      </c>
      <c r="BI235" s="1">
        <f>SUM($AT235,$AA235:AM235)-SUM($AV$5:BI$5)*$J235-SUM($AV$6:BI$6)*$K235</f>
        <v>-1600</v>
      </c>
      <c r="BJ235" s="1">
        <f>SUM($AT235,$AA235:AN235)-SUM($AV$5:BJ$5)*$J235-SUM($AV$6:BJ$6)*$K235</f>
        <v>-1760</v>
      </c>
      <c r="BK235" s="1">
        <f>SUM($AT235,$AA235:AO235)-SUM($AV$5:BK$5)*$J235-SUM($AV$6:BK$6)*$K235</f>
        <v>-1920</v>
      </c>
      <c r="BL235" s="1">
        <f>SUM($AT235,$AA235:AP235)-SUM($AV$5:BL$5)*$J235-SUM($AV$6:BL$6)*$K235</f>
        <v>-2080</v>
      </c>
      <c r="BM235" s="1">
        <f>SUM($AT235,$AA235:AQ235)-SUM($AV$5:BM$5)*$J235-SUM($AV$6:BM$6)*$K235</f>
        <v>-2240</v>
      </c>
      <c r="BN235" s="1">
        <f>SUM($AT235,$AA235:AR235)-SUM($AV$5:BN$5)*$J235-SUM($AV$6:BN$6)*$K235</f>
        <v>-2328</v>
      </c>
    </row>
    <row r="236" spans="1:66">
      <c r="A236" s="1">
        <v>267</v>
      </c>
      <c r="B236" s="28" t="s">
        <v>759</v>
      </c>
      <c r="C236" s="1" t="s">
        <v>40</v>
      </c>
      <c r="D236" s="2">
        <v>401570652</v>
      </c>
      <c r="E236" s="3" t="s">
        <v>760</v>
      </c>
      <c r="F236" s="1">
        <v>401502568</v>
      </c>
      <c r="G236" s="1" t="s">
        <v>42</v>
      </c>
      <c r="H236" s="1">
        <v>2</v>
      </c>
      <c r="I236" s="1">
        <v>2</v>
      </c>
      <c r="J236" s="1">
        <v>2</v>
      </c>
      <c r="K236" s="1">
        <v>0</v>
      </c>
      <c r="L236" s="1">
        <v>0</v>
      </c>
      <c r="M236" s="1">
        <f t="shared" si="10"/>
        <v>1164</v>
      </c>
      <c r="N236" s="1">
        <f t="shared" si="11"/>
        <v>1164</v>
      </c>
      <c r="O236" s="2" t="s">
        <v>761</v>
      </c>
      <c r="P236" s="1"/>
      <c r="Q236" s="1">
        <v>1.1200000000000001</v>
      </c>
      <c r="R236" s="1" t="s">
        <v>44</v>
      </c>
      <c r="S236" s="30" t="s">
        <v>762</v>
      </c>
      <c r="T236" s="31" t="s">
        <v>55</v>
      </c>
      <c r="U236" s="1">
        <v>1</v>
      </c>
      <c r="V236" s="1">
        <v>1</v>
      </c>
      <c r="W236" s="1" t="s">
        <v>56</v>
      </c>
      <c r="X236" s="32" t="s">
        <v>57</v>
      </c>
      <c r="Y236" s="1" t="s">
        <v>58</v>
      </c>
      <c r="Z236" s="2" t="s">
        <v>761</v>
      </c>
      <c r="AA236" s="1"/>
      <c r="AB236" s="1"/>
      <c r="AC236" s="1"/>
      <c r="AD236" s="1"/>
      <c r="AE236" s="1"/>
      <c r="AF236" s="1"/>
      <c r="AG236" s="1"/>
      <c r="AH236" s="1"/>
      <c r="AI236" s="1"/>
      <c r="AJ236" s="1"/>
      <c r="AK236" s="1"/>
      <c r="AL236" s="1"/>
      <c r="AM236" s="1"/>
      <c r="AN236" s="1"/>
      <c r="AO236" s="1"/>
      <c r="AP236" s="1"/>
      <c r="AQ236" s="1"/>
      <c r="AR236" s="1"/>
      <c r="AS236" s="1"/>
      <c r="AT236" s="1"/>
      <c r="AU236" s="1"/>
      <c r="AV236" s="1">
        <f>SUM($AT236,Z236:$AA236)-SUM($AV$5:AV$5)*$J236-SUM($AV$6:AV$6)*$K236</f>
        <v>0</v>
      </c>
      <c r="AW236" s="1">
        <f>SUM($AT236,$AA236:AA236)-SUM($AV$5:AW$5)*$J236-SUM($AV$6:AW$6)*$K236</f>
        <v>0</v>
      </c>
      <c r="AX236" s="1">
        <f>SUM($AT236,$AA236:AB236)-SUM($AV$5:AX$5)*$J236-SUM($AV$6:AX$6)*$K236</f>
        <v>0</v>
      </c>
      <c r="AY236" s="1">
        <f>SUM($AT236,$AA236:AC236)-SUM($AV$5:AY$5)*$J236-SUM($AV$6:AY$6)*$K236</f>
        <v>0</v>
      </c>
      <c r="AZ236" s="1">
        <f>SUM($AT236,$AA236:AD236)-SUM($AV$5:AZ$5)*$J236-SUM($AV$6:AZ$6)*$K236</f>
        <v>-80</v>
      </c>
      <c r="BA236" s="1">
        <f>SUM($AT236,$AA236:AE236)-SUM($AV$5:BA$5)*$J236-SUM($AV$6:BA$6)*$K236</f>
        <v>-160</v>
      </c>
      <c r="BB236" s="1">
        <f>SUM($AT236,$AA236:AF236)-SUM($AV$5:BB$5)*$J236-SUM($AV$6:BB$6)*$K236</f>
        <v>-240</v>
      </c>
      <c r="BC236" s="1">
        <f>SUM($AT236,$AA236:AG236)-SUM($AV$5:BC$5)*$J236-SUM($AV$6:BC$6)*$K236</f>
        <v>-320</v>
      </c>
      <c r="BD236" s="1">
        <f>SUM($AT236,$AA236:AH236)-SUM($AV$5:BD$5)*$J236-SUM($AV$6:BD$6)*$K236</f>
        <v>-400</v>
      </c>
      <c r="BE236" s="1">
        <f>SUM($AT236,$AA236:AI236)-SUM($AV$5:BE$5)*$J236-SUM($AV$6:BE$6)*$K236</f>
        <v>-480</v>
      </c>
      <c r="BF236" s="1">
        <f>SUM($AT236,$AA236:AJ236)-SUM($AV$5:BF$5)*$J236-SUM($AV$6:BF$6)*$K236</f>
        <v>-560</v>
      </c>
      <c r="BG236" s="1">
        <f>SUM($AT236,$AA236:AK236)-SUM($AV$5:BG$5)*$J236-SUM($AV$6:BG$6)*$K236</f>
        <v>-640</v>
      </c>
      <c r="BH236" s="1">
        <f>SUM($AT236,$AA236:AL236)-SUM($AV$5:BH$5)*$J236-SUM($AV$6:BH$6)*$K236</f>
        <v>-720</v>
      </c>
      <c r="BI236" s="1">
        <f>SUM($AT236,$AA236:AM236)-SUM($AV$5:BI$5)*$J236-SUM($AV$6:BI$6)*$K236</f>
        <v>-800</v>
      </c>
      <c r="BJ236" s="1">
        <f>SUM($AT236,$AA236:AN236)-SUM($AV$5:BJ$5)*$J236-SUM($AV$6:BJ$6)*$K236</f>
        <v>-880</v>
      </c>
      <c r="BK236" s="1">
        <f>SUM($AT236,$AA236:AO236)-SUM($AV$5:BK$5)*$J236-SUM($AV$6:BK$6)*$K236</f>
        <v>-960</v>
      </c>
      <c r="BL236" s="1">
        <f>SUM($AT236,$AA236:AP236)-SUM($AV$5:BL$5)*$J236-SUM($AV$6:BL$6)*$K236</f>
        <v>-1040</v>
      </c>
      <c r="BM236" s="1">
        <f>SUM($AT236,$AA236:AQ236)-SUM($AV$5:BM$5)*$J236-SUM($AV$6:BM$6)*$K236</f>
        <v>-1120</v>
      </c>
      <c r="BN236" s="1">
        <f>SUM($AT236,$AA236:AR236)-SUM($AV$5:BN$5)*$J236-SUM($AV$6:BN$6)*$K236</f>
        <v>-1164</v>
      </c>
    </row>
    <row r="237" spans="1:66">
      <c r="A237" s="1">
        <v>268</v>
      </c>
      <c r="B237" s="28" t="s">
        <v>763</v>
      </c>
      <c r="C237" s="1" t="s">
        <v>40</v>
      </c>
      <c r="D237" s="2">
        <v>400703056</v>
      </c>
      <c r="E237" s="3" t="s">
        <v>764</v>
      </c>
      <c r="F237" s="1"/>
      <c r="G237" s="1" t="s">
        <v>42</v>
      </c>
      <c r="H237" s="1">
        <v>2</v>
      </c>
      <c r="I237" s="1">
        <v>17</v>
      </c>
      <c r="J237" s="1">
        <v>17</v>
      </c>
      <c r="K237" s="1">
        <v>0</v>
      </c>
      <c r="L237" s="1">
        <v>0</v>
      </c>
      <c r="M237" s="1">
        <f t="shared" si="10"/>
        <v>9894</v>
      </c>
      <c r="N237" s="1">
        <f t="shared" si="11"/>
        <v>9894</v>
      </c>
      <c r="O237" s="2" t="s">
        <v>765</v>
      </c>
      <c r="P237" s="1"/>
      <c r="Q237" s="1">
        <v>0.14000000000000001</v>
      </c>
      <c r="R237" s="1" t="s">
        <v>44</v>
      </c>
      <c r="S237" s="30" t="s">
        <v>330</v>
      </c>
      <c r="T237" s="31" t="s">
        <v>417</v>
      </c>
      <c r="U237" s="1"/>
      <c r="V237" s="1">
        <v>100</v>
      </c>
      <c r="W237" s="1" t="s">
        <v>418</v>
      </c>
      <c r="X237" s="32" t="s">
        <v>419</v>
      </c>
      <c r="Y237" s="1" t="s">
        <v>420</v>
      </c>
      <c r="Z237" s="2" t="s">
        <v>765</v>
      </c>
      <c r="AA237" s="1"/>
      <c r="AB237" s="1"/>
      <c r="AC237" s="1"/>
      <c r="AD237" s="1"/>
      <c r="AE237" s="1"/>
      <c r="AF237" s="1"/>
      <c r="AG237" s="1"/>
      <c r="AH237" s="1"/>
      <c r="AI237" s="1"/>
      <c r="AJ237" s="1"/>
      <c r="AK237" s="1"/>
      <c r="AL237" s="1"/>
      <c r="AM237" s="1"/>
      <c r="AN237" s="1"/>
      <c r="AO237" s="1"/>
      <c r="AP237" s="1"/>
      <c r="AQ237" s="1"/>
      <c r="AR237" s="1"/>
      <c r="AS237" s="1"/>
      <c r="AT237" s="1"/>
      <c r="AU237" s="1"/>
      <c r="AV237" s="1">
        <f>SUM($AT237,Z237:$AA237)-SUM($AV$5:AV$5)*$J237-SUM($AV$6:AV$6)*$K237</f>
        <v>0</v>
      </c>
      <c r="AW237" s="1">
        <f>SUM($AT237,$AA237:AA237)-SUM($AV$5:AW$5)*$J237-SUM($AV$6:AW$6)*$K237</f>
        <v>0</v>
      </c>
      <c r="AX237" s="1">
        <f>SUM($AT237,$AA237:AB237)-SUM($AV$5:AX$5)*$J237-SUM($AV$6:AX$6)*$K237</f>
        <v>0</v>
      </c>
      <c r="AY237" s="1">
        <f>SUM($AT237,$AA237:AC237)-SUM($AV$5:AY$5)*$J237-SUM($AV$6:AY$6)*$K237</f>
        <v>0</v>
      </c>
      <c r="AZ237" s="1">
        <f>SUM($AT237,$AA237:AD237)-SUM($AV$5:AZ$5)*$J237-SUM($AV$6:AZ$6)*$K237</f>
        <v>-680</v>
      </c>
      <c r="BA237" s="1">
        <f>SUM($AT237,$AA237:AE237)-SUM($AV$5:BA$5)*$J237-SUM($AV$6:BA$6)*$K237</f>
        <v>-1360</v>
      </c>
      <c r="BB237" s="1">
        <f>SUM($AT237,$AA237:AF237)-SUM($AV$5:BB$5)*$J237-SUM($AV$6:BB$6)*$K237</f>
        <v>-2040</v>
      </c>
      <c r="BC237" s="1">
        <f>SUM($AT237,$AA237:AG237)-SUM($AV$5:BC$5)*$J237-SUM($AV$6:BC$6)*$K237</f>
        <v>-2720</v>
      </c>
      <c r="BD237" s="1">
        <f>SUM($AT237,$AA237:AH237)-SUM($AV$5:BD$5)*$J237-SUM($AV$6:BD$6)*$K237</f>
        <v>-3400</v>
      </c>
      <c r="BE237" s="1">
        <f>SUM($AT237,$AA237:AI237)-SUM($AV$5:BE$5)*$J237-SUM($AV$6:BE$6)*$K237</f>
        <v>-4080</v>
      </c>
      <c r="BF237" s="1">
        <f>SUM($AT237,$AA237:AJ237)-SUM($AV$5:BF$5)*$J237-SUM($AV$6:BF$6)*$K237</f>
        <v>-4760</v>
      </c>
      <c r="BG237" s="1">
        <f>SUM($AT237,$AA237:AK237)-SUM($AV$5:BG$5)*$J237-SUM($AV$6:BG$6)*$K237</f>
        <v>-5440</v>
      </c>
      <c r="BH237" s="1">
        <f>SUM($AT237,$AA237:AL237)-SUM($AV$5:BH$5)*$J237-SUM($AV$6:BH$6)*$K237</f>
        <v>-6120</v>
      </c>
      <c r="BI237" s="1">
        <f>SUM($AT237,$AA237:AM237)-SUM($AV$5:BI$5)*$J237-SUM($AV$6:BI$6)*$K237</f>
        <v>-6800</v>
      </c>
      <c r="BJ237" s="1">
        <f>SUM($AT237,$AA237:AN237)-SUM($AV$5:BJ$5)*$J237-SUM($AV$6:BJ$6)*$K237</f>
        <v>-7480</v>
      </c>
      <c r="BK237" s="1">
        <f>SUM($AT237,$AA237:AO237)-SUM($AV$5:BK$5)*$J237-SUM($AV$6:BK$6)*$K237</f>
        <v>-8160</v>
      </c>
      <c r="BL237" s="1">
        <f>SUM($AT237,$AA237:AP237)-SUM($AV$5:BL$5)*$J237-SUM($AV$6:BL$6)*$K237</f>
        <v>-8840</v>
      </c>
      <c r="BM237" s="1">
        <f>SUM($AT237,$AA237:AQ237)-SUM($AV$5:BM$5)*$J237-SUM($AV$6:BM$6)*$K237</f>
        <v>-9520</v>
      </c>
      <c r="BN237" s="1">
        <f>SUM($AT237,$AA237:AR237)-SUM($AV$5:BN$5)*$J237-SUM($AV$6:BN$6)*$K237</f>
        <v>-9894</v>
      </c>
    </row>
    <row r="238" spans="1:66">
      <c r="A238" s="1">
        <v>271</v>
      </c>
      <c r="B238" s="28" t="s">
        <v>766</v>
      </c>
      <c r="C238" s="1" t="s">
        <v>40</v>
      </c>
      <c r="D238" s="2">
        <v>417049490</v>
      </c>
      <c r="E238" s="3" t="s">
        <v>767</v>
      </c>
      <c r="F238" s="1">
        <v>400326581</v>
      </c>
      <c r="G238" s="1" t="s">
        <v>42</v>
      </c>
      <c r="H238" s="1">
        <v>2</v>
      </c>
      <c r="I238" s="1">
        <v>1277</v>
      </c>
      <c r="J238" s="1">
        <v>1235</v>
      </c>
      <c r="K238" s="1">
        <v>0</v>
      </c>
      <c r="L238" s="1">
        <v>42</v>
      </c>
      <c r="M238" s="1">
        <f t="shared" si="10"/>
        <v>730362</v>
      </c>
      <c r="N238" s="1">
        <f t="shared" si="11"/>
        <v>730362</v>
      </c>
      <c r="O238" s="2" t="s">
        <v>383</v>
      </c>
      <c r="P238" s="1"/>
      <c r="Q238" s="1">
        <v>2E-3</v>
      </c>
      <c r="R238" s="1" t="s">
        <v>44</v>
      </c>
      <c r="S238" s="30" t="s">
        <v>386</v>
      </c>
      <c r="T238" s="31" t="s">
        <v>369</v>
      </c>
      <c r="U238" s="1"/>
      <c r="V238" s="1">
        <v>10000</v>
      </c>
      <c r="W238" s="1" t="s">
        <v>370</v>
      </c>
      <c r="X238" s="32" t="s">
        <v>371</v>
      </c>
      <c r="Y238" s="1" t="s">
        <v>372</v>
      </c>
      <c r="Z238" s="2" t="s">
        <v>383</v>
      </c>
      <c r="AA238" s="1"/>
      <c r="AB238" s="1"/>
      <c r="AC238" s="1"/>
      <c r="AD238" s="1"/>
      <c r="AE238" s="1"/>
      <c r="AF238" s="1"/>
      <c r="AG238" s="1"/>
      <c r="AH238" s="1"/>
      <c r="AI238" s="1"/>
      <c r="AJ238" s="1"/>
      <c r="AK238" s="1"/>
      <c r="AL238" s="1"/>
      <c r="AM238" s="1"/>
      <c r="AN238" s="1"/>
      <c r="AO238" s="1"/>
      <c r="AP238" s="1"/>
      <c r="AQ238" s="1"/>
      <c r="AR238" s="1"/>
      <c r="AS238" s="1"/>
      <c r="AT238" s="1"/>
      <c r="AU238" s="1"/>
      <c r="AV238" s="1">
        <f>SUM($AT238,Z238:$AA238)-SUM($AV$5:AV$5)*$J238-SUM($AV$6:AV$6)*$K238</f>
        <v>0</v>
      </c>
      <c r="AW238" s="1">
        <f>SUM($AT238,$AA238:AA238)-SUM($AV$5:AW$5)*$J238-SUM($AV$6:AW$6)*$K238</f>
        <v>0</v>
      </c>
      <c r="AX238" s="1">
        <f>SUM($AT238,$AA238:AB238)-SUM($AV$5:AX$5)*$J238-SUM($AV$6:AX$6)*$K238</f>
        <v>0</v>
      </c>
      <c r="AY238" s="1">
        <f>SUM($AT238,$AA238:AC238)-SUM($AV$5:AY$5)*$J238-SUM($AV$6:AY$6)*$K238</f>
        <v>0</v>
      </c>
      <c r="AZ238" s="1">
        <f>SUM($AT238,$AA238:AD238)-SUM($AV$5:AZ$5)*$J238-SUM($AV$6:AZ$6)*$K238</f>
        <v>-49400</v>
      </c>
      <c r="BA238" s="1">
        <f>SUM($AT238,$AA238:AE238)-SUM($AV$5:BA$5)*$J238-SUM($AV$6:BA$6)*$K238</f>
        <v>-98800</v>
      </c>
      <c r="BB238" s="1">
        <f>SUM($AT238,$AA238:AF238)-SUM($AV$5:BB$5)*$J238-SUM($AV$6:BB$6)*$K238</f>
        <v>-148200</v>
      </c>
      <c r="BC238" s="1">
        <f>SUM($AT238,$AA238:AG238)-SUM($AV$5:BC$5)*$J238-SUM($AV$6:BC$6)*$K238</f>
        <v>-197600</v>
      </c>
      <c r="BD238" s="1">
        <f>SUM($AT238,$AA238:AH238)-SUM($AV$5:BD$5)*$J238-SUM($AV$6:BD$6)*$K238</f>
        <v>-247000</v>
      </c>
      <c r="BE238" s="1">
        <f>SUM($AT238,$AA238:AI238)-SUM($AV$5:BE$5)*$J238-SUM($AV$6:BE$6)*$K238</f>
        <v>-296400</v>
      </c>
      <c r="BF238" s="1">
        <f>SUM($AT238,$AA238:AJ238)-SUM($AV$5:BF$5)*$J238-SUM($AV$6:BF$6)*$K238</f>
        <v>-345800</v>
      </c>
      <c r="BG238" s="1">
        <f>SUM($AT238,$AA238:AK238)-SUM($AV$5:BG$5)*$J238-SUM($AV$6:BG$6)*$K238</f>
        <v>-395200</v>
      </c>
      <c r="BH238" s="1">
        <f>SUM($AT238,$AA238:AL238)-SUM($AV$5:BH$5)*$J238-SUM($AV$6:BH$6)*$K238</f>
        <v>-444600</v>
      </c>
      <c r="BI238" s="1">
        <f>SUM($AT238,$AA238:AM238)-SUM($AV$5:BI$5)*$J238-SUM($AV$6:BI$6)*$K238</f>
        <v>-494000</v>
      </c>
      <c r="BJ238" s="1">
        <f>SUM($AT238,$AA238:AN238)-SUM($AV$5:BJ$5)*$J238-SUM($AV$6:BJ$6)*$K238</f>
        <v>-543400</v>
      </c>
      <c r="BK238" s="1">
        <f>SUM($AT238,$AA238:AO238)-SUM($AV$5:BK$5)*$J238-SUM($AV$6:BK$6)*$K238</f>
        <v>-592800</v>
      </c>
      <c r="BL238" s="1">
        <f>SUM($AT238,$AA238:AP238)-SUM($AV$5:BL$5)*$J238-SUM($AV$6:BL$6)*$K238</f>
        <v>-642200</v>
      </c>
      <c r="BM238" s="1">
        <f>SUM($AT238,$AA238:AQ238)-SUM($AV$5:BM$5)*$J238-SUM($AV$6:BM$6)*$K238</f>
        <v>-691600</v>
      </c>
      <c r="BN238" s="1">
        <f>SUM($AT238,$AA238:AR238)-SUM($AV$5:BN$5)*$J238-SUM($AV$6:BN$6)*$K238</f>
        <v>-718770</v>
      </c>
    </row>
    <row r="239" spans="1:66">
      <c r="A239" s="1">
        <v>272</v>
      </c>
      <c r="B239" s="28" t="s">
        <v>768</v>
      </c>
      <c r="C239" s="1" t="s">
        <v>40</v>
      </c>
      <c r="D239" s="2">
        <v>402231970</v>
      </c>
      <c r="E239" s="3" t="s">
        <v>769</v>
      </c>
      <c r="F239" s="1">
        <v>400563295</v>
      </c>
      <c r="G239" s="1" t="s">
        <v>42</v>
      </c>
      <c r="H239" s="1">
        <v>2</v>
      </c>
      <c r="I239" s="1">
        <v>64</v>
      </c>
      <c r="J239" s="1">
        <v>64</v>
      </c>
      <c r="K239" s="1">
        <v>0</v>
      </c>
      <c r="L239" s="1">
        <v>0</v>
      </c>
      <c r="M239" s="1">
        <f t="shared" si="10"/>
        <v>37248</v>
      </c>
      <c r="N239" s="1">
        <f t="shared" si="11"/>
        <v>37248</v>
      </c>
      <c r="O239" s="2" t="s">
        <v>383</v>
      </c>
      <c r="P239" s="1"/>
      <c r="Q239" s="1">
        <v>1.5E-3</v>
      </c>
      <c r="R239" s="1" t="s">
        <v>44</v>
      </c>
      <c r="S239" s="30" t="s">
        <v>8</v>
      </c>
      <c r="T239" s="31" t="s">
        <v>369</v>
      </c>
      <c r="U239" s="1"/>
      <c r="V239" s="1">
        <v>10000</v>
      </c>
      <c r="W239" s="1" t="s">
        <v>370</v>
      </c>
      <c r="X239" s="32" t="s">
        <v>371</v>
      </c>
      <c r="Y239" s="1" t="s">
        <v>372</v>
      </c>
      <c r="Z239" s="2" t="s">
        <v>383</v>
      </c>
      <c r="AA239" s="1"/>
      <c r="AB239" s="1"/>
      <c r="AC239" s="1"/>
      <c r="AD239" s="1"/>
      <c r="AE239" s="1"/>
      <c r="AF239" s="1"/>
      <c r="AG239" s="1"/>
      <c r="AH239" s="1"/>
      <c r="AI239" s="1"/>
      <c r="AJ239" s="1"/>
      <c r="AK239" s="1"/>
      <c r="AL239" s="1"/>
      <c r="AM239" s="1"/>
      <c r="AN239" s="1"/>
      <c r="AO239" s="1"/>
      <c r="AP239" s="1"/>
      <c r="AQ239" s="1"/>
      <c r="AR239" s="1"/>
      <c r="AS239" s="1"/>
      <c r="AT239" s="1"/>
      <c r="AU239" s="1"/>
      <c r="AV239" s="1">
        <f>SUM($AT239,Z239:$AA239)-SUM($AV$5:AV$5)*$J239-SUM($AV$6:AV$6)*$K239</f>
        <v>0</v>
      </c>
      <c r="AW239" s="1">
        <f>SUM($AT239,$AA239:AA239)-SUM($AV$5:AW$5)*$J239-SUM($AV$6:AW$6)*$K239</f>
        <v>0</v>
      </c>
      <c r="AX239" s="1">
        <f>SUM($AT239,$AA239:AB239)-SUM($AV$5:AX$5)*$J239-SUM($AV$6:AX$6)*$K239</f>
        <v>0</v>
      </c>
      <c r="AY239" s="1">
        <f>SUM($AT239,$AA239:AC239)-SUM($AV$5:AY$5)*$J239-SUM($AV$6:AY$6)*$K239</f>
        <v>0</v>
      </c>
      <c r="AZ239" s="1">
        <f>SUM($AT239,$AA239:AD239)-SUM($AV$5:AZ$5)*$J239-SUM($AV$6:AZ$6)*$K239</f>
        <v>-2560</v>
      </c>
      <c r="BA239" s="1">
        <f>SUM($AT239,$AA239:AE239)-SUM($AV$5:BA$5)*$J239-SUM($AV$6:BA$6)*$K239</f>
        <v>-5120</v>
      </c>
      <c r="BB239" s="1">
        <f>SUM($AT239,$AA239:AF239)-SUM($AV$5:BB$5)*$J239-SUM($AV$6:BB$6)*$K239</f>
        <v>-7680</v>
      </c>
      <c r="BC239" s="1">
        <f>SUM($AT239,$AA239:AG239)-SUM($AV$5:BC$5)*$J239-SUM($AV$6:BC$6)*$K239</f>
        <v>-10240</v>
      </c>
      <c r="BD239" s="1">
        <f>SUM($AT239,$AA239:AH239)-SUM($AV$5:BD$5)*$J239-SUM($AV$6:BD$6)*$K239</f>
        <v>-12800</v>
      </c>
      <c r="BE239" s="1">
        <f>SUM($AT239,$AA239:AI239)-SUM($AV$5:BE$5)*$J239-SUM($AV$6:BE$6)*$K239</f>
        <v>-15360</v>
      </c>
      <c r="BF239" s="1">
        <f>SUM($AT239,$AA239:AJ239)-SUM($AV$5:BF$5)*$J239-SUM($AV$6:BF$6)*$K239</f>
        <v>-17920</v>
      </c>
      <c r="BG239" s="1">
        <f>SUM($AT239,$AA239:AK239)-SUM($AV$5:BG$5)*$J239-SUM($AV$6:BG$6)*$K239</f>
        <v>-20480</v>
      </c>
      <c r="BH239" s="1">
        <f>SUM($AT239,$AA239:AL239)-SUM($AV$5:BH$5)*$J239-SUM($AV$6:BH$6)*$K239</f>
        <v>-23040</v>
      </c>
      <c r="BI239" s="1">
        <f>SUM($AT239,$AA239:AM239)-SUM($AV$5:BI$5)*$J239-SUM($AV$6:BI$6)*$K239</f>
        <v>-25600</v>
      </c>
      <c r="BJ239" s="1">
        <f>SUM($AT239,$AA239:AN239)-SUM($AV$5:BJ$5)*$J239-SUM($AV$6:BJ$6)*$K239</f>
        <v>-28160</v>
      </c>
      <c r="BK239" s="1">
        <f>SUM($AT239,$AA239:AO239)-SUM($AV$5:BK$5)*$J239-SUM($AV$6:BK$6)*$K239</f>
        <v>-30720</v>
      </c>
      <c r="BL239" s="1">
        <f>SUM($AT239,$AA239:AP239)-SUM($AV$5:BL$5)*$J239-SUM($AV$6:BL$6)*$K239</f>
        <v>-33280</v>
      </c>
      <c r="BM239" s="1">
        <f>SUM($AT239,$AA239:AQ239)-SUM($AV$5:BM$5)*$J239-SUM($AV$6:BM$6)*$K239</f>
        <v>-35840</v>
      </c>
      <c r="BN239" s="1">
        <f>SUM($AT239,$AA239:AR239)-SUM($AV$5:BN$5)*$J239-SUM($AV$6:BN$6)*$K239</f>
        <v>-37248</v>
      </c>
    </row>
    <row r="240" spans="1:66">
      <c r="A240" s="1">
        <v>248</v>
      </c>
      <c r="B240" s="28" t="s">
        <v>770</v>
      </c>
      <c r="C240" s="1" t="s">
        <v>40</v>
      </c>
      <c r="D240" s="2" t="s">
        <v>771</v>
      </c>
      <c r="E240" s="3" t="s">
        <v>772</v>
      </c>
      <c r="F240" s="1"/>
      <c r="G240" s="1" t="s">
        <v>42</v>
      </c>
      <c r="H240" s="1">
        <v>2</v>
      </c>
      <c r="I240" s="1">
        <v>1</v>
      </c>
      <c r="J240" s="1">
        <v>0</v>
      </c>
      <c r="K240" s="1">
        <v>0</v>
      </c>
      <c r="L240" s="1">
        <v>1</v>
      </c>
      <c r="M240" s="1">
        <f t="shared" si="10"/>
        <v>276</v>
      </c>
      <c r="N240" s="1">
        <f t="shared" si="11"/>
        <v>276</v>
      </c>
      <c r="O240" s="2" t="s">
        <v>137</v>
      </c>
      <c r="P240" s="1"/>
      <c r="Q240" s="1">
        <v>30.5</v>
      </c>
      <c r="R240" s="1" t="s">
        <v>44</v>
      </c>
      <c r="S240" s="30" t="s">
        <v>91</v>
      </c>
      <c r="T240" s="31" t="s">
        <v>138</v>
      </c>
      <c r="U240" s="1">
        <v>1</v>
      </c>
      <c r="V240" s="1">
        <v>1</v>
      </c>
      <c r="W240" s="1" t="s">
        <v>139</v>
      </c>
      <c r="X240" s="33" t="s">
        <v>140</v>
      </c>
      <c r="Y240" s="1" t="s">
        <v>141</v>
      </c>
      <c r="Z240" s="2" t="s">
        <v>137</v>
      </c>
      <c r="AA240" s="1"/>
      <c r="AB240" s="1"/>
      <c r="AC240" s="1"/>
      <c r="AD240" s="1"/>
      <c r="AE240" s="1"/>
      <c r="AF240" s="1"/>
      <c r="AG240" s="1"/>
      <c r="AH240" s="1"/>
      <c r="AI240" s="1"/>
      <c r="AJ240" s="1"/>
      <c r="AK240" s="1"/>
      <c r="AL240" s="1"/>
      <c r="AM240" s="1"/>
      <c r="AN240" s="1"/>
      <c r="AO240" s="1"/>
      <c r="AP240" s="1"/>
      <c r="AQ240" s="1"/>
      <c r="AR240" s="1"/>
      <c r="AS240" s="1"/>
      <c r="AT240" s="1"/>
      <c r="AU240" s="1"/>
      <c r="AV240" s="1">
        <f>SUM($AT240,Z240:$AA240)-SUM($AV$5:AV$5)*$J240-SUM($AV$6:AV$6)*$K240</f>
        <v>0</v>
      </c>
      <c r="AW240" s="1">
        <f>SUM($AT240,$AA240:AA240)-SUM($AV$5:AW$5)*$J240-SUM($AV$6:AW$6)*$K240</f>
        <v>0</v>
      </c>
      <c r="AX240" s="1">
        <f>SUM($AT240,$AA240:AB240)-SUM($AV$5:AX$5)*$J240-SUM($AV$6:AX$6)*$K240</f>
        <v>0</v>
      </c>
      <c r="AY240" s="1">
        <f>SUM($AT240,$AA240:AC240)-SUM($AV$5:AY$5)*$J240-SUM($AV$6:AY$6)*$K240</f>
        <v>0</v>
      </c>
      <c r="AZ240" s="1">
        <f>SUM($AT240,$AA240:AD240)-SUM($AV$5:AZ$5)*$J240-SUM($AV$6:AZ$6)*$K240</f>
        <v>0</v>
      </c>
      <c r="BA240" s="1">
        <f>SUM($AT240,$AA240:AE240)-SUM($AV$5:BA$5)*$J240-SUM($AV$6:BA$6)*$K240</f>
        <v>0</v>
      </c>
      <c r="BB240" s="1">
        <f>SUM($AT240,$AA240:AF240)-SUM($AV$5:BB$5)*$J240-SUM($AV$6:BB$6)*$K240</f>
        <v>0</v>
      </c>
      <c r="BC240" s="1">
        <f>SUM($AT240,$AA240:AG240)-SUM($AV$5:BC$5)*$J240-SUM($AV$6:BC$6)*$K240</f>
        <v>0</v>
      </c>
      <c r="BD240" s="1">
        <f>SUM($AT240,$AA240:AH240)-SUM($AV$5:BD$5)*$J240-SUM($AV$6:BD$6)*$K240</f>
        <v>0</v>
      </c>
      <c r="BE240" s="1">
        <f>SUM($AT240,$AA240:AI240)-SUM($AV$5:BE$5)*$J240-SUM($AV$6:BE$6)*$K240</f>
        <v>0</v>
      </c>
      <c r="BF240" s="1">
        <f>SUM($AT240,$AA240:AJ240)-SUM($AV$5:BF$5)*$J240-SUM($AV$6:BF$6)*$K240</f>
        <v>0</v>
      </c>
      <c r="BG240" s="1">
        <f>SUM($AT240,$AA240:AK240)-SUM($AV$5:BG$5)*$J240-SUM($AV$6:BG$6)*$K240</f>
        <v>0</v>
      </c>
      <c r="BH240" s="1">
        <f>SUM($AT240,$AA240:AL240)-SUM($AV$5:BH$5)*$J240-SUM($AV$6:BH$6)*$K240</f>
        <v>0</v>
      </c>
      <c r="BI240" s="1">
        <f>SUM($AT240,$AA240:AM240)-SUM($AV$5:BI$5)*$J240-SUM($AV$6:BI$6)*$K240</f>
        <v>0</v>
      </c>
      <c r="BJ240" s="1">
        <f>SUM($AT240,$AA240:AN240)-SUM($AV$5:BJ$5)*$J240-SUM($AV$6:BJ$6)*$K240</f>
        <v>0</v>
      </c>
      <c r="BK240" s="1">
        <f>SUM($AT240,$AA240:AO240)-SUM($AV$5:BK$5)*$J240-SUM($AV$6:BK$6)*$K240</f>
        <v>0</v>
      </c>
      <c r="BL240" s="1">
        <f>SUM($AT240,$AA240:AP240)-SUM($AV$5:BL$5)*$J240-SUM($AV$6:BL$6)*$K240</f>
        <v>0</v>
      </c>
      <c r="BM240" s="1">
        <f>SUM($AT240,$AA240:AQ240)-SUM($AV$5:BM$5)*$J240-SUM($AV$6:BM$6)*$K240</f>
        <v>0</v>
      </c>
      <c r="BN240" s="1">
        <f>SUM($AT240,$AA240:AR240)-SUM($AV$5:BN$5)*$J240-SUM($AV$6:BN$6)*$K240</f>
        <v>0</v>
      </c>
    </row>
    <row r="241" spans="1:66">
      <c r="A241" s="1">
        <v>53</v>
      </c>
      <c r="B241" s="28" t="s">
        <v>773</v>
      </c>
      <c r="C241" s="1" t="s">
        <v>40</v>
      </c>
      <c r="D241" s="2">
        <v>411760384</v>
      </c>
      <c r="E241" s="3" t="s">
        <v>774</v>
      </c>
      <c r="F241" s="1">
        <v>415712321</v>
      </c>
      <c r="G241" s="1" t="s">
        <v>42</v>
      </c>
      <c r="H241" s="1">
        <v>2</v>
      </c>
      <c r="I241" s="1">
        <v>2</v>
      </c>
      <c r="J241" s="1">
        <v>2</v>
      </c>
      <c r="K241" s="1">
        <v>0</v>
      </c>
      <c r="L241" s="1">
        <v>0</v>
      </c>
      <c r="M241" s="1">
        <f t="shared" si="10"/>
        <v>1164</v>
      </c>
      <c r="N241" s="1">
        <f t="shared" si="11"/>
        <v>1164</v>
      </c>
      <c r="O241" s="2" t="s">
        <v>351</v>
      </c>
      <c r="P241" s="1"/>
      <c r="Q241" s="1">
        <v>1.7</v>
      </c>
      <c r="R241" s="1" t="s">
        <v>292</v>
      </c>
      <c r="S241" s="30"/>
      <c r="T241" s="31" t="s">
        <v>352</v>
      </c>
      <c r="U241" s="1"/>
      <c r="V241" s="1">
        <v>500</v>
      </c>
      <c r="W241" s="1" t="s">
        <v>353</v>
      </c>
      <c r="X241" s="32" t="s">
        <v>354</v>
      </c>
      <c r="Y241" s="1" t="s">
        <v>355</v>
      </c>
      <c r="Z241" s="2" t="s">
        <v>351</v>
      </c>
      <c r="AA241" s="1"/>
      <c r="AB241" s="1"/>
      <c r="AC241" s="1"/>
      <c r="AD241" s="1"/>
      <c r="AE241" s="1"/>
      <c r="AF241" s="1"/>
      <c r="AG241" s="1"/>
      <c r="AH241" s="1"/>
      <c r="AI241" s="1"/>
      <c r="AJ241" s="1"/>
      <c r="AK241" s="1"/>
      <c r="AL241" s="1"/>
      <c r="AM241" s="1"/>
      <c r="AN241" s="1"/>
      <c r="AO241" s="1"/>
      <c r="AP241" s="1"/>
      <c r="AQ241" s="1"/>
      <c r="AR241" s="1"/>
      <c r="AS241" s="1"/>
      <c r="AT241" s="1"/>
      <c r="AU241" s="1"/>
      <c r="AV241" s="1">
        <f>SUM($AT241,Z241:$AA241)-SUM($AV$5:AV$5)*$J241-SUM($AV$6:AV$6)*$K241</f>
        <v>0</v>
      </c>
      <c r="AW241" s="1">
        <f>SUM($AT241,$AA241:AA241)-SUM($AV$5:AW$5)*$J241-SUM($AV$6:AW$6)*$K241</f>
        <v>0</v>
      </c>
      <c r="AX241" s="1">
        <f>SUM($AT241,$AA241:AB241)-SUM($AV$5:AX$5)*$J241-SUM($AV$6:AX$6)*$K241</f>
        <v>0</v>
      </c>
      <c r="AY241" s="1">
        <f>SUM($AT241,$AA241:AC241)-SUM($AV$5:AY$5)*$J241-SUM($AV$6:AY$6)*$K241</f>
        <v>0</v>
      </c>
      <c r="AZ241" s="1">
        <f>SUM($AT241,$AA241:AD241)-SUM($AV$5:AZ$5)*$J241-SUM($AV$6:AZ$6)*$K241</f>
        <v>-80</v>
      </c>
      <c r="BA241" s="1">
        <f>SUM($AT241,$AA241:AE241)-SUM($AV$5:BA$5)*$J241-SUM($AV$6:BA$6)*$K241</f>
        <v>-160</v>
      </c>
      <c r="BB241" s="1">
        <f>SUM($AT241,$AA241:AF241)-SUM($AV$5:BB$5)*$J241-SUM($AV$6:BB$6)*$K241</f>
        <v>-240</v>
      </c>
      <c r="BC241" s="1">
        <f>SUM($AT241,$AA241:AG241)-SUM($AV$5:BC$5)*$J241-SUM($AV$6:BC$6)*$K241</f>
        <v>-320</v>
      </c>
      <c r="BD241" s="1">
        <f>SUM($AT241,$AA241:AH241)-SUM($AV$5:BD$5)*$J241-SUM($AV$6:BD$6)*$K241</f>
        <v>-400</v>
      </c>
      <c r="BE241" s="1">
        <f>SUM($AT241,$AA241:AI241)-SUM($AV$5:BE$5)*$J241-SUM($AV$6:BE$6)*$K241</f>
        <v>-480</v>
      </c>
      <c r="BF241" s="1">
        <f>SUM($AT241,$AA241:AJ241)-SUM($AV$5:BF$5)*$J241-SUM($AV$6:BF$6)*$K241</f>
        <v>-560</v>
      </c>
      <c r="BG241" s="1">
        <f>SUM($AT241,$AA241:AK241)-SUM($AV$5:BG$5)*$J241-SUM($AV$6:BG$6)*$K241</f>
        <v>-640</v>
      </c>
      <c r="BH241" s="1">
        <f>SUM($AT241,$AA241:AL241)-SUM($AV$5:BH$5)*$J241-SUM($AV$6:BH$6)*$K241</f>
        <v>-720</v>
      </c>
      <c r="BI241" s="1">
        <f>SUM($AT241,$AA241:AM241)-SUM($AV$5:BI$5)*$J241-SUM($AV$6:BI$6)*$K241</f>
        <v>-800</v>
      </c>
      <c r="BJ241" s="1">
        <f>SUM($AT241,$AA241:AN241)-SUM($AV$5:BJ$5)*$J241-SUM($AV$6:BJ$6)*$K241</f>
        <v>-880</v>
      </c>
      <c r="BK241" s="1">
        <f>SUM($AT241,$AA241:AO241)-SUM($AV$5:BK$5)*$J241-SUM($AV$6:BK$6)*$K241</f>
        <v>-960</v>
      </c>
      <c r="BL241" s="1">
        <f>SUM($AT241,$AA241:AP241)-SUM($AV$5:BL$5)*$J241-SUM($AV$6:BL$6)*$K241</f>
        <v>-1040</v>
      </c>
      <c r="BM241" s="1">
        <f>SUM($AT241,$AA241:AQ241)-SUM($AV$5:BM$5)*$J241-SUM($AV$6:BM$6)*$K241</f>
        <v>-1120</v>
      </c>
      <c r="BN241" s="1">
        <f>SUM($AT241,$AA241:AR241)-SUM($AV$5:BN$5)*$J241-SUM($AV$6:BN$6)*$K241</f>
        <v>-1164</v>
      </c>
    </row>
    <row r="242" spans="1:66">
      <c r="A242" s="1">
        <v>51</v>
      </c>
      <c r="B242" s="28" t="s">
        <v>775</v>
      </c>
      <c r="C242" s="1" t="s">
        <v>40</v>
      </c>
      <c r="D242" s="2">
        <v>403670687</v>
      </c>
      <c r="E242" s="3" t="s">
        <v>776</v>
      </c>
      <c r="F242" s="1"/>
      <c r="G242" s="1" t="s">
        <v>42</v>
      </c>
      <c r="H242" s="1">
        <v>2</v>
      </c>
      <c r="I242" s="1">
        <v>16</v>
      </c>
      <c r="J242" s="1">
        <v>0</v>
      </c>
      <c r="K242" s="1">
        <v>0</v>
      </c>
      <c r="L242" s="1">
        <v>16</v>
      </c>
      <c r="M242" s="1">
        <f t="shared" si="10"/>
        <v>4416</v>
      </c>
      <c r="N242" s="1">
        <f t="shared" si="11"/>
        <v>4416</v>
      </c>
      <c r="O242" s="2" t="s">
        <v>351</v>
      </c>
      <c r="P242" s="1"/>
      <c r="Q242" s="1">
        <v>2.5499999999999998</v>
      </c>
      <c r="R242" s="1" t="s">
        <v>292</v>
      </c>
      <c r="S242" s="30"/>
      <c r="T242" s="31" t="s">
        <v>352</v>
      </c>
      <c r="U242" s="1">
        <v>1</v>
      </c>
      <c r="V242" s="1">
        <v>1</v>
      </c>
      <c r="W242" s="1" t="s">
        <v>353</v>
      </c>
      <c r="X242" s="46" t="s">
        <v>354</v>
      </c>
      <c r="Y242" s="1" t="s">
        <v>355</v>
      </c>
      <c r="Z242" s="2" t="s">
        <v>351</v>
      </c>
      <c r="AA242" s="1"/>
      <c r="AB242" s="1"/>
      <c r="AC242" s="1"/>
      <c r="AD242" s="1"/>
      <c r="AE242" s="1"/>
      <c r="AF242" s="1"/>
      <c r="AG242" s="1"/>
      <c r="AH242" s="1"/>
      <c r="AI242" s="1"/>
      <c r="AJ242" s="1"/>
      <c r="AK242" s="1"/>
      <c r="AL242" s="1"/>
      <c r="AM242" s="1"/>
      <c r="AN242" s="1"/>
      <c r="AO242" s="1"/>
      <c r="AP242" s="1"/>
      <c r="AQ242" s="1"/>
      <c r="AR242" s="1"/>
      <c r="AS242" s="1"/>
      <c r="AT242" s="1"/>
      <c r="AU242" s="1"/>
      <c r="AV242" s="1">
        <f>SUM($AT242,Z242:$AA242)-SUM($AV$5:AV$5)*$J242-SUM($AV$6:AV$6)*$K242</f>
        <v>0</v>
      </c>
      <c r="AW242" s="1">
        <f>SUM($AT242,$AA242:AA242)-SUM($AV$5:AW$5)*$J242-SUM($AV$6:AW$6)*$K242</f>
        <v>0</v>
      </c>
      <c r="AX242" s="1">
        <f>SUM($AT242,$AA242:AB242)-SUM($AV$5:AX$5)*$J242-SUM($AV$6:AX$6)*$K242</f>
        <v>0</v>
      </c>
      <c r="AY242" s="1">
        <f>SUM($AT242,$AA242:AC242)-SUM($AV$5:AY$5)*$J242-SUM($AV$6:AY$6)*$K242</f>
        <v>0</v>
      </c>
      <c r="AZ242" s="1">
        <f>SUM($AT242,$AA242:AD242)-SUM($AV$5:AZ$5)*$J242-SUM($AV$6:AZ$6)*$K242</f>
        <v>0</v>
      </c>
      <c r="BA242" s="1">
        <f>SUM($AT242,$AA242:AE242)-SUM($AV$5:BA$5)*$J242-SUM($AV$6:BA$6)*$K242</f>
        <v>0</v>
      </c>
      <c r="BB242" s="1">
        <f>SUM($AT242,$AA242:AF242)-SUM($AV$5:BB$5)*$J242-SUM($AV$6:BB$6)*$K242</f>
        <v>0</v>
      </c>
      <c r="BC242" s="1">
        <f>SUM($AT242,$AA242:AG242)-SUM($AV$5:BC$5)*$J242-SUM($AV$6:BC$6)*$K242</f>
        <v>0</v>
      </c>
      <c r="BD242" s="1">
        <f>SUM($AT242,$AA242:AH242)-SUM($AV$5:BD$5)*$J242-SUM($AV$6:BD$6)*$K242</f>
        <v>0</v>
      </c>
      <c r="BE242" s="1">
        <f>SUM($AT242,$AA242:AI242)-SUM($AV$5:BE$5)*$J242-SUM($AV$6:BE$6)*$K242</f>
        <v>0</v>
      </c>
      <c r="BF242" s="1">
        <f>SUM($AT242,$AA242:AJ242)-SUM($AV$5:BF$5)*$J242-SUM($AV$6:BF$6)*$K242</f>
        <v>0</v>
      </c>
      <c r="BG242" s="1">
        <f>SUM($AT242,$AA242:AK242)-SUM($AV$5:BG$5)*$J242-SUM($AV$6:BG$6)*$K242</f>
        <v>0</v>
      </c>
      <c r="BH242" s="1">
        <f>SUM($AT242,$AA242:AL242)-SUM($AV$5:BH$5)*$J242-SUM($AV$6:BH$6)*$K242</f>
        <v>0</v>
      </c>
      <c r="BI242" s="1">
        <f>SUM($AT242,$AA242:AM242)-SUM($AV$5:BI$5)*$J242-SUM($AV$6:BI$6)*$K242</f>
        <v>0</v>
      </c>
      <c r="BJ242" s="1">
        <f>SUM($AT242,$AA242:AN242)-SUM($AV$5:BJ$5)*$J242-SUM($AV$6:BJ$6)*$K242</f>
        <v>0</v>
      </c>
      <c r="BK242" s="1">
        <f>SUM($AT242,$AA242:AO242)-SUM($AV$5:BK$5)*$J242-SUM($AV$6:BK$6)*$K242</f>
        <v>0</v>
      </c>
      <c r="BL242" s="1">
        <f>SUM($AT242,$AA242:AP242)-SUM($AV$5:BL$5)*$J242-SUM($AV$6:BL$6)*$K242</f>
        <v>0</v>
      </c>
      <c r="BM242" s="1">
        <f>SUM($AT242,$AA242:AQ242)-SUM($AV$5:BM$5)*$J242-SUM($AV$6:BM$6)*$K242</f>
        <v>0</v>
      </c>
      <c r="BN242" s="1">
        <f>SUM($AT242,$AA242:AR242)-SUM($AV$5:BN$5)*$J242-SUM($AV$6:BN$6)*$K242</f>
        <v>0</v>
      </c>
    </row>
    <row r="243" spans="1:66">
      <c r="A243" s="1">
        <v>251</v>
      </c>
      <c r="B243" s="28" t="s">
        <v>777</v>
      </c>
      <c r="C243" s="1" t="s">
        <v>40</v>
      </c>
      <c r="D243" s="2" t="s">
        <v>778</v>
      </c>
      <c r="E243" s="3" t="s">
        <v>779</v>
      </c>
      <c r="F243" s="1"/>
      <c r="G243" s="1" t="s">
        <v>42</v>
      </c>
      <c r="H243" s="1">
        <v>2</v>
      </c>
      <c r="I243" s="1">
        <v>6</v>
      </c>
      <c r="J243" s="1">
        <v>0</v>
      </c>
      <c r="K243" s="1">
        <v>6</v>
      </c>
      <c r="L243" s="1">
        <v>0</v>
      </c>
      <c r="M243" s="1">
        <f t="shared" si="10"/>
        <v>1656</v>
      </c>
      <c r="N243" s="1">
        <f t="shared" si="11"/>
        <v>1656</v>
      </c>
      <c r="O243" s="2" t="s">
        <v>137</v>
      </c>
      <c r="P243" s="1"/>
      <c r="Q243" s="1">
        <v>7.5</v>
      </c>
      <c r="R243" s="1" t="s">
        <v>44</v>
      </c>
      <c r="S243" s="30" t="s">
        <v>780</v>
      </c>
      <c r="T243" s="31" t="s">
        <v>138</v>
      </c>
      <c r="U243" s="1">
        <v>1</v>
      </c>
      <c r="V243" s="1">
        <v>1</v>
      </c>
      <c r="W243" s="1" t="s">
        <v>139</v>
      </c>
      <c r="X243" s="33" t="s">
        <v>140</v>
      </c>
      <c r="Y243" s="1" t="s">
        <v>141</v>
      </c>
      <c r="Z243" s="2" t="s">
        <v>137</v>
      </c>
      <c r="AA243" s="1"/>
      <c r="AB243" s="1"/>
      <c r="AC243" s="1"/>
      <c r="AD243" s="1"/>
      <c r="AE243" s="1"/>
      <c r="AF243" s="1"/>
      <c r="AG243" s="1"/>
      <c r="AH243" s="1"/>
      <c r="AI243" s="1"/>
      <c r="AJ243" s="1"/>
      <c r="AK243" s="1"/>
      <c r="AL243" s="1"/>
      <c r="AM243" s="1"/>
      <c r="AN243" s="1"/>
      <c r="AO243" s="1"/>
      <c r="AP243" s="1"/>
      <c r="AQ243" s="1"/>
      <c r="AR243" s="1"/>
      <c r="AS243" s="1"/>
      <c r="AT243" s="1"/>
      <c r="AU243" s="1"/>
      <c r="AV243" s="1">
        <f>SUM($AT243,Z243:$AA243)-SUM($AV$5:AV$5)*$J243-SUM($AV$6:AV$6)*$K243</f>
        <v>0</v>
      </c>
      <c r="AW243" s="1">
        <f>SUM($AT243,$AA243:AA243)-SUM($AV$5:AW$5)*$J243-SUM($AV$6:AW$6)*$K243</f>
        <v>0</v>
      </c>
      <c r="AX243" s="1">
        <f>SUM($AT243,$AA243:AB243)-SUM($AV$5:AX$5)*$J243-SUM($AV$6:AX$6)*$K243</f>
        <v>0</v>
      </c>
      <c r="AY243" s="1">
        <f>SUM($AT243,$AA243:AC243)-SUM($AV$5:AY$5)*$J243-SUM($AV$6:AY$6)*$K243</f>
        <v>0</v>
      </c>
      <c r="AZ243" s="1">
        <f>SUM($AT243,$AA243:AD243)-SUM($AV$5:AZ$5)*$J243-SUM($AV$6:AZ$6)*$K243</f>
        <v>-60</v>
      </c>
      <c r="BA243" s="1">
        <f>SUM($AT243,$AA243:AE243)-SUM($AV$5:BA$5)*$J243-SUM($AV$6:BA$6)*$K243</f>
        <v>-180</v>
      </c>
      <c r="BB243" s="1">
        <f>SUM($AT243,$AA243:AF243)-SUM($AV$5:BB$5)*$J243-SUM($AV$6:BB$6)*$K243</f>
        <v>-720</v>
      </c>
      <c r="BC243" s="1">
        <f>SUM($AT243,$AA243:AG243)-SUM($AV$5:BC$5)*$J243-SUM($AV$6:BC$6)*$K243</f>
        <v>-1260</v>
      </c>
      <c r="BD243" s="1">
        <f>SUM($AT243,$AA243:AH243)-SUM($AV$5:BD$5)*$J243-SUM($AV$6:BD$6)*$K243</f>
        <v>-1656</v>
      </c>
      <c r="BE243" s="1">
        <f>SUM($AT243,$AA243:AI243)-SUM($AV$5:BE$5)*$J243-SUM($AV$6:BE$6)*$K243</f>
        <v>-1656</v>
      </c>
      <c r="BF243" s="1">
        <f>SUM($AT243,$AA243:AJ243)-SUM($AV$5:BF$5)*$J243-SUM($AV$6:BF$6)*$K243</f>
        <v>-1656</v>
      </c>
      <c r="BG243" s="1">
        <f>SUM($AT243,$AA243:AK243)-SUM($AV$5:BG$5)*$J243-SUM($AV$6:BG$6)*$K243</f>
        <v>-1656</v>
      </c>
      <c r="BH243" s="1">
        <f>SUM($AT243,$AA243:AL243)-SUM($AV$5:BH$5)*$J243-SUM($AV$6:BH$6)*$K243</f>
        <v>-1656</v>
      </c>
      <c r="BI243" s="1">
        <f>SUM($AT243,$AA243:AM243)-SUM($AV$5:BI$5)*$J243-SUM($AV$6:BI$6)*$K243</f>
        <v>-1656</v>
      </c>
      <c r="BJ243" s="1">
        <f>SUM($AT243,$AA243:AN243)-SUM($AV$5:BJ$5)*$J243-SUM($AV$6:BJ$6)*$K243</f>
        <v>-1656</v>
      </c>
      <c r="BK243" s="1">
        <f>SUM($AT243,$AA243:AO243)-SUM($AV$5:BK$5)*$J243-SUM($AV$6:BK$6)*$K243</f>
        <v>-1656</v>
      </c>
      <c r="BL243" s="1">
        <f>SUM($AT243,$AA243:AP243)-SUM($AV$5:BL$5)*$J243-SUM($AV$6:BL$6)*$K243</f>
        <v>-1656</v>
      </c>
      <c r="BM243" s="1">
        <f>SUM($AT243,$AA243:AQ243)-SUM($AV$5:BM$5)*$J243-SUM($AV$6:BM$6)*$K243</f>
        <v>-1656</v>
      </c>
      <c r="BN243" s="1">
        <f>SUM($AT243,$AA243:AR243)-SUM($AV$5:BN$5)*$J243-SUM($AV$6:BN$6)*$K243</f>
        <v>-1656</v>
      </c>
    </row>
    <row r="244" spans="1:66">
      <c r="A244" s="1">
        <v>273</v>
      </c>
      <c r="B244" s="28" t="s">
        <v>781</v>
      </c>
      <c r="C244" s="1" t="s">
        <v>40</v>
      </c>
      <c r="D244" s="2">
        <v>400028226</v>
      </c>
      <c r="E244" s="3" t="s">
        <v>782</v>
      </c>
      <c r="F244" s="1"/>
      <c r="G244" s="1" t="s">
        <v>42</v>
      </c>
      <c r="H244" s="1">
        <v>2</v>
      </c>
      <c r="I244" s="1">
        <v>1</v>
      </c>
      <c r="J244" s="1">
        <v>1</v>
      </c>
      <c r="K244" s="1">
        <v>0</v>
      </c>
      <c r="L244" s="1">
        <v>0</v>
      </c>
      <c r="M244" s="1">
        <f t="shared" si="10"/>
        <v>582</v>
      </c>
      <c r="N244" s="1">
        <f t="shared" si="11"/>
        <v>582</v>
      </c>
      <c r="O244" s="2" t="s">
        <v>783</v>
      </c>
      <c r="P244" s="1"/>
      <c r="Q244" s="1">
        <v>2.25</v>
      </c>
      <c r="R244" s="1" t="s">
        <v>44</v>
      </c>
      <c r="S244" s="30" t="s">
        <v>264</v>
      </c>
      <c r="T244" s="31" t="s">
        <v>46</v>
      </c>
      <c r="U244" s="1">
        <v>1000</v>
      </c>
      <c r="V244" s="1">
        <v>500</v>
      </c>
      <c r="W244" s="1" t="s">
        <v>784</v>
      </c>
      <c r="X244" s="32" t="s">
        <v>785</v>
      </c>
      <c r="Y244" s="1" t="s">
        <v>786</v>
      </c>
      <c r="Z244" s="2" t="s">
        <v>783</v>
      </c>
      <c r="AA244" s="1"/>
      <c r="AB244" s="1"/>
      <c r="AC244" s="1"/>
      <c r="AD244" s="1"/>
      <c r="AE244" s="1"/>
      <c r="AF244" s="1"/>
      <c r="AG244" s="1"/>
      <c r="AH244" s="1"/>
      <c r="AI244" s="1"/>
      <c r="AJ244" s="1"/>
      <c r="AK244" s="1"/>
      <c r="AL244" s="1"/>
      <c r="AM244" s="1"/>
      <c r="AN244" s="1"/>
      <c r="AO244" s="1"/>
      <c r="AP244" s="1"/>
      <c r="AQ244" s="1"/>
      <c r="AR244" s="1"/>
      <c r="AS244" s="1"/>
      <c r="AT244" s="1"/>
      <c r="AU244" s="1"/>
      <c r="AV244" s="1">
        <f>SUM($AT244,Z244:$AA244)-SUM($AV$5:AV$5)*$J244-SUM($AV$6:AV$6)*$K244</f>
        <v>0</v>
      </c>
      <c r="AW244" s="1">
        <f>SUM($AT244,$AA244:AA244)-SUM($AV$5:AW$5)*$J244-SUM($AV$6:AW$6)*$K244</f>
        <v>0</v>
      </c>
      <c r="AX244" s="1">
        <f>SUM($AT244,$AA244:AB244)-SUM($AV$5:AX$5)*$J244-SUM($AV$6:AX$6)*$K244</f>
        <v>0</v>
      </c>
      <c r="AY244" s="1">
        <f>SUM($AT244,$AA244:AC244)-SUM($AV$5:AY$5)*$J244-SUM($AV$6:AY$6)*$K244</f>
        <v>0</v>
      </c>
      <c r="AZ244" s="1">
        <f>SUM($AT244,$AA244:AD244)-SUM($AV$5:AZ$5)*$J244-SUM($AV$6:AZ$6)*$K244</f>
        <v>-40</v>
      </c>
      <c r="BA244" s="1">
        <f>SUM($AT244,$AA244:AE244)-SUM($AV$5:BA$5)*$J244-SUM($AV$6:BA$6)*$K244</f>
        <v>-80</v>
      </c>
      <c r="BB244" s="1">
        <f>SUM($AT244,$AA244:AF244)-SUM($AV$5:BB$5)*$J244-SUM($AV$6:BB$6)*$K244</f>
        <v>-120</v>
      </c>
      <c r="BC244" s="1">
        <f>SUM($AT244,$AA244:AG244)-SUM($AV$5:BC$5)*$J244-SUM($AV$6:BC$6)*$K244</f>
        <v>-160</v>
      </c>
      <c r="BD244" s="1">
        <f>SUM($AT244,$AA244:AH244)-SUM($AV$5:BD$5)*$J244-SUM($AV$6:BD$6)*$K244</f>
        <v>-200</v>
      </c>
      <c r="BE244" s="1">
        <f>SUM($AT244,$AA244:AI244)-SUM($AV$5:BE$5)*$J244-SUM($AV$6:BE$6)*$K244</f>
        <v>-240</v>
      </c>
      <c r="BF244" s="1">
        <f>SUM($AT244,$AA244:AJ244)-SUM($AV$5:BF$5)*$J244-SUM($AV$6:BF$6)*$K244</f>
        <v>-280</v>
      </c>
      <c r="BG244" s="1">
        <f>SUM($AT244,$AA244:AK244)-SUM($AV$5:BG$5)*$J244-SUM($AV$6:BG$6)*$K244</f>
        <v>-320</v>
      </c>
      <c r="BH244" s="1">
        <f>SUM($AT244,$AA244:AL244)-SUM($AV$5:BH$5)*$J244-SUM($AV$6:BH$6)*$K244</f>
        <v>-360</v>
      </c>
      <c r="BI244" s="1">
        <f>SUM($AT244,$AA244:AM244)-SUM($AV$5:BI$5)*$J244-SUM($AV$6:BI$6)*$K244</f>
        <v>-400</v>
      </c>
      <c r="BJ244" s="1">
        <f>SUM($AT244,$AA244:AN244)-SUM($AV$5:BJ$5)*$J244-SUM($AV$6:BJ$6)*$K244</f>
        <v>-440</v>
      </c>
      <c r="BK244" s="1">
        <f>SUM($AT244,$AA244:AO244)-SUM($AV$5:BK$5)*$J244-SUM($AV$6:BK$6)*$K244</f>
        <v>-480</v>
      </c>
      <c r="BL244" s="1">
        <f>SUM($AT244,$AA244:AP244)-SUM($AV$5:BL$5)*$J244-SUM($AV$6:BL$6)*$K244</f>
        <v>-520</v>
      </c>
      <c r="BM244" s="1">
        <f>SUM($AT244,$AA244:AQ244)-SUM($AV$5:BM$5)*$J244-SUM($AV$6:BM$6)*$K244</f>
        <v>-560</v>
      </c>
      <c r="BN244" s="1">
        <f>SUM($AT244,$AA244:AR244)-SUM($AV$5:BN$5)*$J244-SUM($AV$6:BN$6)*$K244</f>
        <v>-582</v>
      </c>
    </row>
    <row r="245" spans="1:66">
      <c r="A245" s="1">
        <v>274</v>
      </c>
      <c r="B245" s="28" t="s">
        <v>787</v>
      </c>
      <c r="C245" s="1" t="s">
        <v>40</v>
      </c>
      <c r="D245" s="2">
        <v>400095749</v>
      </c>
      <c r="E245" s="3" t="s">
        <v>385</v>
      </c>
      <c r="F245" s="1"/>
      <c r="G245" s="1" t="s">
        <v>42</v>
      </c>
      <c r="H245" s="1">
        <v>2</v>
      </c>
      <c r="I245" s="1">
        <v>13</v>
      </c>
      <c r="J245" s="1">
        <v>13</v>
      </c>
      <c r="K245" s="1">
        <v>0</v>
      </c>
      <c r="L245" s="1">
        <v>0</v>
      </c>
      <c r="M245" s="1">
        <f t="shared" si="10"/>
        <v>7566</v>
      </c>
      <c r="N245" s="1">
        <f t="shared" si="11"/>
        <v>7566</v>
      </c>
      <c r="O245" s="2" t="s">
        <v>788</v>
      </c>
      <c r="P245" s="1"/>
      <c r="Q245" s="1">
        <v>5.0999999999999997E-2</v>
      </c>
      <c r="R245" s="1" t="s">
        <v>44</v>
      </c>
      <c r="S245" s="30" t="s">
        <v>789</v>
      </c>
      <c r="T245" s="31" t="s">
        <v>417</v>
      </c>
      <c r="U245" s="1"/>
      <c r="V245" s="1">
        <v>3000</v>
      </c>
      <c r="W245" s="1" t="s">
        <v>418</v>
      </c>
      <c r="X245" s="32" t="s">
        <v>419</v>
      </c>
      <c r="Y245" s="1" t="s">
        <v>420</v>
      </c>
      <c r="Z245" s="2" t="s">
        <v>788</v>
      </c>
      <c r="AA245" s="1"/>
      <c r="AB245" s="1"/>
      <c r="AC245" s="1"/>
      <c r="AD245" s="1"/>
      <c r="AE245" s="1"/>
      <c r="AF245" s="1"/>
      <c r="AG245" s="1"/>
      <c r="AH245" s="1"/>
      <c r="AI245" s="1"/>
      <c r="AJ245" s="1"/>
      <c r="AK245" s="1"/>
      <c r="AL245" s="1"/>
      <c r="AM245" s="1"/>
      <c r="AN245" s="1"/>
      <c r="AO245" s="1"/>
      <c r="AP245" s="1"/>
      <c r="AQ245" s="1"/>
      <c r="AR245" s="1"/>
      <c r="AS245" s="1"/>
      <c r="AT245" s="1"/>
      <c r="AU245" s="1"/>
      <c r="AV245" s="1">
        <f>SUM($AT245,Z245:$AA245)-SUM($AV$5:AV$5)*$J245-SUM($AV$6:AV$6)*$K245</f>
        <v>0</v>
      </c>
      <c r="AW245" s="1">
        <f>SUM($AT245,$AA245:AA245)-SUM($AV$5:AW$5)*$J245-SUM($AV$6:AW$6)*$K245</f>
        <v>0</v>
      </c>
      <c r="AX245" s="1">
        <f>SUM($AT245,$AA245:AB245)-SUM($AV$5:AX$5)*$J245-SUM($AV$6:AX$6)*$K245</f>
        <v>0</v>
      </c>
      <c r="AY245" s="1">
        <f>SUM($AT245,$AA245:AC245)-SUM($AV$5:AY$5)*$J245-SUM($AV$6:AY$6)*$K245</f>
        <v>0</v>
      </c>
      <c r="AZ245" s="1">
        <f>SUM($AT245,$AA245:AD245)-SUM($AV$5:AZ$5)*$J245-SUM($AV$6:AZ$6)*$K245</f>
        <v>-520</v>
      </c>
      <c r="BA245" s="1">
        <f>SUM($AT245,$AA245:AE245)-SUM($AV$5:BA$5)*$J245-SUM($AV$6:BA$6)*$K245</f>
        <v>-1040</v>
      </c>
      <c r="BB245" s="1">
        <f>SUM($AT245,$AA245:AF245)-SUM($AV$5:BB$5)*$J245-SUM($AV$6:BB$6)*$K245</f>
        <v>-1560</v>
      </c>
      <c r="BC245" s="1">
        <f>SUM($AT245,$AA245:AG245)-SUM($AV$5:BC$5)*$J245-SUM($AV$6:BC$6)*$K245</f>
        <v>-2080</v>
      </c>
      <c r="BD245" s="1">
        <f>SUM($AT245,$AA245:AH245)-SUM($AV$5:BD$5)*$J245-SUM($AV$6:BD$6)*$K245</f>
        <v>-2600</v>
      </c>
      <c r="BE245" s="1">
        <f>SUM($AT245,$AA245:AI245)-SUM($AV$5:BE$5)*$J245-SUM($AV$6:BE$6)*$K245</f>
        <v>-3120</v>
      </c>
      <c r="BF245" s="1">
        <f>SUM($AT245,$AA245:AJ245)-SUM($AV$5:BF$5)*$J245-SUM($AV$6:BF$6)*$K245</f>
        <v>-3640</v>
      </c>
      <c r="BG245" s="1">
        <f>SUM($AT245,$AA245:AK245)-SUM($AV$5:BG$5)*$J245-SUM($AV$6:BG$6)*$K245</f>
        <v>-4160</v>
      </c>
      <c r="BH245" s="1">
        <f>SUM($AT245,$AA245:AL245)-SUM($AV$5:BH$5)*$J245-SUM($AV$6:BH$6)*$K245</f>
        <v>-4680</v>
      </c>
      <c r="BI245" s="1">
        <f>SUM($AT245,$AA245:AM245)-SUM($AV$5:BI$5)*$J245-SUM($AV$6:BI$6)*$K245</f>
        <v>-5200</v>
      </c>
      <c r="BJ245" s="1">
        <f>SUM($AT245,$AA245:AN245)-SUM($AV$5:BJ$5)*$J245-SUM($AV$6:BJ$6)*$K245</f>
        <v>-5720</v>
      </c>
      <c r="BK245" s="1">
        <f>SUM($AT245,$AA245:AO245)-SUM($AV$5:BK$5)*$J245-SUM($AV$6:BK$6)*$K245</f>
        <v>-6240</v>
      </c>
      <c r="BL245" s="1">
        <f>SUM($AT245,$AA245:AP245)-SUM($AV$5:BL$5)*$J245-SUM($AV$6:BL$6)*$K245</f>
        <v>-6760</v>
      </c>
      <c r="BM245" s="1">
        <f>SUM($AT245,$AA245:AQ245)-SUM($AV$5:BM$5)*$J245-SUM($AV$6:BM$6)*$K245</f>
        <v>-7280</v>
      </c>
      <c r="BN245" s="1">
        <f>SUM($AT245,$AA245:AR245)-SUM($AV$5:BN$5)*$J245-SUM($AV$6:BN$6)*$K245</f>
        <v>-7566</v>
      </c>
    </row>
    <row r="246" spans="1:66">
      <c r="A246" s="1">
        <v>275</v>
      </c>
      <c r="B246" s="28" t="s">
        <v>790</v>
      </c>
      <c r="C246" s="1" t="s">
        <v>40</v>
      </c>
      <c r="D246" s="2">
        <v>406156690</v>
      </c>
      <c r="E246" s="3" t="s">
        <v>791</v>
      </c>
      <c r="F246" s="1"/>
      <c r="G246" s="1" t="s">
        <v>42</v>
      </c>
      <c r="H246" s="1">
        <v>1</v>
      </c>
      <c r="I246" s="1">
        <v>2</v>
      </c>
      <c r="J246" s="1">
        <v>2</v>
      </c>
      <c r="K246" s="1">
        <v>0</v>
      </c>
      <c r="L246" s="1">
        <v>0</v>
      </c>
      <c r="M246" s="1">
        <f t="shared" si="10"/>
        <v>1164</v>
      </c>
      <c r="N246" s="1">
        <f t="shared" si="11"/>
        <v>1164</v>
      </c>
      <c r="O246" s="2" t="s">
        <v>323</v>
      </c>
      <c r="P246" s="1"/>
      <c r="Q246" s="1">
        <v>5.91</v>
      </c>
      <c r="R246" s="1" t="s">
        <v>44</v>
      </c>
      <c r="S246" s="30" t="s">
        <v>324</v>
      </c>
      <c r="T246" s="31" t="s">
        <v>323</v>
      </c>
      <c r="U246" s="1">
        <v>500</v>
      </c>
      <c r="V246" s="1">
        <v>1</v>
      </c>
      <c r="W246" s="1" t="s">
        <v>325</v>
      </c>
      <c r="X246" s="32" t="s">
        <v>326</v>
      </c>
      <c r="Y246" s="1" t="s">
        <v>327</v>
      </c>
      <c r="Z246" s="2" t="s">
        <v>323</v>
      </c>
      <c r="AA246" s="1"/>
      <c r="AB246" s="1"/>
      <c r="AC246" s="1"/>
      <c r="AD246" s="1"/>
      <c r="AE246" s="1"/>
      <c r="AF246" s="1"/>
      <c r="AG246" s="1"/>
      <c r="AH246" s="1"/>
      <c r="AI246" s="1"/>
      <c r="AJ246" s="1"/>
      <c r="AK246" s="1"/>
      <c r="AL246" s="1"/>
      <c r="AM246" s="1"/>
      <c r="AN246" s="1"/>
      <c r="AO246" s="1"/>
      <c r="AP246" s="1"/>
      <c r="AQ246" s="1"/>
      <c r="AR246" s="1"/>
      <c r="AS246" s="1"/>
      <c r="AT246" s="1"/>
      <c r="AU246" s="1"/>
      <c r="AV246" s="1">
        <f>SUM($AT246,Z246:$AA246)-SUM($AV$5:AV$5)*$J246-SUM($AV$6:AV$6)*$K246</f>
        <v>0</v>
      </c>
      <c r="AW246" s="1">
        <f>SUM($AT246,$AA246:AA246)-SUM($AV$5:AW$5)*$J246-SUM($AV$6:AW$6)*$K246</f>
        <v>0</v>
      </c>
      <c r="AX246" s="1">
        <f>SUM($AT246,$AA246:AB246)-SUM($AV$5:AX$5)*$J246-SUM($AV$6:AX$6)*$K246</f>
        <v>0</v>
      </c>
      <c r="AY246" s="1">
        <f>SUM($AT246,$AA246:AC246)-SUM($AV$5:AY$5)*$J246-SUM($AV$6:AY$6)*$K246</f>
        <v>0</v>
      </c>
      <c r="AZ246" s="1">
        <f>SUM($AT246,$AA246:AD246)-SUM($AV$5:AZ$5)*$J246-SUM($AV$6:AZ$6)*$K246</f>
        <v>-80</v>
      </c>
      <c r="BA246" s="1">
        <f>SUM($AT246,$AA246:AE246)-SUM($AV$5:BA$5)*$J246-SUM($AV$6:BA$6)*$K246</f>
        <v>-160</v>
      </c>
      <c r="BB246" s="1">
        <f>SUM($AT246,$AA246:AF246)-SUM($AV$5:BB$5)*$J246-SUM($AV$6:BB$6)*$K246</f>
        <v>-240</v>
      </c>
      <c r="BC246" s="1">
        <f>SUM($AT246,$AA246:AG246)-SUM($AV$5:BC$5)*$J246-SUM($AV$6:BC$6)*$K246</f>
        <v>-320</v>
      </c>
      <c r="BD246" s="1">
        <f>SUM($AT246,$AA246:AH246)-SUM($AV$5:BD$5)*$J246-SUM($AV$6:BD$6)*$K246</f>
        <v>-400</v>
      </c>
      <c r="BE246" s="1">
        <f>SUM($AT246,$AA246:AI246)-SUM($AV$5:BE$5)*$J246-SUM($AV$6:BE$6)*$K246</f>
        <v>-480</v>
      </c>
      <c r="BF246" s="1">
        <f>SUM($AT246,$AA246:AJ246)-SUM($AV$5:BF$5)*$J246-SUM($AV$6:BF$6)*$K246</f>
        <v>-560</v>
      </c>
      <c r="BG246" s="1">
        <f>SUM($AT246,$AA246:AK246)-SUM($AV$5:BG$5)*$J246-SUM($AV$6:BG$6)*$K246</f>
        <v>-640</v>
      </c>
      <c r="BH246" s="1">
        <f>SUM($AT246,$AA246:AL246)-SUM($AV$5:BH$5)*$J246-SUM($AV$6:BH$6)*$K246</f>
        <v>-720</v>
      </c>
      <c r="BI246" s="1">
        <f>SUM($AT246,$AA246:AM246)-SUM($AV$5:BI$5)*$J246-SUM($AV$6:BI$6)*$K246</f>
        <v>-800</v>
      </c>
      <c r="BJ246" s="1">
        <f>SUM($AT246,$AA246:AN246)-SUM($AV$5:BJ$5)*$J246-SUM($AV$6:BJ$6)*$K246</f>
        <v>-880</v>
      </c>
      <c r="BK246" s="1">
        <f>SUM($AT246,$AA246:AO246)-SUM($AV$5:BK$5)*$J246-SUM($AV$6:BK$6)*$K246</f>
        <v>-960</v>
      </c>
      <c r="BL246" s="1">
        <f>SUM($AT246,$AA246:AP246)-SUM($AV$5:BL$5)*$J246-SUM($AV$6:BL$6)*$K246</f>
        <v>-1040</v>
      </c>
      <c r="BM246" s="1">
        <f>SUM($AT246,$AA246:AQ246)-SUM($AV$5:BM$5)*$J246-SUM($AV$6:BM$6)*$K246</f>
        <v>-1120</v>
      </c>
      <c r="BN246" s="1">
        <f>SUM($AT246,$AA246:AR246)-SUM($AV$5:BN$5)*$J246-SUM($AV$6:BN$6)*$K246</f>
        <v>-1164</v>
      </c>
    </row>
    <row r="247" spans="1:66">
      <c r="A247" s="1">
        <v>278</v>
      </c>
      <c r="B247" s="45" t="s">
        <v>792</v>
      </c>
      <c r="C247" s="1" t="s">
        <v>40</v>
      </c>
      <c r="D247" s="2">
        <v>405802973</v>
      </c>
      <c r="E247" s="3" t="s">
        <v>793</v>
      </c>
      <c r="F247" s="1"/>
      <c r="G247" s="1" t="s">
        <v>42</v>
      </c>
      <c r="H247" s="1">
        <v>2</v>
      </c>
      <c r="I247" s="1">
        <v>1</v>
      </c>
      <c r="J247" s="1">
        <v>1</v>
      </c>
      <c r="K247" s="1">
        <v>0</v>
      </c>
      <c r="L247" s="1">
        <v>0</v>
      </c>
      <c r="M247" s="1">
        <f t="shared" si="10"/>
        <v>582</v>
      </c>
      <c r="N247" s="1">
        <f t="shared" si="11"/>
        <v>582</v>
      </c>
      <c r="O247" s="2" t="s">
        <v>323</v>
      </c>
      <c r="P247" s="1"/>
      <c r="Q247" s="1">
        <v>15.07</v>
      </c>
      <c r="R247" s="1" t="s">
        <v>44</v>
      </c>
      <c r="S247" s="30" t="s">
        <v>794</v>
      </c>
      <c r="T247" s="31" t="s">
        <v>323</v>
      </c>
      <c r="U247" s="1"/>
      <c r="V247" s="1">
        <v>500</v>
      </c>
      <c r="W247" s="1" t="s">
        <v>325</v>
      </c>
      <c r="X247" s="32" t="s">
        <v>326</v>
      </c>
      <c r="Y247" s="1" t="s">
        <v>327</v>
      </c>
      <c r="Z247" s="2" t="s">
        <v>323</v>
      </c>
      <c r="AA247" s="1"/>
      <c r="AB247" s="1"/>
      <c r="AC247" s="1"/>
      <c r="AD247" s="1"/>
      <c r="AE247" s="1"/>
      <c r="AF247" s="1"/>
      <c r="AG247" s="1"/>
      <c r="AH247" s="1"/>
      <c r="AI247" s="1"/>
      <c r="AJ247" s="1"/>
      <c r="AK247" s="1"/>
      <c r="AL247" s="1"/>
      <c r="AM247" s="1"/>
      <c r="AN247" s="1"/>
      <c r="AO247" s="1"/>
      <c r="AP247" s="1"/>
      <c r="AQ247" s="1"/>
      <c r="AR247" s="1"/>
      <c r="AS247" s="1"/>
      <c r="AT247" s="1"/>
      <c r="AU247" s="1"/>
      <c r="AV247" s="1">
        <f>SUM($AT247,Z247:$AA247)-SUM($AV$5:AV$5)*$J247-SUM($AV$6:AV$6)*$K247</f>
        <v>0</v>
      </c>
      <c r="AW247" s="1">
        <f>SUM($AT247,$AA247:AA247)-SUM($AV$5:AW$5)*$J247-SUM($AV$6:AW$6)*$K247</f>
        <v>0</v>
      </c>
      <c r="AX247" s="1">
        <f>SUM($AT247,$AA247:AB247)-SUM($AV$5:AX$5)*$J247-SUM($AV$6:AX$6)*$K247</f>
        <v>0</v>
      </c>
      <c r="AY247" s="1">
        <f>SUM($AT247,$AA247:AC247)-SUM($AV$5:AY$5)*$J247-SUM($AV$6:AY$6)*$K247</f>
        <v>0</v>
      </c>
      <c r="AZ247" s="1">
        <f>SUM($AT247,$AA247:AD247)-SUM($AV$5:AZ$5)*$J247-SUM($AV$6:AZ$6)*$K247</f>
        <v>-40</v>
      </c>
      <c r="BA247" s="1">
        <f>SUM($AT247,$AA247:AE247)-SUM($AV$5:BA$5)*$J247-SUM($AV$6:BA$6)*$K247</f>
        <v>-80</v>
      </c>
      <c r="BB247" s="1">
        <f>SUM($AT247,$AA247:AF247)-SUM($AV$5:BB$5)*$J247-SUM($AV$6:BB$6)*$K247</f>
        <v>-120</v>
      </c>
      <c r="BC247" s="1">
        <f>SUM($AT247,$AA247:AG247)-SUM($AV$5:BC$5)*$J247-SUM($AV$6:BC$6)*$K247</f>
        <v>-160</v>
      </c>
      <c r="BD247" s="1">
        <f>SUM($AT247,$AA247:AH247)-SUM($AV$5:BD$5)*$J247-SUM($AV$6:BD$6)*$K247</f>
        <v>-200</v>
      </c>
      <c r="BE247" s="1">
        <f>SUM($AT247,$AA247:AI247)-SUM($AV$5:BE$5)*$J247-SUM($AV$6:BE$6)*$K247</f>
        <v>-240</v>
      </c>
      <c r="BF247" s="1">
        <f>SUM($AT247,$AA247:AJ247)-SUM($AV$5:BF$5)*$J247-SUM($AV$6:BF$6)*$K247</f>
        <v>-280</v>
      </c>
      <c r="BG247" s="1">
        <f>SUM($AT247,$AA247:AK247)-SUM($AV$5:BG$5)*$J247-SUM($AV$6:BG$6)*$K247</f>
        <v>-320</v>
      </c>
      <c r="BH247" s="1">
        <f>SUM($AT247,$AA247:AL247)-SUM($AV$5:BH$5)*$J247-SUM($AV$6:BH$6)*$K247</f>
        <v>-360</v>
      </c>
      <c r="BI247" s="1">
        <f>SUM($AT247,$AA247:AM247)-SUM($AV$5:BI$5)*$J247-SUM($AV$6:BI$6)*$K247</f>
        <v>-400</v>
      </c>
      <c r="BJ247" s="1">
        <f>SUM($AT247,$AA247:AN247)-SUM($AV$5:BJ$5)*$J247-SUM($AV$6:BJ$6)*$K247</f>
        <v>-440</v>
      </c>
      <c r="BK247" s="1">
        <f>SUM($AT247,$AA247:AO247)-SUM($AV$5:BK$5)*$J247-SUM($AV$6:BK$6)*$K247</f>
        <v>-480</v>
      </c>
      <c r="BL247" s="1">
        <f>SUM($AT247,$AA247:AP247)-SUM($AV$5:BL$5)*$J247-SUM($AV$6:BL$6)*$K247</f>
        <v>-520</v>
      </c>
      <c r="BM247" s="1">
        <f>SUM($AT247,$AA247:AQ247)-SUM($AV$5:BM$5)*$J247-SUM($AV$6:BM$6)*$K247</f>
        <v>-560</v>
      </c>
      <c r="BN247" s="1">
        <f>SUM($AT247,$AA247:AR247)-SUM($AV$5:BN$5)*$J247-SUM($AV$6:BN$6)*$K247</f>
        <v>-582</v>
      </c>
    </row>
    <row r="248" spans="1:66">
      <c r="A248" s="1">
        <v>279</v>
      </c>
      <c r="B248" s="28" t="s">
        <v>795</v>
      </c>
      <c r="C248" s="1" t="s">
        <v>40</v>
      </c>
      <c r="D248" s="2">
        <v>400490584</v>
      </c>
      <c r="E248" s="3" t="s">
        <v>796</v>
      </c>
      <c r="F248" s="1"/>
      <c r="G248" s="1" t="s">
        <v>42</v>
      </c>
      <c r="H248" s="1">
        <v>1</v>
      </c>
      <c r="I248" s="1">
        <v>1</v>
      </c>
      <c r="J248" s="1">
        <v>1</v>
      </c>
      <c r="K248" s="1">
        <v>0</v>
      </c>
      <c r="L248" s="1">
        <v>0</v>
      </c>
      <c r="M248" s="1">
        <f t="shared" si="10"/>
        <v>582</v>
      </c>
      <c r="N248" s="1">
        <f t="shared" si="11"/>
        <v>582</v>
      </c>
      <c r="O248" s="2" t="s">
        <v>323</v>
      </c>
      <c r="P248" s="1"/>
      <c r="Q248" s="1">
        <v>4.88</v>
      </c>
      <c r="R248" s="1" t="s">
        <v>44</v>
      </c>
      <c r="S248" s="30" t="s">
        <v>324</v>
      </c>
      <c r="T248" s="31" t="s">
        <v>323</v>
      </c>
      <c r="U248" s="1"/>
      <c r="V248" s="1">
        <v>150</v>
      </c>
      <c r="W248" s="1" t="s">
        <v>325</v>
      </c>
      <c r="X248" s="32" t="s">
        <v>326</v>
      </c>
      <c r="Y248" s="1" t="s">
        <v>327</v>
      </c>
      <c r="Z248" s="2" t="s">
        <v>323</v>
      </c>
      <c r="AA248" s="1"/>
      <c r="AB248" s="1"/>
      <c r="AC248" s="1"/>
      <c r="AD248" s="1"/>
      <c r="AE248" s="1"/>
      <c r="AF248" s="1"/>
      <c r="AG248" s="1"/>
      <c r="AH248" s="1"/>
      <c r="AI248" s="1"/>
      <c r="AJ248" s="1"/>
      <c r="AK248" s="1"/>
      <c r="AL248" s="1"/>
      <c r="AM248" s="1"/>
      <c r="AN248" s="1"/>
      <c r="AO248" s="1"/>
      <c r="AP248" s="1"/>
      <c r="AQ248" s="1"/>
      <c r="AR248" s="1"/>
      <c r="AS248" s="1"/>
      <c r="AT248" s="1"/>
      <c r="AU248" s="1"/>
      <c r="AV248" s="1">
        <f>SUM($AT248,Z248:$AA248)-SUM($AV$5:AV$5)*$J248-SUM($AV$6:AV$6)*$K248</f>
        <v>0</v>
      </c>
      <c r="AW248" s="1">
        <f>SUM($AT248,$AA248:AA248)-SUM($AV$5:AW$5)*$J248-SUM($AV$6:AW$6)*$K248</f>
        <v>0</v>
      </c>
      <c r="AX248" s="1">
        <f>SUM($AT248,$AA248:AB248)-SUM($AV$5:AX$5)*$J248-SUM($AV$6:AX$6)*$K248</f>
        <v>0</v>
      </c>
      <c r="AY248" s="1">
        <f>SUM($AT248,$AA248:AC248)-SUM($AV$5:AY$5)*$J248-SUM($AV$6:AY$6)*$K248</f>
        <v>0</v>
      </c>
      <c r="AZ248" s="1">
        <f>SUM($AT248,$AA248:AD248)-SUM($AV$5:AZ$5)*$J248-SUM($AV$6:AZ$6)*$K248</f>
        <v>-40</v>
      </c>
      <c r="BA248" s="1">
        <f>SUM($AT248,$AA248:AE248)-SUM($AV$5:BA$5)*$J248-SUM($AV$6:BA$6)*$K248</f>
        <v>-80</v>
      </c>
      <c r="BB248" s="1">
        <f>SUM($AT248,$AA248:AF248)-SUM($AV$5:BB$5)*$J248-SUM($AV$6:BB$6)*$K248</f>
        <v>-120</v>
      </c>
      <c r="BC248" s="1">
        <f>SUM($AT248,$AA248:AG248)-SUM($AV$5:BC$5)*$J248-SUM($AV$6:BC$6)*$K248</f>
        <v>-160</v>
      </c>
      <c r="BD248" s="1">
        <f>SUM($AT248,$AA248:AH248)-SUM($AV$5:BD$5)*$J248-SUM($AV$6:BD$6)*$K248</f>
        <v>-200</v>
      </c>
      <c r="BE248" s="1">
        <f>SUM($AT248,$AA248:AI248)-SUM($AV$5:BE$5)*$J248-SUM($AV$6:BE$6)*$K248</f>
        <v>-240</v>
      </c>
      <c r="BF248" s="1">
        <f>SUM($AT248,$AA248:AJ248)-SUM($AV$5:BF$5)*$J248-SUM($AV$6:BF$6)*$K248</f>
        <v>-280</v>
      </c>
      <c r="BG248" s="1">
        <f>SUM($AT248,$AA248:AK248)-SUM($AV$5:BG$5)*$J248-SUM($AV$6:BG$6)*$K248</f>
        <v>-320</v>
      </c>
      <c r="BH248" s="1">
        <f>SUM($AT248,$AA248:AL248)-SUM($AV$5:BH$5)*$J248-SUM($AV$6:BH$6)*$K248</f>
        <v>-360</v>
      </c>
      <c r="BI248" s="1">
        <f>SUM($AT248,$AA248:AM248)-SUM($AV$5:BI$5)*$J248-SUM($AV$6:BI$6)*$K248</f>
        <v>-400</v>
      </c>
      <c r="BJ248" s="1">
        <f>SUM($AT248,$AA248:AN248)-SUM($AV$5:BJ$5)*$J248-SUM($AV$6:BJ$6)*$K248</f>
        <v>-440</v>
      </c>
      <c r="BK248" s="1">
        <f>SUM($AT248,$AA248:AO248)-SUM($AV$5:BK$5)*$J248-SUM($AV$6:BK$6)*$K248</f>
        <v>-480</v>
      </c>
      <c r="BL248" s="1">
        <f>SUM($AT248,$AA248:AP248)-SUM($AV$5:BL$5)*$J248-SUM($AV$6:BL$6)*$K248</f>
        <v>-520</v>
      </c>
      <c r="BM248" s="1">
        <f>SUM($AT248,$AA248:AQ248)-SUM($AV$5:BM$5)*$J248-SUM($AV$6:BM$6)*$K248</f>
        <v>-560</v>
      </c>
      <c r="BN248" s="1">
        <f>SUM($AT248,$AA248:AR248)-SUM($AV$5:BN$5)*$J248-SUM($AV$6:BN$6)*$K248</f>
        <v>-582</v>
      </c>
    </row>
    <row r="249" spans="1:66">
      <c r="A249" s="1">
        <v>288</v>
      </c>
      <c r="B249" s="28" t="s">
        <v>797</v>
      </c>
      <c r="C249" s="1" t="s">
        <v>40</v>
      </c>
      <c r="D249" s="2">
        <v>400524033</v>
      </c>
      <c r="E249" s="3" t="s">
        <v>798</v>
      </c>
      <c r="F249" s="1"/>
      <c r="G249" s="1" t="s">
        <v>42</v>
      </c>
      <c r="H249" s="1">
        <v>2</v>
      </c>
      <c r="I249" s="1">
        <v>13</v>
      </c>
      <c r="J249" s="1">
        <v>13</v>
      </c>
      <c r="K249" s="1">
        <v>0</v>
      </c>
      <c r="L249" s="1">
        <v>0</v>
      </c>
      <c r="M249" s="1">
        <f t="shared" si="10"/>
        <v>7566</v>
      </c>
      <c r="N249" s="1">
        <f t="shared" si="11"/>
        <v>7566</v>
      </c>
      <c r="O249" s="2" t="s">
        <v>799</v>
      </c>
      <c r="P249" s="1"/>
      <c r="Q249" s="1">
        <v>0.108</v>
      </c>
      <c r="R249" s="1" t="s">
        <v>44</v>
      </c>
      <c r="S249" s="30" t="s">
        <v>8</v>
      </c>
      <c r="T249" s="31" t="s">
        <v>273</v>
      </c>
      <c r="U249" s="1"/>
      <c r="V249" s="1">
        <v>3000</v>
      </c>
      <c r="W249" s="1" t="s">
        <v>274</v>
      </c>
      <c r="X249" s="32" t="s">
        <v>275</v>
      </c>
      <c r="Y249" s="1" t="s">
        <v>276</v>
      </c>
      <c r="Z249" s="2" t="s">
        <v>799</v>
      </c>
      <c r="AA249" s="1"/>
      <c r="AB249" s="1"/>
      <c r="AC249" s="1"/>
      <c r="AD249" s="1"/>
      <c r="AE249" s="1"/>
      <c r="AF249" s="1"/>
      <c r="AG249" s="1"/>
      <c r="AH249" s="1"/>
      <c r="AI249" s="1"/>
      <c r="AJ249" s="1"/>
      <c r="AK249" s="1"/>
      <c r="AL249" s="1"/>
      <c r="AM249" s="1"/>
      <c r="AN249" s="1"/>
      <c r="AO249" s="1"/>
      <c r="AP249" s="1"/>
      <c r="AQ249" s="1"/>
      <c r="AR249" s="1"/>
      <c r="AS249" s="1"/>
      <c r="AT249" s="1"/>
      <c r="AU249" s="1"/>
      <c r="AV249" s="1">
        <f>SUM($AT249,Z249:$AA249)-SUM($AV$5:AV$5)*$J249-SUM($AV$6:AV$6)*$K249</f>
        <v>0</v>
      </c>
      <c r="AW249" s="1">
        <f>SUM($AT249,$AA249:AA249)-SUM($AV$5:AW$5)*$J249-SUM($AV$6:AW$6)*$K249</f>
        <v>0</v>
      </c>
      <c r="AX249" s="1">
        <f>SUM($AT249,$AA249:AB249)-SUM($AV$5:AX$5)*$J249-SUM($AV$6:AX$6)*$K249</f>
        <v>0</v>
      </c>
      <c r="AY249" s="1">
        <f>SUM($AT249,$AA249:AC249)-SUM($AV$5:AY$5)*$J249-SUM($AV$6:AY$6)*$K249</f>
        <v>0</v>
      </c>
      <c r="AZ249" s="1">
        <f>SUM($AT249,$AA249:AD249)-SUM($AV$5:AZ$5)*$J249-SUM($AV$6:AZ$6)*$K249</f>
        <v>-520</v>
      </c>
      <c r="BA249" s="1">
        <f>SUM($AT249,$AA249:AE249)-SUM($AV$5:BA$5)*$J249-SUM($AV$6:BA$6)*$K249</f>
        <v>-1040</v>
      </c>
      <c r="BB249" s="1">
        <f>SUM($AT249,$AA249:AF249)-SUM($AV$5:BB$5)*$J249-SUM($AV$6:BB$6)*$K249</f>
        <v>-1560</v>
      </c>
      <c r="BC249" s="1">
        <f>SUM($AT249,$AA249:AG249)-SUM($AV$5:BC$5)*$J249-SUM($AV$6:BC$6)*$K249</f>
        <v>-2080</v>
      </c>
      <c r="BD249" s="1">
        <f>SUM($AT249,$AA249:AH249)-SUM($AV$5:BD$5)*$J249-SUM($AV$6:BD$6)*$K249</f>
        <v>-2600</v>
      </c>
      <c r="BE249" s="1">
        <f>SUM($AT249,$AA249:AI249)-SUM($AV$5:BE$5)*$J249-SUM($AV$6:BE$6)*$K249</f>
        <v>-3120</v>
      </c>
      <c r="BF249" s="1">
        <f>SUM($AT249,$AA249:AJ249)-SUM($AV$5:BF$5)*$J249-SUM($AV$6:BF$6)*$K249</f>
        <v>-3640</v>
      </c>
      <c r="BG249" s="1">
        <f>SUM($AT249,$AA249:AK249)-SUM($AV$5:BG$5)*$J249-SUM($AV$6:BG$6)*$K249</f>
        <v>-4160</v>
      </c>
      <c r="BH249" s="1">
        <f>SUM($AT249,$AA249:AL249)-SUM($AV$5:BH$5)*$J249-SUM($AV$6:BH$6)*$K249</f>
        <v>-4680</v>
      </c>
      <c r="BI249" s="1">
        <f>SUM($AT249,$AA249:AM249)-SUM($AV$5:BI$5)*$J249-SUM($AV$6:BI$6)*$K249</f>
        <v>-5200</v>
      </c>
      <c r="BJ249" s="1">
        <f>SUM($AT249,$AA249:AN249)-SUM($AV$5:BJ$5)*$J249-SUM($AV$6:BJ$6)*$K249</f>
        <v>-5720</v>
      </c>
      <c r="BK249" s="1">
        <f>SUM($AT249,$AA249:AO249)-SUM($AV$5:BK$5)*$J249-SUM($AV$6:BK$6)*$K249</f>
        <v>-6240</v>
      </c>
      <c r="BL249" s="1">
        <f>SUM($AT249,$AA249:AP249)-SUM($AV$5:BL$5)*$J249-SUM($AV$6:BL$6)*$K249</f>
        <v>-6760</v>
      </c>
      <c r="BM249" s="1">
        <f>SUM($AT249,$AA249:AQ249)-SUM($AV$5:BM$5)*$J249-SUM($AV$6:BM$6)*$K249</f>
        <v>-7280</v>
      </c>
      <c r="BN249" s="1">
        <f>SUM($AT249,$AA249:AR249)-SUM($AV$5:BN$5)*$J249-SUM($AV$6:BN$6)*$K249</f>
        <v>-7566</v>
      </c>
    </row>
    <row r="250" spans="1:66">
      <c r="A250" s="1">
        <v>289</v>
      </c>
      <c r="B250" s="28" t="s">
        <v>800</v>
      </c>
      <c r="C250" s="1" t="s">
        <v>40</v>
      </c>
      <c r="D250" s="2">
        <v>400523828</v>
      </c>
      <c r="E250" s="3" t="s">
        <v>801</v>
      </c>
      <c r="F250" s="1"/>
      <c r="G250" s="1" t="s">
        <v>42</v>
      </c>
      <c r="H250" s="1">
        <v>2</v>
      </c>
      <c r="I250" s="1">
        <v>21</v>
      </c>
      <c r="J250" s="1">
        <v>21</v>
      </c>
      <c r="K250" s="1">
        <v>0</v>
      </c>
      <c r="L250" s="1">
        <v>0</v>
      </c>
      <c r="M250" s="1">
        <f t="shared" si="10"/>
        <v>12222</v>
      </c>
      <c r="N250" s="1">
        <f t="shared" si="11"/>
        <v>12222</v>
      </c>
      <c r="O250" s="2" t="s">
        <v>799</v>
      </c>
      <c r="P250" s="1"/>
      <c r="Q250" s="1">
        <v>0.104</v>
      </c>
      <c r="R250" s="1" t="s">
        <v>44</v>
      </c>
      <c r="S250" s="30" t="s">
        <v>8</v>
      </c>
      <c r="T250" s="31" t="s">
        <v>273</v>
      </c>
      <c r="U250" s="1"/>
      <c r="V250" s="1">
        <v>3000</v>
      </c>
      <c r="W250" s="1" t="s">
        <v>274</v>
      </c>
      <c r="X250" s="32" t="s">
        <v>275</v>
      </c>
      <c r="Y250" s="1" t="s">
        <v>276</v>
      </c>
      <c r="Z250" s="2" t="s">
        <v>799</v>
      </c>
      <c r="AA250" s="1"/>
      <c r="AB250" s="1"/>
      <c r="AC250" s="1"/>
      <c r="AD250" s="1"/>
      <c r="AE250" s="1"/>
      <c r="AF250" s="1"/>
      <c r="AG250" s="1"/>
      <c r="AH250" s="1"/>
      <c r="AI250" s="1"/>
      <c r="AJ250" s="1"/>
      <c r="AK250" s="1"/>
      <c r="AL250" s="1"/>
      <c r="AM250" s="1"/>
      <c r="AN250" s="1"/>
      <c r="AO250" s="1"/>
      <c r="AP250" s="1"/>
      <c r="AQ250" s="1"/>
      <c r="AR250" s="1"/>
      <c r="AS250" s="1"/>
      <c r="AT250" s="1"/>
      <c r="AU250" s="1"/>
      <c r="AV250" s="1">
        <f>SUM($AT250,Z250:$AA250)-SUM($AV$5:AV$5)*$J250-SUM($AV$6:AV$6)*$K250</f>
        <v>0</v>
      </c>
      <c r="AW250" s="1">
        <f>SUM($AT250,$AA250:AA250)-SUM($AV$5:AW$5)*$J250-SUM($AV$6:AW$6)*$K250</f>
        <v>0</v>
      </c>
      <c r="AX250" s="1">
        <f>SUM($AT250,$AA250:AB250)-SUM($AV$5:AX$5)*$J250-SUM($AV$6:AX$6)*$K250</f>
        <v>0</v>
      </c>
      <c r="AY250" s="1">
        <f>SUM($AT250,$AA250:AC250)-SUM($AV$5:AY$5)*$J250-SUM($AV$6:AY$6)*$K250</f>
        <v>0</v>
      </c>
      <c r="AZ250" s="1">
        <f>SUM($AT250,$AA250:AD250)-SUM($AV$5:AZ$5)*$J250-SUM($AV$6:AZ$6)*$K250</f>
        <v>-840</v>
      </c>
      <c r="BA250" s="1">
        <f>SUM($AT250,$AA250:AE250)-SUM($AV$5:BA$5)*$J250-SUM($AV$6:BA$6)*$K250</f>
        <v>-1680</v>
      </c>
      <c r="BB250" s="1">
        <f>SUM($AT250,$AA250:AF250)-SUM($AV$5:BB$5)*$J250-SUM($AV$6:BB$6)*$K250</f>
        <v>-2520</v>
      </c>
      <c r="BC250" s="1">
        <f>SUM($AT250,$AA250:AG250)-SUM($AV$5:BC$5)*$J250-SUM($AV$6:BC$6)*$K250</f>
        <v>-3360</v>
      </c>
      <c r="BD250" s="1">
        <f>SUM($AT250,$AA250:AH250)-SUM($AV$5:BD$5)*$J250-SUM($AV$6:BD$6)*$K250</f>
        <v>-4200</v>
      </c>
      <c r="BE250" s="1">
        <f>SUM($AT250,$AA250:AI250)-SUM($AV$5:BE$5)*$J250-SUM($AV$6:BE$6)*$K250</f>
        <v>-5040</v>
      </c>
      <c r="BF250" s="1">
        <f>SUM($AT250,$AA250:AJ250)-SUM($AV$5:BF$5)*$J250-SUM($AV$6:BF$6)*$K250</f>
        <v>-5880</v>
      </c>
      <c r="BG250" s="1">
        <f>SUM($AT250,$AA250:AK250)-SUM($AV$5:BG$5)*$J250-SUM($AV$6:BG$6)*$K250</f>
        <v>-6720</v>
      </c>
      <c r="BH250" s="1">
        <f>SUM($AT250,$AA250:AL250)-SUM($AV$5:BH$5)*$J250-SUM($AV$6:BH$6)*$K250</f>
        <v>-7560</v>
      </c>
      <c r="BI250" s="1">
        <f>SUM($AT250,$AA250:AM250)-SUM($AV$5:BI$5)*$J250-SUM($AV$6:BI$6)*$K250</f>
        <v>-8400</v>
      </c>
      <c r="BJ250" s="1">
        <f>SUM($AT250,$AA250:AN250)-SUM($AV$5:BJ$5)*$J250-SUM($AV$6:BJ$6)*$K250</f>
        <v>-9240</v>
      </c>
      <c r="BK250" s="1">
        <f>SUM($AT250,$AA250:AO250)-SUM($AV$5:BK$5)*$J250-SUM($AV$6:BK$6)*$K250</f>
        <v>-10080</v>
      </c>
      <c r="BL250" s="1">
        <f>SUM($AT250,$AA250:AP250)-SUM($AV$5:BL$5)*$J250-SUM($AV$6:BL$6)*$K250</f>
        <v>-10920</v>
      </c>
      <c r="BM250" s="1">
        <f>SUM($AT250,$AA250:AQ250)-SUM($AV$5:BM$5)*$J250-SUM($AV$6:BM$6)*$K250</f>
        <v>-11760</v>
      </c>
      <c r="BN250" s="1">
        <f>SUM($AT250,$AA250:AR250)-SUM($AV$5:BN$5)*$J250-SUM($AV$6:BN$6)*$K250</f>
        <v>-12222</v>
      </c>
    </row>
    <row r="251" spans="1:66">
      <c r="A251" s="1">
        <v>291</v>
      </c>
      <c r="B251" s="28" t="s">
        <v>802</v>
      </c>
      <c r="C251" s="1" t="s">
        <v>40</v>
      </c>
      <c r="D251" s="2">
        <v>400479535</v>
      </c>
      <c r="E251" s="3" t="s">
        <v>803</v>
      </c>
      <c r="F251" s="1">
        <v>400481605</v>
      </c>
      <c r="G251" s="1" t="s">
        <v>42</v>
      </c>
      <c r="H251" s="1">
        <v>2</v>
      </c>
      <c r="I251" s="1">
        <v>10</v>
      </c>
      <c r="J251" s="1">
        <v>10</v>
      </c>
      <c r="K251" s="1">
        <v>0</v>
      </c>
      <c r="L251" s="1">
        <v>0</v>
      </c>
      <c r="M251" s="1">
        <f t="shared" si="10"/>
        <v>5820</v>
      </c>
      <c r="N251" s="1">
        <f t="shared" si="11"/>
        <v>5820</v>
      </c>
      <c r="O251" s="2" t="s">
        <v>804</v>
      </c>
      <c r="P251" s="1"/>
      <c r="Q251" s="1">
        <v>0.29299999999999998</v>
      </c>
      <c r="R251" s="1" t="s">
        <v>44</v>
      </c>
      <c r="S251" s="30" t="s">
        <v>805</v>
      </c>
      <c r="T251" s="31" t="s">
        <v>806</v>
      </c>
      <c r="U251" s="1"/>
      <c r="V251" s="1">
        <v>2000</v>
      </c>
      <c r="W251" s="1" t="s">
        <v>807</v>
      </c>
      <c r="X251" s="32" t="s">
        <v>808</v>
      </c>
      <c r="Y251" s="1" t="s">
        <v>809</v>
      </c>
      <c r="Z251" s="2" t="s">
        <v>804</v>
      </c>
      <c r="AA251" s="1"/>
      <c r="AB251" s="1">
        <v>6000</v>
      </c>
      <c r="AC251" s="1"/>
      <c r="AD251" s="1"/>
      <c r="AE251" s="1"/>
      <c r="AF251" s="1"/>
      <c r="AG251" s="1"/>
      <c r="AH251" s="1"/>
      <c r="AI251" s="1"/>
      <c r="AJ251" s="1"/>
      <c r="AK251" s="1"/>
      <c r="AL251" s="1"/>
      <c r="AM251" s="1"/>
      <c r="AN251" s="1"/>
      <c r="AO251" s="1"/>
      <c r="AP251" s="1"/>
      <c r="AQ251" s="1"/>
      <c r="AR251" s="1"/>
      <c r="AS251" s="1"/>
      <c r="AT251" s="1"/>
      <c r="AU251" s="1"/>
      <c r="AV251" s="1">
        <f>SUM($AT251,Z251:$AA251)-SUM($AV$5:AV$5)*$J251-SUM($AV$6:AV$6)*$K251</f>
        <v>0</v>
      </c>
      <c r="AW251" s="1">
        <f>SUM($AT251,$AA251:AA251)-SUM($AV$5:AW$5)*$J251-SUM($AV$6:AW$6)*$K251</f>
        <v>0</v>
      </c>
      <c r="AX251" s="1">
        <f>SUM($AT251,$AA251:AB251)-SUM($AV$5:AX$5)*$J251-SUM($AV$6:AX$6)*$K251</f>
        <v>6000</v>
      </c>
      <c r="AY251" s="1">
        <f>SUM($AT251,$AA251:AC251)-SUM($AV$5:AY$5)*$J251-SUM($AV$6:AY$6)*$K251</f>
        <v>6000</v>
      </c>
      <c r="AZ251" s="1">
        <f>SUM($AT251,$AA251:AD251)-SUM($AV$5:AZ$5)*$J251-SUM($AV$6:AZ$6)*$K251</f>
        <v>5600</v>
      </c>
      <c r="BA251" s="1">
        <f>SUM($AT251,$AA251:AE251)-SUM($AV$5:BA$5)*$J251-SUM($AV$6:BA$6)*$K251</f>
        <v>5200</v>
      </c>
      <c r="BB251" s="1">
        <f>SUM($AT251,$AA251:AF251)-SUM($AV$5:BB$5)*$J251-SUM($AV$6:BB$6)*$K251</f>
        <v>4800</v>
      </c>
      <c r="BC251" s="1">
        <f>SUM($AT251,$AA251:AG251)-SUM($AV$5:BC$5)*$J251-SUM($AV$6:BC$6)*$K251</f>
        <v>4400</v>
      </c>
      <c r="BD251" s="1">
        <f>SUM($AT251,$AA251:AH251)-SUM($AV$5:BD$5)*$J251-SUM($AV$6:BD$6)*$K251</f>
        <v>4000</v>
      </c>
      <c r="BE251" s="1">
        <f>SUM($AT251,$AA251:AI251)-SUM($AV$5:BE$5)*$J251-SUM($AV$6:BE$6)*$K251</f>
        <v>3600</v>
      </c>
      <c r="BF251" s="1">
        <f>SUM($AT251,$AA251:AJ251)-SUM($AV$5:BF$5)*$J251-SUM($AV$6:BF$6)*$K251</f>
        <v>3200</v>
      </c>
      <c r="BG251" s="1">
        <f>SUM($AT251,$AA251:AK251)-SUM($AV$5:BG$5)*$J251-SUM($AV$6:BG$6)*$K251</f>
        <v>2800</v>
      </c>
      <c r="BH251" s="1">
        <f>SUM($AT251,$AA251:AL251)-SUM($AV$5:BH$5)*$J251-SUM($AV$6:BH$6)*$K251</f>
        <v>2400</v>
      </c>
      <c r="BI251" s="1">
        <f>SUM($AT251,$AA251:AM251)-SUM($AV$5:BI$5)*$J251-SUM($AV$6:BI$6)*$K251</f>
        <v>2000</v>
      </c>
      <c r="BJ251" s="1">
        <f>SUM($AT251,$AA251:AN251)-SUM($AV$5:BJ$5)*$J251-SUM($AV$6:BJ$6)*$K251</f>
        <v>1600</v>
      </c>
      <c r="BK251" s="1">
        <f>SUM($AT251,$AA251:AO251)-SUM($AV$5:BK$5)*$J251-SUM($AV$6:BK$6)*$K251</f>
        <v>1200</v>
      </c>
      <c r="BL251" s="1">
        <f>SUM($AT251,$AA251:AP251)-SUM($AV$5:BL$5)*$J251-SUM($AV$6:BL$6)*$K251</f>
        <v>800</v>
      </c>
      <c r="BM251" s="1">
        <f>SUM($AT251,$AA251:AQ251)-SUM($AV$5:BM$5)*$J251-SUM($AV$6:BM$6)*$K251</f>
        <v>400</v>
      </c>
      <c r="BN251" s="1">
        <f>SUM($AT251,$AA251:AR251)-SUM($AV$5:BN$5)*$J251-SUM($AV$6:BN$6)*$K251</f>
        <v>180</v>
      </c>
    </row>
    <row r="252" spans="1:66">
      <c r="A252" s="1">
        <v>292</v>
      </c>
      <c r="B252" s="28" t="s">
        <v>810</v>
      </c>
      <c r="C252" s="1" t="s">
        <v>40</v>
      </c>
      <c r="D252" s="2">
        <v>400345615</v>
      </c>
      <c r="E252" s="3" t="s">
        <v>811</v>
      </c>
      <c r="F252" s="1"/>
      <c r="G252" s="1" t="s">
        <v>42</v>
      </c>
      <c r="H252" s="1">
        <v>2</v>
      </c>
      <c r="I252" s="1">
        <v>5</v>
      </c>
      <c r="J252" s="1">
        <v>5</v>
      </c>
      <c r="K252" s="1">
        <v>0</v>
      </c>
      <c r="L252" s="1">
        <v>0</v>
      </c>
      <c r="M252" s="1">
        <f t="shared" si="10"/>
        <v>2910</v>
      </c>
      <c r="N252" s="1">
        <f t="shared" si="11"/>
        <v>2910</v>
      </c>
      <c r="O252" s="2" t="s">
        <v>804</v>
      </c>
      <c r="P252" s="1"/>
      <c r="Q252" s="1">
        <v>0.29699999999999999</v>
      </c>
      <c r="R252" s="1" t="s">
        <v>44</v>
      </c>
      <c r="S252" s="30" t="s">
        <v>805</v>
      </c>
      <c r="T252" s="31" t="s">
        <v>806</v>
      </c>
      <c r="U252" s="1"/>
      <c r="V252" s="1">
        <v>2000</v>
      </c>
      <c r="W252" s="1" t="s">
        <v>807</v>
      </c>
      <c r="X252" s="32" t="s">
        <v>808</v>
      </c>
      <c r="Y252" s="1" t="s">
        <v>809</v>
      </c>
      <c r="Z252" s="2" t="s">
        <v>804</v>
      </c>
      <c r="AA252" s="1"/>
      <c r="AB252" s="1">
        <v>4000</v>
      </c>
      <c r="AC252" s="1"/>
      <c r="AD252" s="1"/>
      <c r="AE252" s="1"/>
      <c r="AF252" s="1"/>
      <c r="AG252" s="1"/>
      <c r="AH252" s="1"/>
      <c r="AI252" s="1"/>
      <c r="AJ252" s="1"/>
      <c r="AK252" s="1"/>
      <c r="AL252" s="1"/>
      <c r="AM252" s="1"/>
      <c r="AN252" s="1"/>
      <c r="AO252" s="1"/>
      <c r="AP252" s="1"/>
      <c r="AQ252" s="1"/>
      <c r="AR252" s="1"/>
      <c r="AS252" s="1"/>
      <c r="AT252" s="1"/>
      <c r="AU252" s="1"/>
      <c r="AV252" s="1">
        <f>SUM($AT252,Z252:$AA252)-SUM($AV$5:AV$5)*$J252-SUM($AV$6:AV$6)*$K252</f>
        <v>0</v>
      </c>
      <c r="AW252" s="1">
        <f>SUM($AT252,$AA252:AA252)-SUM($AV$5:AW$5)*$J252-SUM($AV$6:AW$6)*$K252</f>
        <v>0</v>
      </c>
      <c r="AX252" s="1">
        <f>SUM($AT252,$AA252:AB252)-SUM($AV$5:AX$5)*$J252-SUM($AV$6:AX$6)*$K252</f>
        <v>4000</v>
      </c>
      <c r="AY252" s="1">
        <f>SUM($AT252,$AA252:AC252)-SUM($AV$5:AY$5)*$J252-SUM($AV$6:AY$6)*$K252</f>
        <v>4000</v>
      </c>
      <c r="AZ252" s="1">
        <f>SUM($AT252,$AA252:AD252)-SUM($AV$5:AZ$5)*$J252-SUM($AV$6:AZ$6)*$K252</f>
        <v>3800</v>
      </c>
      <c r="BA252" s="1">
        <f>SUM($AT252,$AA252:AE252)-SUM($AV$5:BA$5)*$J252-SUM($AV$6:BA$6)*$K252</f>
        <v>3600</v>
      </c>
      <c r="BB252" s="1">
        <f>SUM($AT252,$AA252:AF252)-SUM($AV$5:BB$5)*$J252-SUM($AV$6:BB$6)*$K252</f>
        <v>3400</v>
      </c>
      <c r="BC252" s="1">
        <f>SUM($AT252,$AA252:AG252)-SUM($AV$5:BC$5)*$J252-SUM($AV$6:BC$6)*$K252</f>
        <v>3200</v>
      </c>
      <c r="BD252" s="1">
        <f>SUM($AT252,$AA252:AH252)-SUM($AV$5:BD$5)*$J252-SUM($AV$6:BD$6)*$K252</f>
        <v>3000</v>
      </c>
      <c r="BE252" s="1">
        <f>SUM($AT252,$AA252:AI252)-SUM($AV$5:BE$5)*$J252-SUM($AV$6:BE$6)*$K252</f>
        <v>2800</v>
      </c>
      <c r="BF252" s="1">
        <f>SUM($AT252,$AA252:AJ252)-SUM($AV$5:BF$5)*$J252-SUM($AV$6:BF$6)*$K252</f>
        <v>2600</v>
      </c>
      <c r="BG252" s="1">
        <f>SUM($AT252,$AA252:AK252)-SUM($AV$5:BG$5)*$J252-SUM($AV$6:BG$6)*$K252</f>
        <v>2400</v>
      </c>
      <c r="BH252" s="1">
        <f>SUM($AT252,$AA252:AL252)-SUM($AV$5:BH$5)*$J252-SUM($AV$6:BH$6)*$K252</f>
        <v>2200</v>
      </c>
      <c r="BI252" s="1">
        <f>SUM($AT252,$AA252:AM252)-SUM($AV$5:BI$5)*$J252-SUM($AV$6:BI$6)*$K252</f>
        <v>2000</v>
      </c>
      <c r="BJ252" s="1">
        <f>SUM($AT252,$AA252:AN252)-SUM($AV$5:BJ$5)*$J252-SUM($AV$6:BJ$6)*$K252</f>
        <v>1800</v>
      </c>
      <c r="BK252" s="1">
        <f>SUM($AT252,$AA252:AO252)-SUM($AV$5:BK$5)*$J252-SUM($AV$6:BK$6)*$K252</f>
        <v>1600</v>
      </c>
      <c r="BL252" s="1">
        <f>SUM($AT252,$AA252:AP252)-SUM($AV$5:BL$5)*$J252-SUM($AV$6:BL$6)*$K252</f>
        <v>1400</v>
      </c>
      <c r="BM252" s="1">
        <f>SUM($AT252,$AA252:AQ252)-SUM($AV$5:BM$5)*$J252-SUM($AV$6:BM$6)*$K252</f>
        <v>1200</v>
      </c>
      <c r="BN252" s="1">
        <f>SUM($AT252,$AA252:AR252)-SUM($AV$5:BN$5)*$J252-SUM($AV$6:BN$6)*$K252</f>
        <v>1090</v>
      </c>
    </row>
    <row r="253" spans="1:66">
      <c r="A253" s="1">
        <v>54</v>
      </c>
      <c r="B253" s="28" t="s">
        <v>812</v>
      </c>
      <c r="C253" s="1" t="s">
        <v>40</v>
      </c>
      <c r="D253" s="2">
        <v>404492219</v>
      </c>
      <c r="E253" s="3" t="s">
        <v>350</v>
      </c>
      <c r="F253" s="1"/>
      <c r="G253" s="1" t="s">
        <v>42</v>
      </c>
      <c r="H253" s="1">
        <v>2</v>
      </c>
      <c r="I253" s="1">
        <v>16</v>
      </c>
      <c r="J253" s="1">
        <v>0</v>
      </c>
      <c r="K253" s="1">
        <v>0</v>
      </c>
      <c r="L253" s="1">
        <v>16</v>
      </c>
      <c r="M253" s="1">
        <f t="shared" si="10"/>
        <v>4416</v>
      </c>
      <c r="N253" s="1">
        <f t="shared" si="11"/>
        <v>4416</v>
      </c>
      <c r="O253" s="2" t="s">
        <v>351</v>
      </c>
      <c r="P253" s="1"/>
      <c r="Q253" s="1">
        <v>2.65</v>
      </c>
      <c r="R253" s="1" t="s">
        <v>292</v>
      </c>
      <c r="S253" s="30"/>
      <c r="T253" s="31" t="s">
        <v>352</v>
      </c>
      <c r="U253" s="1">
        <v>1</v>
      </c>
      <c r="V253" s="1">
        <v>1</v>
      </c>
      <c r="W253" s="1" t="s">
        <v>353</v>
      </c>
      <c r="X253" s="46" t="s">
        <v>354</v>
      </c>
      <c r="Y253" s="1" t="s">
        <v>355</v>
      </c>
      <c r="Z253" s="2" t="s">
        <v>813</v>
      </c>
      <c r="AA253" s="1"/>
      <c r="AB253" s="1"/>
      <c r="AC253" s="1"/>
      <c r="AD253" s="1"/>
      <c r="AE253" s="1"/>
      <c r="AF253" s="1"/>
      <c r="AG253" s="1"/>
      <c r="AH253" s="1"/>
      <c r="AI253" s="1"/>
      <c r="AJ253" s="1"/>
      <c r="AK253" s="1"/>
      <c r="AL253" s="1"/>
      <c r="AM253" s="1"/>
      <c r="AN253" s="1"/>
      <c r="AO253" s="1"/>
      <c r="AP253" s="1"/>
      <c r="AQ253" s="1"/>
      <c r="AR253" s="1"/>
      <c r="AS253" s="1"/>
      <c r="AT253" s="1"/>
      <c r="AU253" s="1"/>
      <c r="AV253" s="1">
        <f>SUM($AT253,Z253:$AA253)-SUM($AV$5:AV$5)*$J253-SUM($AV$6:AV$6)*$K253</f>
        <v>0</v>
      </c>
      <c r="AW253" s="1">
        <f>SUM($AT253,$AA253:AA253)-SUM($AV$5:AW$5)*$J253-SUM($AV$6:AW$6)*$K253</f>
        <v>0</v>
      </c>
      <c r="AX253" s="1">
        <f>SUM($AT253,$AA253:AB253)-SUM($AV$5:AX$5)*$J253-SUM($AV$6:AX$6)*$K253</f>
        <v>0</v>
      </c>
      <c r="AY253" s="1">
        <f>SUM($AT253,$AA253:AC253)-SUM($AV$5:AY$5)*$J253-SUM($AV$6:AY$6)*$K253</f>
        <v>0</v>
      </c>
      <c r="AZ253" s="1">
        <f>SUM($AT253,$AA253:AD253)-SUM($AV$5:AZ$5)*$J253-SUM($AV$6:AZ$6)*$K253</f>
        <v>0</v>
      </c>
      <c r="BA253" s="1">
        <f>SUM($AT253,$AA253:AE253)-SUM($AV$5:BA$5)*$J253-SUM($AV$6:BA$6)*$K253</f>
        <v>0</v>
      </c>
      <c r="BB253" s="1">
        <f>SUM($AT253,$AA253:AF253)-SUM($AV$5:BB$5)*$J253-SUM($AV$6:BB$6)*$K253</f>
        <v>0</v>
      </c>
      <c r="BC253" s="1">
        <f>SUM($AT253,$AA253:AG253)-SUM($AV$5:BC$5)*$J253-SUM($AV$6:BC$6)*$K253</f>
        <v>0</v>
      </c>
      <c r="BD253" s="1">
        <f>SUM($AT253,$AA253:AH253)-SUM($AV$5:BD$5)*$J253-SUM($AV$6:BD$6)*$K253</f>
        <v>0</v>
      </c>
      <c r="BE253" s="1">
        <f>SUM($AT253,$AA253:AI253)-SUM($AV$5:BE$5)*$J253-SUM($AV$6:BE$6)*$K253</f>
        <v>0</v>
      </c>
      <c r="BF253" s="1">
        <f>SUM($AT253,$AA253:AJ253)-SUM($AV$5:BF$5)*$J253-SUM($AV$6:BF$6)*$K253</f>
        <v>0</v>
      </c>
      <c r="BG253" s="1">
        <f>SUM($AT253,$AA253:AK253)-SUM($AV$5:BG$5)*$J253-SUM($AV$6:BG$6)*$K253</f>
        <v>0</v>
      </c>
      <c r="BH253" s="1">
        <f>SUM($AT253,$AA253:AL253)-SUM($AV$5:BH$5)*$J253-SUM($AV$6:BH$6)*$K253</f>
        <v>0</v>
      </c>
      <c r="BI253" s="1">
        <f>SUM($AT253,$AA253:AM253)-SUM($AV$5:BI$5)*$J253-SUM($AV$6:BI$6)*$K253</f>
        <v>0</v>
      </c>
      <c r="BJ253" s="1">
        <f>SUM($AT253,$AA253:AN253)-SUM($AV$5:BJ$5)*$J253-SUM($AV$6:BJ$6)*$K253</f>
        <v>0</v>
      </c>
      <c r="BK253" s="1">
        <f>SUM($AT253,$AA253:AO253)-SUM($AV$5:BK$5)*$J253-SUM($AV$6:BK$6)*$K253</f>
        <v>0</v>
      </c>
      <c r="BL253" s="1">
        <f>SUM($AT253,$AA253:AP253)-SUM($AV$5:BL$5)*$J253-SUM($AV$6:BL$6)*$K253</f>
        <v>0</v>
      </c>
      <c r="BM253" s="1">
        <f>SUM($AT253,$AA253:AQ253)-SUM($AV$5:BM$5)*$J253-SUM($AV$6:BM$6)*$K253</f>
        <v>0</v>
      </c>
      <c r="BN253" s="1">
        <f>SUM($AT253,$AA253:AR253)-SUM($AV$5:BN$5)*$J253-SUM($AV$6:BN$6)*$K253</f>
        <v>0</v>
      </c>
    </row>
    <row r="254" spans="1:66">
      <c r="A254" s="1">
        <v>55</v>
      </c>
      <c r="B254" s="28" t="s">
        <v>814</v>
      </c>
      <c r="C254" s="1" t="s">
        <v>40</v>
      </c>
      <c r="D254" s="2">
        <v>421899548</v>
      </c>
      <c r="E254" s="3" t="s">
        <v>815</v>
      </c>
      <c r="F254" s="1"/>
      <c r="G254" s="1" t="s">
        <v>42</v>
      </c>
      <c r="H254" s="1">
        <v>2</v>
      </c>
      <c r="I254" s="1">
        <v>2</v>
      </c>
      <c r="J254" s="1">
        <v>0</v>
      </c>
      <c r="K254" s="1">
        <v>0</v>
      </c>
      <c r="L254" s="1">
        <v>2</v>
      </c>
      <c r="M254" s="1">
        <f t="shared" si="10"/>
        <v>552</v>
      </c>
      <c r="N254" s="1">
        <f t="shared" si="11"/>
        <v>552</v>
      </c>
      <c r="O254" s="2" t="s">
        <v>351</v>
      </c>
      <c r="P254" s="1"/>
      <c r="Q254" s="1">
        <v>15.4</v>
      </c>
      <c r="R254" s="1" t="s">
        <v>292</v>
      </c>
      <c r="S254" s="30"/>
      <c r="T254" s="31" t="s">
        <v>352</v>
      </c>
      <c r="U254" s="1">
        <v>1</v>
      </c>
      <c r="V254" s="1">
        <v>1</v>
      </c>
      <c r="W254" s="1" t="s">
        <v>353</v>
      </c>
      <c r="X254" s="46" t="s">
        <v>354</v>
      </c>
      <c r="Y254" s="1" t="s">
        <v>355</v>
      </c>
      <c r="Z254" s="2" t="s">
        <v>351</v>
      </c>
      <c r="AA254" s="1"/>
      <c r="AB254" s="1"/>
      <c r="AC254" s="1"/>
      <c r="AD254" s="1"/>
      <c r="AE254" s="1"/>
      <c r="AF254" s="1"/>
      <c r="AG254" s="1"/>
      <c r="AH254" s="1"/>
      <c r="AI254" s="1"/>
      <c r="AJ254" s="1"/>
      <c r="AK254" s="1"/>
      <c r="AL254" s="1"/>
      <c r="AM254" s="1"/>
      <c r="AN254" s="1"/>
      <c r="AO254" s="1"/>
      <c r="AP254" s="1"/>
      <c r="AQ254" s="1"/>
      <c r="AR254" s="1"/>
      <c r="AS254" s="1"/>
      <c r="AT254" s="1"/>
      <c r="AU254" s="1"/>
      <c r="AV254" s="1">
        <f>SUM($AT254,Z254:$AA254)-SUM($AV$5:AV$5)*$J254-SUM($AV$6:AV$6)*$K254</f>
        <v>0</v>
      </c>
      <c r="AW254" s="1">
        <f>SUM($AT254,$AA254:AA254)-SUM($AV$5:AW$5)*$J254-SUM($AV$6:AW$6)*$K254</f>
        <v>0</v>
      </c>
      <c r="AX254" s="1">
        <f>SUM($AT254,$AA254:AB254)-SUM($AV$5:AX$5)*$J254-SUM($AV$6:AX$6)*$K254</f>
        <v>0</v>
      </c>
      <c r="AY254" s="1">
        <f>SUM($AT254,$AA254:AC254)-SUM($AV$5:AY$5)*$J254-SUM($AV$6:AY$6)*$K254</f>
        <v>0</v>
      </c>
      <c r="AZ254" s="1">
        <f>SUM($AT254,$AA254:AD254)-SUM($AV$5:AZ$5)*$J254-SUM($AV$6:AZ$6)*$K254</f>
        <v>0</v>
      </c>
      <c r="BA254" s="1">
        <f>SUM($AT254,$AA254:AE254)-SUM($AV$5:BA$5)*$J254-SUM($AV$6:BA$6)*$K254</f>
        <v>0</v>
      </c>
      <c r="BB254" s="1">
        <f>SUM($AT254,$AA254:AF254)-SUM($AV$5:BB$5)*$J254-SUM($AV$6:BB$6)*$K254</f>
        <v>0</v>
      </c>
      <c r="BC254" s="1">
        <f>SUM($AT254,$AA254:AG254)-SUM($AV$5:BC$5)*$J254-SUM($AV$6:BC$6)*$K254</f>
        <v>0</v>
      </c>
      <c r="BD254" s="1">
        <f>SUM($AT254,$AA254:AH254)-SUM($AV$5:BD$5)*$J254-SUM($AV$6:BD$6)*$K254</f>
        <v>0</v>
      </c>
      <c r="BE254" s="1">
        <f>SUM($AT254,$AA254:AI254)-SUM($AV$5:BE$5)*$J254-SUM($AV$6:BE$6)*$K254</f>
        <v>0</v>
      </c>
      <c r="BF254" s="1">
        <f>SUM($AT254,$AA254:AJ254)-SUM($AV$5:BF$5)*$J254-SUM($AV$6:BF$6)*$K254</f>
        <v>0</v>
      </c>
      <c r="BG254" s="1">
        <f>SUM($AT254,$AA254:AK254)-SUM($AV$5:BG$5)*$J254-SUM($AV$6:BG$6)*$K254</f>
        <v>0</v>
      </c>
      <c r="BH254" s="1">
        <f>SUM($AT254,$AA254:AL254)-SUM($AV$5:BH$5)*$J254-SUM($AV$6:BH$6)*$K254</f>
        <v>0</v>
      </c>
      <c r="BI254" s="1">
        <f>SUM($AT254,$AA254:AM254)-SUM($AV$5:BI$5)*$J254-SUM($AV$6:BI$6)*$K254</f>
        <v>0</v>
      </c>
      <c r="BJ254" s="1">
        <f>SUM($AT254,$AA254:AN254)-SUM($AV$5:BJ$5)*$J254-SUM($AV$6:BJ$6)*$K254</f>
        <v>0</v>
      </c>
      <c r="BK254" s="1">
        <f>SUM($AT254,$AA254:AO254)-SUM($AV$5:BK$5)*$J254-SUM($AV$6:BK$6)*$K254</f>
        <v>0</v>
      </c>
      <c r="BL254" s="1">
        <f>SUM($AT254,$AA254:AP254)-SUM($AV$5:BL$5)*$J254-SUM($AV$6:BL$6)*$K254</f>
        <v>0</v>
      </c>
      <c r="BM254" s="1">
        <f>SUM($AT254,$AA254:AQ254)-SUM($AV$5:BM$5)*$J254-SUM($AV$6:BM$6)*$K254</f>
        <v>0</v>
      </c>
      <c r="BN254" s="1">
        <f>SUM($AT254,$AA254:AR254)-SUM($AV$5:BN$5)*$J254-SUM($AV$6:BN$6)*$K254</f>
        <v>0</v>
      </c>
    </row>
    <row r="255" spans="1:66">
      <c r="A255" s="1">
        <v>34</v>
      </c>
      <c r="B255" s="28" t="s">
        <v>816</v>
      </c>
      <c r="C255" s="1" t="s">
        <v>817</v>
      </c>
      <c r="D255" s="2">
        <v>404013097</v>
      </c>
      <c r="E255" s="3" t="s">
        <v>818</v>
      </c>
      <c r="F255" s="1"/>
      <c r="G255" s="1" t="s">
        <v>42</v>
      </c>
      <c r="H255" s="1">
        <v>1</v>
      </c>
      <c r="I255" s="1">
        <v>2</v>
      </c>
      <c r="J255" s="1">
        <v>2</v>
      </c>
      <c r="K255" s="1">
        <v>0</v>
      </c>
      <c r="L255" s="1">
        <v>0</v>
      </c>
      <c r="M255" s="1">
        <f t="shared" si="10"/>
        <v>1164</v>
      </c>
      <c r="N255" s="1">
        <f t="shared" si="11"/>
        <v>1164</v>
      </c>
      <c r="O255" s="31" t="s">
        <v>819</v>
      </c>
      <c r="P255" s="1"/>
      <c r="Q255" s="1">
        <v>5.8</v>
      </c>
      <c r="R255" s="1" t="s">
        <v>44</v>
      </c>
      <c r="S255" s="30"/>
      <c r="T255" s="31" t="s">
        <v>819</v>
      </c>
      <c r="U255" s="1">
        <v>1</v>
      </c>
      <c r="V255" s="1">
        <v>1</v>
      </c>
      <c r="W255" s="1" t="s">
        <v>820</v>
      </c>
      <c r="X255" s="33" t="s">
        <v>821</v>
      </c>
      <c r="Y255" s="1" t="s">
        <v>822</v>
      </c>
      <c r="Z255" s="2" t="s">
        <v>823</v>
      </c>
      <c r="AA255" s="1"/>
      <c r="AB255" s="1"/>
      <c r="AC255" s="1"/>
      <c r="AD255" s="1"/>
      <c r="AE255" s="1"/>
      <c r="AF255" s="1"/>
      <c r="AG255" s="1"/>
      <c r="AH255" s="1"/>
      <c r="AI255" s="1"/>
      <c r="AJ255" s="1"/>
      <c r="AK255" s="1"/>
      <c r="AL255" s="1"/>
      <c r="AM255" s="1"/>
      <c r="AN255" s="1"/>
      <c r="AO255" s="1"/>
      <c r="AP255" s="1"/>
      <c r="AQ255" s="1"/>
      <c r="AR255" s="1"/>
      <c r="AS255" s="1"/>
      <c r="AT255" s="1"/>
      <c r="AU255" s="1"/>
      <c r="AV255" s="1">
        <f>SUM($AT255,Z255:$AA255)-SUM($AV$5:AV$5)*$J255-SUM($AV$6:AV$6)*$K255</f>
        <v>0</v>
      </c>
      <c r="AW255" s="1">
        <f>SUM($AT255,$AA255:AA255)-SUM($AV$5:AW$5)*$J255-SUM($AV$6:AW$6)*$K255</f>
        <v>0</v>
      </c>
      <c r="AX255" s="1">
        <f>SUM($AT255,$AA255:AB255)-SUM($AV$5:AX$5)*$J255-SUM($AV$6:AX$6)*$K255</f>
        <v>0</v>
      </c>
      <c r="AY255" s="1">
        <f>SUM($AT255,$AA255:AC255)-SUM($AV$5:AY$5)*$J255-SUM($AV$6:AY$6)*$K255</f>
        <v>0</v>
      </c>
      <c r="AZ255" s="1">
        <f>SUM($AT255,$AA255:AD255)-SUM($AV$5:AZ$5)*$J255-SUM($AV$6:AZ$6)*$K255</f>
        <v>-80</v>
      </c>
      <c r="BA255" s="1">
        <f>SUM($AT255,$AA255:AE255)-SUM($AV$5:BA$5)*$J255-SUM($AV$6:BA$6)*$K255</f>
        <v>-160</v>
      </c>
      <c r="BB255" s="1">
        <f>SUM($AT255,$AA255:AF255)-SUM($AV$5:BB$5)*$J255-SUM($AV$6:BB$6)*$K255</f>
        <v>-240</v>
      </c>
      <c r="BC255" s="1">
        <f>SUM($AT255,$AA255:AG255)-SUM($AV$5:BC$5)*$J255-SUM($AV$6:BC$6)*$K255</f>
        <v>-320</v>
      </c>
      <c r="BD255" s="1">
        <f>SUM($AT255,$AA255:AH255)-SUM($AV$5:BD$5)*$J255-SUM($AV$6:BD$6)*$K255</f>
        <v>-400</v>
      </c>
      <c r="BE255" s="1">
        <f>SUM($AT255,$AA255:AI255)-SUM($AV$5:BE$5)*$J255-SUM($AV$6:BE$6)*$K255</f>
        <v>-480</v>
      </c>
      <c r="BF255" s="1">
        <f>SUM($AT255,$AA255:AJ255)-SUM($AV$5:BF$5)*$J255-SUM($AV$6:BF$6)*$K255</f>
        <v>-560</v>
      </c>
      <c r="BG255" s="1">
        <f>SUM($AT255,$AA255:AK255)-SUM($AV$5:BG$5)*$J255-SUM($AV$6:BG$6)*$K255</f>
        <v>-640</v>
      </c>
      <c r="BH255" s="1">
        <f>SUM($AT255,$AA255:AL255)-SUM($AV$5:BH$5)*$J255-SUM($AV$6:BH$6)*$K255</f>
        <v>-720</v>
      </c>
      <c r="BI255" s="1">
        <f>SUM($AT255,$AA255:AM255)-SUM($AV$5:BI$5)*$J255-SUM($AV$6:BI$6)*$K255</f>
        <v>-800</v>
      </c>
      <c r="BJ255" s="1">
        <f>SUM($AT255,$AA255:AN255)-SUM($AV$5:BJ$5)*$J255-SUM($AV$6:BJ$6)*$K255</f>
        <v>-880</v>
      </c>
      <c r="BK255" s="1">
        <f>SUM($AT255,$AA255:AO255)-SUM($AV$5:BK$5)*$J255-SUM($AV$6:BK$6)*$K255</f>
        <v>-960</v>
      </c>
      <c r="BL255" s="1">
        <f>SUM($AT255,$AA255:AP255)-SUM($AV$5:BL$5)*$J255-SUM($AV$6:BL$6)*$K255</f>
        <v>-1040</v>
      </c>
      <c r="BM255" s="1">
        <f>SUM($AT255,$AA255:AQ255)-SUM($AV$5:BM$5)*$J255-SUM($AV$6:BM$6)*$K255</f>
        <v>-1120</v>
      </c>
      <c r="BN255" s="1">
        <f>SUM($AT255,$AA255:AR255)-SUM($AV$5:BN$5)*$J255-SUM($AV$6:BN$6)*$K255</f>
        <v>-1164</v>
      </c>
    </row>
    <row r="256" spans="1:66">
      <c r="A256" s="1">
        <v>388</v>
      </c>
      <c r="B256" s="28" t="s">
        <v>824</v>
      </c>
      <c r="C256" s="1" t="s">
        <v>40</v>
      </c>
      <c r="D256" s="2">
        <v>425167980</v>
      </c>
      <c r="E256" s="3" t="s">
        <v>825</v>
      </c>
      <c r="F256" s="1"/>
      <c r="G256" s="1" t="s">
        <v>42</v>
      </c>
      <c r="H256" s="1">
        <v>2</v>
      </c>
      <c r="I256" s="1">
        <v>4</v>
      </c>
      <c r="J256" s="1">
        <v>4</v>
      </c>
      <c r="K256" s="1">
        <v>0</v>
      </c>
      <c r="L256" s="1">
        <v>0</v>
      </c>
      <c r="M256" s="1">
        <f t="shared" si="10"/>
        <v>2328</v>
      </c>
      <c r="N256" s="1">
        <f t="shared" si="11"/>
        <v>2328</v>
      </c>
      <c r="O256" s="2" t="s">
        <v>826</v>
      </c>
      <c r="P256" s="1"/>
      <c r="Q256" s="1">
        <v>1.74</v>
      </c>
      <c r="R256" s="1" t="s">
        <v>44</v>
      </c>
      <c r="S256" s="30" t="s">
        <v>145</v>
      </c>
      <c r="T256" s="31" t="s">
        <v>826</v>
      </c>
      <c r="U256" s="1"/>
      <c r="V256" s="1">
        <v>3000</v>
      </c>
      <c r="W256" s="1" t="s">
        <v>827</v>
      </c>
      <c r="X256" s="32" t="s">
        <v>828</v>
      </c>
      <c r="Y256" s="1" t="s">
        <v>829</v>
      </c>
      <c r="Z256" s="2" t="s">
        <v>826</v>
      </c>
      <c r="AA256" s="1"/>
      <c r="AB256" s="1"/>
      <c r="AC256" s="1"/>
      <c r="AD256" s="1"/>
      <c r="AE256" s="1"/>
      <c r="AF256" s="1"/>
      <c r="AG256" s="1"/>
      <c r="AH256" s="1"/>
      <c r="AI256" s="1"/>
      <c r="AJ256" s="1"/>
      <c r="AK256" s="1"/>
      <c r="AL256" s="1"/>
      <c r="AM256" s="1"/>
      <c r="AN256" s="1"/>
      <c r="AO256" s="1"/>
      <c r="AP256" s="1"/>
      <c r="AQ256" s="1"/>
      <c r="AR256" s="1"/>
      <c r="AS256" s="1"/>
      <c r="AT256" s="1"/>
      <c r="AU256" s="1"/>
      <c r="AV256" s="1">
        <f>SUM($AT256,Z256:$AA256)-SUM($AV$5:AV$5)*$J256-SUM($AV$6:AV$6)*$K256</f>
        <v>0</v>
      </c>
      <c r="AW256" s="1">
        <f>SUM($AT256,$AA256:AA256)-SUM($AV$5:AW$5)*$J256-SUM($AV$6:AW$6)*$K256</f>
        <v>0</v>
      </c>
      <c r="AX256" s="1">
        <f>SUM($AT256,$AA256:AB256)-SUM($AV$5:AX$5)*$J256-SUM($AV$6:AX$6)*$K256</f>
        <v>0</v>
      </c>
      <c r="AY256" s="1">
        <f>SUM($AT256,$AA256:AC256)-SUM($AV$5:AY$5)*$J256-SUM($AV$6:AY$6)*$K256</f>
        <v>0</v>
      </c>
      <c r="AZ256" s="1">
        <f>SUM($AT256,$AA256:AD256)-SUM($AV$5:AZ$5)*$J256-SUM($AV$6:AZ$6)*$K256</f>
        <v>-160</v>
      </c>
      <c r="BA256" s="1">
        <f>SUM($AT256,$AA256:AE256)-SUM($AV$5:BA$5)*$J256-SUM($AV$6:BA$6)*$K256</f>
        <v>-320</v>
      </c>
      <c r="BB256" s="1">
        <f>SUM($AT256,$AA256:AF256)-SUM($AV$5:BB$5)*$J256-SUM($AV$6:BB$6)*$K256</f>
        <v>-480</v>
      </c>
      <c r="BC256" s="1">
        <f>SUM($AT256,$AA256:AG256)-SUM($AV$5:BC$5)*$J256-SUM($AV$6:BC$6)*$K256</f>
        <v>-640</v>
      </c>
      <c r="BD256" s="1">
        <f>SUM($AT256,$AA256:AH256)-SUM($AV$5:BD$5)*$J256-SUM($AV$6:BD$6)*$K256</f>
        <v>-800</v>
      </c>
      <c r="BE256" s="1">
        <f>SUM($AT256,$AA256:AI256)-SUM($AV$5:BE$5)*$J256-SUM($AV$6:BE$6)*$K256</f>
        <v>-960</v>
      </c>
      <c r="BF256" s="1">
        <f>SUM($AT256,$AA256:AJ256)-SUM($AV$5:BF$5)*$J256-SUM($AV$6:BF$6)*$K256</f>
        <v>-1120</v>
      </c>
      <c r="BG256" s="1">
        <f>SUM($AT256,$AA256:AK256)-SUM($AV$5:BG$5)*$J256-SUM($AV$6:BG$6)*$K256</f>
        <v>-1280</v>
      </c>
      <c r="BH256" s="1">
        <f>SUM($AT256,$AA256:AL256)-SUM($AV$5:BH$5)*$J256-SUM($AV$6:BH$6)*$K256</f>
        <v>-1440</v>
      </c>
      <c r="BI256" s="1">
        <f>SUM($AT256,$AA256:AM256)-SUM($AV$5:BI$5)*$J256-SUM($AV$6:BI$6)*$K256</f>
        <v>-1600</v>
      </c>
      <c r="BJ256" s="1">
        <f>SUM($AT256,$AA256:AN256)-SUM($AV$5:BJ$5)*$J256-SUM($AV$6:BJ$6)*$K256</f>
        <v>-1760</v>
      </c>
      <c r="BK256" s="1">
        <f>SUM($AT256,$AA256:AO256)-SUM($AV$5:BK$5)*$J256-SUM($AV$6:BK$6)*$K256</f>
        <v>-1920</v>
      </c>
      <c r="BL256" s="1">
        <f>SUM($AT256,$AA256:AP256)-SUM($AV$5:BL$5)*$J256-SUM($AV$6:BL$6)*$K256</f>
        <v>-2080</v>
      </c>
      <c r="BM256" s="1">
        <f>SUM($AT256,$AA256:AQ256)-SUM($AV$5:BM$5)*$J256-SUM($AV$6:BM$6)*$K256</f>
        <v>-2240</v>
      </c>
      <c r="BN256" s="1">
        <f>SUM($AT256,$AA256:AR256)-SUM($AV$5:BN$5)*$J256-SUM($AV$6:BN$6)*$K256</f>
        <v>-2328</v>
      </c>
    </row>
    <row r="257" spans="1:66">
      <c r="A257" s="1">
        <v>398</v>
      </c>
      <c r="B257" s="28" t="s">
        <v>830</v>
      </c>
      <c r="C257" s="1" t="s">
        <v>40</v>
      </c>
      <c r="D257" s="2">
        <v>400624634</v>
      </c>
      <c r="E257" s="3" t="s">
        <v>831</v>
      </c>
      <c r="F257" s="1"/>
      <c r="G257" s="1" t="s">
        <v>42</v>
      </c>
      <c r="H257" s="1">
        <v>2</v>
      </c>
      <c r="I257" s="1">
        <v>9</v>
      </c>
      <c r="J257" s="1">
        <v>9</v>
      </c>
      <c r="K257" s="1">
        <v>0</v>
      </c>
      <c r="L257" s="1">
        <v>0</v>
      </c>
      <c r="M257" s="1">
        <f t="shared" si="10"/>
        <v>5238</v>
      </c>
      <c r="N257" s="1">
        <f t="shared" si="11"/>
        <v>5238</v>
      </c>
      <c r="O257" s="2" t="s">
        <v>826</v>
      </c>
      <c r="P257" s="1"/>
      <c r="Q257" s="1">
        <v>1.39</v>
      </c>
      <c r="R257" s="1" t="s">
        <v>44</v>
      </c>
      <c r="S257" s="30" t="s">
        <v>145</v>
      </c>
      <c r="T257" s="31" t="s">
        <v>826</v>
      </c>
      <c r="U257" s="1"/>
      <c r="V257" s="1">
        <v>1000</v>
      </c>
      <c r="W257" s="1" t="s">
        <v>827</v>
      </c>
      <c r="X257" s="32" t="s">
        <v>828</v>
      </c>
      <c r="Y257" s="1" t="s">
        <v>829</v>
      </c>
      <c r="Z257" s="2" t="s">
        <v>826</v>
      </c>
      <c r="AA257" s="1"/>
      <c r="AB257" s="1"/>
      <c r="AC257" s="1"/>
      <c r="AD257" s="1"/>
      <c r="AE257" s="1"/>
      <c r="AF257" s="1"/>
      <c r="AG257" s="1"/>
      <c r="AH257" s="1"/>
      <c r="AI257" s="1"/>
      <c r="AJ257" s="1"/>
      <c r="AK257" s="1"/>
      <c r="AL257" s="1"/>
      <c r="AM257" s="1"/>
      <c r="AN257" s="1"/>
      <c r="AO257" s="1"/>
      <c r="AP257" s="1"/>
      <c r="AQ257" s="1"/>
      <c r="AR257" s="1"/>
      <c r="AS257" s="1"/>
      <c r="AT257" s="1"/>
      <c r="AU257" s="1"/>
      <c r="AV257" s="1">
        <f>SUM($AT257,Z257:$AA257)-SUM($AV$5:AV$5)*$J257-SUM($AV$6:AV$6)*$K257</f>
        <v>0</v>
      </c>
      <c r="AW257" s="1">
        <f>SUM($AT257,$AA257:AA257)-SUM($AV$5:AW$5)*$J257-SUM($AV$6:AW$6)*$K257</f>
        <v>0</v>
      </c>
      <c r="AX257" s="1">
        <f>SUM($AT257,$AA257:AB257)-SUM($AV$5:AX$5)*$J257-SUM($AV$6:AX$6)*$K257</f>
        <v>0</v>
      </c>
      <c r="AY257" s="1">
        <f>SUM($AT257,$AA257:AC257)-SUM($AV$5:AY$5)*$J257-SUM($AV$6:AY$6)*$K257</f>
        <v>0</v>
      </c>
      <c r="AZ257" s="1">
        <f>SUM($AT257,$AA257:AD257)-SUM($AV$5:AZ$5)*$J257-SUM($AV$6:AZ$6)*$K257</f>
        <v>-360</v>
      </c>
      <c r="BA257" s="1">
        <f>SUM($AT257,$AA257:AE257)-SUM($AV$5:BA$5)*$J257-SUM($AV$6:BA$6)*$K257</f>
        <v>-720</v>
      </c>
      <c r="BB257" s="1">
        <f>SUM($AT257,$AA257:AF257)-SUM($AV$5:BB$5)*$J257-SUM($AV$6:BB$6)*$K257</f>
        <v>-1080</v>
      </c>
      <c r="BC257" s="1">
        <f>SUM($AT257,$AA257:AG257)-SUM($AV$5:BC$5)*$J257-SUM($AV$6:BC$6)*$K257</f>
        <v>-1440</v>
      </c>
      <c r="BD257" s="1">
        <f>SUM($AT257,$AA257:AH257)-SUM($AV$5:BD$5)*$J257-SUM($AV$6:BD$6)*$K257</f>
        <v>-1800</v>
      </c>
      <c r="BE257" s="1">
        <f>SUM($AT257,$AA257:AI257)-SUM($AV$5:BE$5)*$J257-SUM($AV$6:BE$6)*$K257</f>
        <v>-2160</v>
      </c>
      <c r="BF257" s="1">
        <f>SUM($AT257,$AA257:AJ257)-SUM($AV$5:BF$5)*$J257-SUM($AV$6:BF$6)*$K257</f>
        <v>-2520</v>
      </c>
      <c r="BG257" s="1">
        <f>SUM($AT257,$AA257:AK257)-SUM($AV$5:BG$5)*$J257-SUM($AV$6:BG$6)*$K257</f>
        <v>-2880</v>
      </c>
      <c r="BH257" s="1">
        <f>SUM($AT257,$AA257:AL257)-SUM($AV$5:BH$5)*$J257-SUM($AV$6:BH$6)*$K257</f>
        <v>-3240</v>
      </c>
      <c r="BI257" s="1">
        <f>SUM($AT257,$AA257:AM257)-SUM($AV$5:BI$5)*$J257-SUM($AV$6:BI$6)*$K257</f>
        <v>-3600</v>
      </c>
      <c r="BJ257" s="1">
        <f>SUM($AT257,$AA257:AN257)-SUM($AV$5:BJ$5)*$J257-SUM($AV$6:BJ$6)*$K257</f>
        <v>-3960</v>
      </c>
      <c r="BK257" s="1">
        <f>SUM($AT257,$AA257:AO257)-SUM($AV$5:BK$5)*$J257-SUM($AV$6:BK$6)*$K257</f>
        <v>-4320</v>
      </c>
      <c r="BL257" s="1">
        <f>SUM($AT257,$AA257:AP257)-SUM($AV$5:BL$5)*$J257-SUM($AV$6:BL$6)*$K257</f>
        <v>-4680</v>
      </c>
      <c r="BM257" s="1">
        <f>SUM($AT257,$AA257:AQ257)-SUM($AV$5:BM$5)*$J257-SUM($AV$6:BM$6)*$K257</f>
        <v>-5040</v>
      </c>
      <c r="BN257" s="1">
        <f>SUM($AT257,$AA257:AR257)-SUM($AV$5:BN$5)*$J257-SUM($AV$6:BN$6)*$K257</f>
        <v>-5238</v>
      </c>
    </row>
    <row r="258" spans="1:66">
      <c r="A258" s="1">
        <v>300</v>
      </c>
      <c r="B258" s="45" t="s">
        <v>832</v>
      </c>
      <c r="C258" s="1" t="s">
        <v>40</v>
      </c>
      <c r="D258" s="2">
        <v>402303137</v>
      </c>
      <c r="E258" s="3" t="s">
        <v>833</v>
      </c>
      <c r="F258" s="1"/>
      <c r="G258" s="1" t="s">
        <v>42</v>
      </c>
      <c r="H258" s="1">
        <v>1</v>
      </c>
      <c r="I258" s="1">
        <v>16</v>
      </c>
      <c r="J258" s="1">
        <v>16</v>
      </c>
      <c r="K258" s="1">
        <v>0</v>
      </c>
      <c r="L258" s="1">
        <v>0</v>
      </c>
      <c r="M258" s="1">
        <f t="shared" si="10"/>
        <v>9312</v>
      </c>
      <c r="N258" s="1">
        <f t="shared" si="11"/>
        <v>9312</v>
      </c>
      <c r="O258" s="2" t="s">
        <v>358</v>
      </c>
      <c r="P258" s="1"/>
      <c r="Q258" s="1">
        <v>1.78</v>
      </c>
      <c r="R258" s="1" t="s">
        <v>44</v>
      </c>
      <c r="S258" s="30" t="s">
        <v>359</v>
      </c>
      <c r="T258" s="31" t="s">
        <v>360</v>
      </c>
      <c r="U258" s="1"/>
      <c r="V258" s="1">
        <v>4500</v>
      </c>
      <c r="W258" s="1" t="s">
        <v>361</v>
      </c>
      <c r="X258" s="32" t="s">
        <v>362</v>
      </c>
      <c r="Y258" s="1" t="s">
        <v>363</v>
      </c>
      <c r="Z258" s="2" t="s">
        <v>358</v>
      </c>
      <c r="AA258" s="1"/>
      <c r="AB258" s="1"/>
      <c r="AC258" s="1"/>
      <c r="AD258" s="1"/>
      <c r="AE258" s="1"/>
      <c r="AF258" s="1"/>
      <c r="AG258" s="1"/>
      <c r="AH258" s="1"/>
      <c r="AI258" s="1"/>
      <c r="AJ258" s="1"/>
      <c r="AK258" s="1"/>
      <c r="AL258" s="1"/>
      <c r="AM258" s="1"/>
      <c r="AN258" s="1"/>
      <c r="AO258" s="1"/>
      <c r="AP258" s="1"/>
      <c r="AQ258" s="1"/>
      <c r="AR258" s="1"/>
      <c r="AS258" s="1"/>
      <c r="AT258" s="1"/>
      <c r="AU258" s="1"/>
      <c r="AV258" s="1">
        <f>SUM($AT258,Z258:$AA258)-SUM($AV$5:AV$5)*$J258-SUM($AV$6:AV$6)*$K258</f>
        <v>0</v>
      </c>
      <c r="AW258" s="1">
        <f>SUM($AT258,$AA258:AA258)-SUM($AV$5:AW$5)*$J258-SUM($AV$6:AW$6)*$K258</f>
        <v>0</v>
      </c>
      <c r="AX258" s="1">
        <f>SUM($AT258,$AA258:AB258)-SUM($AV$5:AX$5)*$J258-SUM($AV$6:AX$6)*$K258</f>
        <v>0</v>
      </c>
      <c r="AY258" s="1">
        <f>SUM($AT258,$AA258:AC258)-SUM($AV$5:AY$5)*$J258-SUM($AV$6:AY$6)*$K258</f>
        <v>0</v>
      </c>
      <c r="AZ258" s="1">
        <f>SUM($AT258,$AA258:AD258)-SUM($AV$5:AZ$5)*$J258-SUM($AV$6:AZ$6)*$K258</f>
        <v>-640</v>
      </c>
      <c r="BA258" s="1">
        <f>SUM($AT258,$AA258:AE258)-SUM($AV$5:BA$5)*$J258-SUM($AV$6:BA$6)*$K258</f>
        <v>-1280</v>
      </c>
      <c r="BB258" s="1">
        <f>SUM($AT258,$AA258:AF258)-SUM($AV$5:BB$5)*$J258-SUM($AV$6:BB$6)*$K258</f>
        <v>-1920</v>
      </c>
      <c r="BC258" s="1">
        <f>SUM($AT258,$AA258:AG258)-SUM($AV$5:BC$5)*$J258-SUM($AV$6:BC$6)*$K258</f>
        <v>-2560</v>
      </c>
      <c r="BD258" s="1">
        <f>SUM($AT258,$AA258:AH258)-SUM($AV$5:BD$5)*$J258-SUM($AV$6:BD$6)*$K258</f>
        <v>-3200</v>
      </c>
      <c r="BE258" s="1">
        <f>SUM($AT258,$AA258:AI258)-SUM($AV$5:BE$5)*$J258-SUM($AV$6:BE$6)*$K258</f>
        <v>-3840</v>
      </c>
      <c r="BF258" s="1">
        <f>SUM($AT258,$AA258:AJ258)-SUM($AV$5:BF$5)*$J258-SUM($AV$6:BF$6)*$K258</f>
        <v>-4480</v>
      </c>
      <c r="BG258" s="1">
        <f>SUM($AT258,$AA258:AK258)-SUM($AV$5:BG$5)*$J258-SUM($AV$6:BG$6)*$K258</f>
        <v>-5120</v>
      </c>
      <c r="BH258" s="1">
        <f>SUM($AT258,$AA258:AL258)-SUM($AV$5:BH$5)*$J258-SUM($AV$6:BH$6)*$K258</f>
        <v>-5760</v>
      </c>
      <c r="BI258" s="1">
        <f>SUM($AT258,$AA258:AM258)-SUM($AV$5:BI$5)*$J258-SUM($AV$6:BI$6)*$K258</f>
        <v>-6400</v>
      </c>
      <c r="BJ258" s="1">
        <f>SUM($AT258,$AA258:AN258)-SUM($AV$5:BJ$5)*$J258-SUM($AV$6:BJ$6)*$K258</f>
        <v>-7040</v>
      </c>
      <c r="BK258" s="1">
        <f>SUM($AT258,$AA258:AO258)-SUM($AV$5:BK$5)*$J258-SUM($AV$6:BK$6)*$K258</f>
        <v>-7680</v>
      </c>
      <c r="BL258" s="1">
        <f>SUM($AT258,$AA258:AP258)-SUM($AV$5:BL$5)*$J258-SUM($AV$6:BL$6)*$K258</f>
        <v>-8320</v>
      </c>
      <c r="BM258" s="1">
        <f>SUM($AT258,$AA258:AQ258)-SUM($AV$5:BM$5)*$J258-SUM($AV$6:BM$6)*$K258</f>
        <v>-8960</v>
      </c>
      <c r="BN258" s="1">
        <f>SUM($AT258,$AA258:AR258)-SUM($AV$5:BN$5)*$J258-SUM($AV$6:BN$6)*$K258</f>
        <v>-9312</v>
      </c>
    </row>
    <row r="259" spans="1:66">
      <c r="A259" s="1">
        <v>269</v>
      </c>
      <c r="B259" s="28" t="s">
        <v>834</v>
      </c>
      <c r="C259" s="1" t="s">
        <v>299</v>
      </c>
      <c r="D259" s="2">
        <v>525415337</v>
      </c>
      <c r="E259" s="3" t="s">
        <v>835</v>
      </c>
      <c r="F259" s="1"/>
      <c r="G259" s="1" t="s">
        <v>42</v>
      </c>
      <c r="H259" s="1">
        <v>2</v>
      </c>
      <c r="I259" s="1">
        <v>6</v>
      </c>
      <c r="J259" s="1">
        <v>0</v>
      </c>
      <c r="K259" s="1">
        <v>6</v>
      </c>
      <c r="L259" s="1">
        <v>0</v>
      </c>
      <c r="M259" s="1">
        <f t="shared" si="10"/>
        <v>1656</v>
      </c>
      <c r="N259" s="1">
        <f t="shared" si="11"/>
        <v>1656</v>
      </c>
      <c r="O259" s="2" t="s">
        <v>836</v>
      </c>
      <c r="P259" s="1"/>
      <c r="Q259" s="31">
        <v>13.83</v>
      </c>
      <c r="R259" s="1" t="s">
        <v>44</v>
      </c>
      <c r="S259" s="30" t="s">
        <v>837</v>
      </c>
      <c r="T259" s="12" t="s">
        <v>493</v>
      </c>
      <c r="U259" s="1">
        <v>1</v>
      </c>
      <c r="V259" s="1">
        <v>1</v>
      </c>
      <c r="W259" s="1" t="s">
        <v>494</v>
      </c>
      <c r="X259" s="33" t="s">
        <v>495</v>
      </c>
      <c r="Y259" s="1" t="s">
        <v>496</v>
      </c>
      <c r="Z259" s="2" t="s">
        <v>836</v>
      </c>
      <c r="AA259" s="1"/>
      <c r="AB259" s="1"/>
      <c r="AC259" s="1"/>
      <c r="AD259" s="1"/>
      <c r="AE259" s="1"/>
      <c r="AF259" s="1"/>
      <c r="AG259" s="1"/>
      <c r="AH259" s="1"/>
      <c r="AI259" s="1"/>
      <c r="AJ259" s="1"/>
      <c r="AK259" s="1"/>
      <c r="AL259" s="1"/>
      <c r="AM259" s="1"/>
      <c r="AN259" s="1"/>
      <c r="AO259" s="1"/>
      <c r="AP259" s="1"/>
      <c r="AQ259" s="1"/>
      <c r="AR259" s="1"/>
      <c r="AS259" s="1"/>
      <c r="AT259" s="1"/>
      <c r="AU259" s="1"/>
      <c r="AV259" s="1">
        <f>SUM($AT259,Z259:$AA259)-SUM($AV$5:AV$5)*$J259-SUM($AV$6:AV$6)*$K259</f>
        <v>0</v>
      </c>
      <c r="AW259" s="1">
        <f>SUM($AT259,$AA259:AA259)-SUM($AV$5:AW$5)*$J259-SUM($AV$6:AW$6)*$K259</f>
        <v>0</v>
      </c>
      <c r="AX259" s="1">
        <f>SUM($AT259,$AA259:AB259)-SUM($AV$5:AX$5)*$J259-SUM($AV$6:AX$6)*$K259</f>
        <v>0</v>
      </c>
      <c r="AY259" s="1">
        <f>SUM($AT259,$AA259:AC259)-SUM($AV$5:AY$5)*$J259-SUM($AV$6:AY$6)*$K259</f>
        <v>0</v>
      </c>
      <c r="AZ259" s="1">
        <f>SUM($AT259,$AA259:AD259)-SUM($AV$5:AZ$5)*$J259-SUM($AV$6:AZ$6)*$K259</f>
        <v>-60</v>
      </c>
      <c r="BA259" s="1">
        <f>SUM($AT259,$AA259:AE259)-SUM($AV$5:BA$5)*$J259-SUM($AV$6:BA$6)*$K259</f>
        <v>-180</v>
      </c>
      <c r="BB259" s="1">
        <f>SUM($AT259,$AA259:AF259)-SUM($AV$5:BB$5)*$J259-SUM($AV$6:BB$6)*$K259</f>
        <v>-720</v>
      </c>
      <c r="BC259" s="1">
        <f>SUM($AT259,$AA259:AG259)-SUM($AV$5:BC$5)*$J259-SUM($AV$6:BC$6)*$K259</f>
        <v>-1260</v>
      </c>
      <c r="BD259" s="1">
        <f>SUM($AT259,$AA259:AH259)-SUM($AV$5:BD$5)*$J259-SUM($AV$6:BD$6)*$K259</f>
        <v>-1656</v>
      </c>
      <c r="BE259" s="1">
        <f>SUM($AT259,$AA259:AI259)-SUM($AV$5:BE$5)*$J259-SUM($AV$6:BE$6)*$K259</f>
        <v>-1656</v>
      </c>
      <c r="BF259" s="1">
        <f>SUM($AT259,$AA259:AJ259)-SUM($AV$5:BF$5)*$J259-SUM($AV$6:BF$6)*$K259</f>
        <v>-1656</v>
      </c>
      <c r="BG259" s="1">
        <f>SUM($AT259,$AA259:AK259)-SUM($AV$5:BG$5)*$J259-SUM($AV$6:BG$6)*$K259</f>
        <v>-1656</v>
      </c>
      <c r="BH259" s="1">
        <f>SUM($AT259,$AA259:AL259)-SUM($AV$5:BH$5)*$J259-SUM($AV$6:BH$6)*$K259</f>
        <v>-1656</v>
      </c>
      <c r="BI259" s="1">
        <f>SUM($AT259,$AA259:AM259)-SUM($AV$5:BI$5)*$J259-SUM($AV$6:BI$6)*$K259</f>
        <v>-1656</v>
      </c>
      <c r="BJ259" s="1">
        <f>SUM($AT259,$AA259:AN259)-SUM($AV$5:BJ$5)*$J259-SUM($AV$6:BJ$6)*$K259</f>
        <v>-1656</v>
      </c>
      <c r="BK259" s="1">
        <f>SUM($AT259,$AA259:AO259)-SUM($AV$5:BK$5)*$J259-SUM($AV$6:BK$6)*$K259</f>
        <v>-1656</v>
      </c>
      <c r="BL259" s="1">
        <f>SUM($AT259,$AA259:AP259)-SUM($AV$5:BL$5)*$J259-SUM($AV$6:BL$6)*$K259</f>
        <v>-1656</v>
      </c>
      <c r="BM259" s="1">
        <f>SUM($AT259,$AA259:AQ259)-SUM($AV$5:BM$5)*$J259-SUM($AV$6:BM$6)*$K259</f>
        <v>-1656</v>
      </c>
      <c r="BN259" s="1">
        <f>SUM($AT259,$AA259:AR259)-SUM($AV$5:BN$5)*$J259-SUM($AV$6:BN$6)*$K259</f>
        <v>-1656</v>
      </c>
    </row>
    <row r="260" spans="1:66">
      <c r="A260" s="1">
        <v>270</v>
      </c>
      <c r="B260" s="28" t="s">
        <v>838</v>
      </c>
      <c r="C260" s="1" t="s">
        <v>176</v>
      </c>
      <c r="D260" s="2">
        <v>526945498</v>
      </c>
      <c r="E260" s="3" t="s">
        <v>839</v>
      </c>
      <c r="F260" s="1"/>
      <c r="G260" s="1" t="s">
        <v>42</v>
      </c>
      <c r="H260" s="1">
        <v>2</v>
      </c>
      <c r="I260" s="1">
        <v>6</v>
      </c>
      <c r="J260" s="1">
        <v>0</v>
      </c>
      <c r="K260" s="1">
        <v>6</v>
      </c>
      <c r="L260" s="1">
        <v>0</v>
      </c>
      <c r="M260" s="1">
        <f t="shared" si="10"/>
        <v>1656</v>
      </c>
      <c r="N260" s="1">
        <f t="shared" si="11"/>
        <v>1656</v>
      </c>
      <c r="O260" s="2" t="s">
        <v>840</v>
      </c>
      <c r="P260" s="1"/>
      <c r="Q260" s="31">
        <v>6.98</v>
      </c>
      <c r="R260" s="1" t="s">
        <v>44</v>
      </c>
      <c r="S260" s="30" t="s">
        <v>837</v>
      </c>
      <c r="T260" s="12" t="s">
        <v>493</v>
      </c>
      <c r="U260" s="1">
        <v>1</v>
      </c>
      <c r="V260" s="1">
        <v>1</v>
      </c>
      <c r="W260" s="1" t="s">
        <v>494</v>
      </c>
      <c r="X260" s="33" t="s">
        <v>495</v>
      </c>
      <c r="Y260" s="1" t="s">
        <v>496</v>
      </c>
      <c r="Z260" s="2" t="s">
        <v>840</v>
      </c>
      <c r="AA260" s="1"/>
      <c r="AB260" s="1"/>
      <c r="AC260" s="1"/>
      <c r="AD260" s="1"/>
      <c r="AE260" s="1"/>
      <c r="AF260" s="1"/>
      <c r="AG260" s="1"/>
      <c r="AH260" s="1"/>
      <c r="AI260" s="1"/>
      <c r="AJ260" s="1"/>
      <c r="AK260" s="1"/>
      <c r="AL260" s="1"/>
      <c r="AM260" s="1"/>
      <c r="AN260" s="1"/>
      <c r="AO260" s="1"/>
      <c r="AP260" s="1"/>
      <c r="AQ260" s="1"/>
      <c r="AR260" s="1"/>
      <c r="AS260" s="1"/>
      <c r="AT260" s="1"/>
      <c r="AU260" s="1"/>
      <c r="AV260" s="1">
        <f>SUM($AT260,Z260:$AA260)-SUM($AV$5:AV$5)*$J260-SUM($AV$6:AV$6)*$K260</f>
        <v>0</v>
      </c>
      <c r="AW260" s="1">
        <f>SUM($AT260,$AA260:AA260)-SUM($AV$5:AW$5)*$J260-SUM($AV$6:AW$6)*$K260</f>
        <v>0</v>
      </c>
      <c r="AX260" s="1">
        <f>SUM($AT260,$AA260:AB260)-SUM($AV$5:AX$5)*$J260-SUM($AV$6:AX$6)*$K260</f>
        <v>0</v>
      </c>
      <c r="AY260" s="1">
        <f>SUM($AT260,$AA260:AC260)-SUM($AV$5:AY$5)*$J260-SUM($AV$6:AY$6)*$K260</f>
        <v>0</v>
      </c>
      <c r="AZ260" s="1">
        <f>SUM($AT260,$AA260:AD260)-SUM($AV$5:AZ$5)*$J260-SUM($AV$6:AZ$6)*$K260</f>
        <v>-60</v>
      </c>
      <c r="BA260" s="1">
        <f>SUM($AT260,$AA260:AE260)-SUM($AV$5:BA$5)*$J260-SUM($AV$6:BA$6)*$K260</f>
        <v>-180</v>
      </c>
      <c r="BB260" s="1">
        <f>SUM($AT260,$AA260:AF260)-SUM($AV$5:BB$5)*$J260-SUM($AV$6:BB$6)*$K260</f>
        <v>-720</v>
      </c>
      <c r="BC260" s="1">
        <f>SUM($AT260,$AA260:AG260)-SUM($AV$5:BC$5)*$J260-SUM($AV$6:BC$6)*$K260</f>
        <v>-1260</v>
      </c>
      <c r="BD260" s="1">
        <f>SUM($AT260,$AA260:AH260)-SUM($AV$5:BD$5)*$J260-SUM($AV$6:BD$6)*$K260</f>
        <v>-1656</v>
      </c>
      <c r="BE260" s="1">
        <f>SUM($AT260,$AA260:AI260)-SUM($AV$5:BE$5)*$J260-SUM($AV$6:BE$6)*$K260</f>
        <v>-1656</v>
      </c>
      <c r="BF260" s="1">
        <f>SUM($AT260,$AA260:AJ260)-SUM($AV$5:BF$5)*$J260-SUM($AV$6:BF$6)*$K260</f>
        <v>-1656</v>
      </c>
      <c r="BG260" s="1">
        <f>SUM($AT260,$AA260:AK260)-SUM($AV$5:BG$5)*$J260-SUM($AV$6:BG$6)*$K260</f>
        <v>-1656</v>
      </c>
      <c r="BH260" s="1">
        <f>SUM($AT260,$AA260:AL260)-SUM($AV$5:BH$5)*$J260-SUM($AV$6:BH$6)*$K260</f>
        <v>-1656</v>
      </c>
      <c r="BI260" s="1">
        <f>SUM($AT260,$AA260:AM260)-SUM($AV$5:BI$5)*$J260-SUM($AV$6:BI$6)*$K260</f>
        <v>-1656</v>
      </c>
      <c r="BJ260" s="1">
        <f>SUM($AT260,$AA260:AN260)-SUM($AV$5:BJ$5)*$J260-SUM($AV$6:BJ$6)*$K260</f>
        <v>-1656</v>
      </c>
      <c r="BK260" s="1">
        <f>SUM($AT260,$AA260:AO260)-SUM($AV$5:BK$5)*$J260-SUM($AV$6:BK$6)*$K260</f>
        <v>-1656</v>
      </c>
      <c r="BL260" s="1">
        <f>SUM($AT260,$AA260:AP260)-SUM($AV$5:BL$5)*$J260-SUM($AV$6:BL$6)*$K260</f>
        <v>-1656</v>
      </c>
      <c r="BM260" s="1">
        <f>SUM($AT260,$AA260:AQ260)-SUM($AV$5:BM$5)*$J260-SUM($AV$6:BM$6)*$K260</f>
        <v>-1656</v>
      </c>
      <c r="BN260" s="1">
        <f>SUM($AT260,$AA260:AR260)-SUM($AV$5:BN$5)*$J260-SUM($AV$6:BN$6)*$K260</f>
        <v>-1656</v>
      </c>
    </row>
    <row r="261" spans="1:66">
      <c r="A261" s="1">
        <v>302</v>
      </c>
      <c r="B261" s="28" t="s">
        <v>841</v>
      </c>
      <c r="C261" s="1" t="s">
        <v>40</v>
      </c>
      <c r="D261" s="2">
        <v>401059905</v>
      </c>
      <c r="E261" s="3" t="s">
        <v>842</v>
      </c>
      <c r="F261" s="1"/>
      <c r="G261" s="1" t="s">
        <v>42</v>
      </c>
      <c r="H261" s="1">
        <v>1</v>
      </c>
      <c r="I261" s="1">
        <v>4</v>
      </c>
      <c r="J261" s="1">
        <v>4</v>
      </c>
      <c r="K261" s="1">
        <v>0</v>
      </c>
      <c r="L261" s="1">
        <v>0</v>
      </c>
      <c r="M261" s="1">
        <f t="shared" si="10"/>
        <v>2328</v>
      </c>
      <c r="N261" s="1">
        <f t="shared" si="11"/>
        <v>2328</v>
      </c>
      <c r="O261" s="2" t="s">
        <v>393</v>
      </c>
      <c r="P261" s="1"/>
      <c r="Q261" s="1">
        <v>6.4999999999999997E-3</v>
      </c>
      <c r="R261" s="1" t="s">
        <v>44</v>
      </c>
      <c r="S261" s="30" t="s">
        <v>386</v>
      </c>
      <c r="T261" s="31" t="s">
        <v>369</v>
      </c>
      <c r="U261" s="1">
        <v>10000</v>
      </c>
      <c r="V261" s="1">
        <v>10000</v>
      </c>
      <c r="W261" s="1" t="s">
        <v>370</v>
      </c>
      <c r="X261" s="32" t="s">
        <v>371</v>
      </c>
      <c r="Y261" s="1" t="s">
        <v>372</v>
      </c>
      <c r="Z261" s="2" t="s">
        <v>383</v>
      </c>
      <c r="AA261" s="1"/>
      <c r="AB261" s="1"/>
      <c r="AC261" s="1"/>
      <c r="AD261" s="1"/>
      <c r="AE261" s="1"/>
      <c r="AF261" s="1"/>
      <c r="AG261" s="1"/>
      <c r="AH261" s="1"/>
      <c r="AI261" s="1"/>
      <c r="AJ261" s="1"/>
      <c r="AK261" s="1"/>
      <c r="AL261" s="1"/>
      <c r="AM261" s="1"/>
      <c r="AN261" s="1"/>
      <c r="AO261" s="1"/>
      <c r="AP261" s="1"/>
      <c r="AQ261" s="1"/>
      <c r="AR261" s="1"/>
      <c r="AS261" s="1"/>
      <c r="AT261" s="1"/>
      <c r="AU261" s="1"/>
      <c r="AV261" s="1">
        <f>SUM($AT261,Z261:$AA261)-SUM($AV$5:AV$5)*$J261-SUM($AV$6:AV$6)*$K261</f>
        <v>0</v>
      </c>
      <c r="AW261" s="1">
        <f>SUM($AT261,$AA261:AA261)-SUM($AV$5:AW$5)*$J261-SUM($AV$6:AW$6)*$K261</f>
        <v>0</v>
      </c>
      <c r="AX261" s="1">
        <f>SUM($AT261,$AA261:AB261)-SUM($AV$5:AX$5)*$J261-SUM($AV$6:AX$6)*$K261</f>
        <v>0</v>
      </c>
      <c r="AY261" s="1">
        <f>SUM($AT261,$AA261:AC261)-SUM($AV$5:AY$5)*$J261-SUM($AV$6:AY$6)*$K261</f>
        <v>0</v>
      </c>
      <c r="AZ261" s="1">
        <f>SUM($AT261,$AA261:AD261)-SUM($AV$5:AZ$5)*$J261-SUM($AV$6:AZ$6)*$K261</f>
        <v>-160</v>
      </c>
      <c r="BA261" s="1">
        <f>SUM($AT261,$AA261:AE261)-SUM($AV$5:BA$5)*$J261-SUM($AV$6:BA$6)*$K261</f>
        <v>-320</v>
      </c>
      <c r="BB261" s="1">
        <f>SUM($AT261,$AA261:AF261)-SUM($AV$5:BB$5)*$J261-SUM($AV$6:BB$6)*$K261</f>
        <v>-480</v>
      </c>
      <c r="BC261" s="1">
        <f>SUM($AT261,$AA261:AG261)-SUM($AV$5:BC$5)*$J261-SUM($AV$6:BC$6)*$K261</f>
        <v>-640</v>
      </c>
      <c r="BD261" s="1">
        <f>SUM($AT261,$AA261:AH261)-SUM($AV$5:BD$5)*$J261-SUM($AV$6:BD$6)*$K261</f>
        <v>-800</v>
      </c>
      <c r="BE261" s="1">
        <f>SUM($AT261,$AA261:AI261)-SUM($AV$5:BE$5)*$J261-SUM($AV$6:BE$6)*$K261</f>
        <v>-960</v>
      </c>
      <c r="BF261" s="1">
        <f>SUM($AT261,$AA261:AJ261)-SUM($AV$5:BF$5)*$J261-SUM($AV$6:BF$6)*$K261</f>
        <v>-1120</v>
      </c>
      <c r="BG261" s="1">
        <f>SUM($AT261,$AA261:AK261)-SUM($AV$5:BG$5)*$J261-SUM($AV$6:BG$6)*$K261</f>
        <v>-1280</v>
      </c>
      <c r="BH261" s="1">
        <f>SUM($AT261,$AA261:AL261)-SUM($AV$5:BH$5)*$J261-SUM($AV$6:BH$6)*$K261</f>
        <v>-1440</v>
      </c>
      <c r="BI261" s="1">
        <f>SUM($AT261,$AA261:AM261)-SUM($AV$5:BI$5)*$J261-SUM($AV$6:BI$6)*$K261</f>
        <v>-1600</v>
      </c>
      <c r="BJ261" s="1">
        <f>SUM($AT261,$AA261:AN261)-SUM($AV$5:BJ$5)*$J261-SUM($AV$6:BJ$6)*$K261</f>
        <v>-1760</v>
      </c>
      <c r="BK261" s="1">
        <f>SUM($AT261,$AA261:AO261)-SUM($AV$5:BK$5)*$J261-SUM($AV$6:BK$6)*$K261</f>
        <v>-1920</v>
      </c>
      <c r="BL261" s="1">
        <f>SUM($AT261,$AA261:AP261)-SUM($AV$5:BL$5)*$J261-SUM($AV$6:BL$6)*$K261</f>
        <v>-2080</v>
      </c>
      <c r="BM261" s="1">
        <f>SUM($AT261,$AA261:AQ261)-SUM($AV$5:BM$5)*$J261-SUM($AV$6:BM$6)*$K261</f>
        <v>-2240</v>
      </c>
      <c r="BN261" s="1">
        <f>SUM($AT261,$AA261:AR261)-SUM($AV$5:BN$5)*$J261-SUM($AV$6:BN$6)*$K261</f>
        <v>-2328</v>
      </c>
    </row>
    <row r="262" spans="1:66">
      <c r="A262" s="1">
        <v>303</v>
      </c>
      <c r="B262" s="28" t="s">
        <v>843</v>
      </c>
      <c r="C262" s="1" t="s">
        <v>40</v>
      </c>
      <c r="D262" s="2">
        <v>408730039</v>
      </c>
      <c r="E262" s="3" t="s">
        <v>844</v>
      </c>
      <c r="F262" s="1"/>
      <c r="G262" s="1" t="s">
        <v>42</v>
      </c>
      <c r="H262" s="1">
        <v>1</v>
      </c>
      <c r="I262" s="1">
        <v>2</v>
      </c>
      <c r="J262" s="1">
        <v>2</v>
      </c>
      <c r="K262" s="1">
        <v>0</v>
      </c>
      <c r="L262" s="1">
        <v>0</v>
      </c>
      <c r="M262" s="1">
        <f t="shared" si="10"/>
        <v>1164</v>
      </c>
      <c r="N262" s="1">
        <f t="shared" si="11"/>
        <v>1164</v>
      </c>
      <c r="O262" s="2" t="s">
        <v>393</v>
      </c>
      <c r="P262" s="1"/>
      <c r="Q262" s="1">
        <v>9.9000000000000008E-3</v>
      </c>
      <c r="R262" s="1" t="s">
        <v>44</v>
      </c>
      <c r="S262" s="30" t="s">
        <v>386</v>
      </c>
      <c r="T262" s="31" t="s">
        <v>369</v>
      </c>
      <c r="U262" s="1">
        <v>10000</v>
      </c>
      <c r="V262" s="1">
        <v>4000</v>
      </c>
      <c r="W262" s="1" t="s">
        <v>370</v>
      </c>
      <c r="X262" s="32" t="s">
        <v>371</v>
      </c>
      <c r="Y262" s="1" t="s">
        <v>372</v>
      </c>
      <c r="Z262" s="2" t="s">
        <v>383</v>
      </c>
      <c r="AA262" s="1"/>
      <c r="AB262" s="1"/>
      <c r="AC262" s="1"/>
      <c r="AD262" s="1"/>
      <c r="AE262" s="1"/>
      <c r="AF262" s="1"/>
      <c r="AG262" s="1"/>
      <c r="AH262" s="1"/>
      <c r="AI262" s="1"/>
      <c r="AJ262" s="1"/>
      <c r="AK262" s="1"/>
      <c r="AL262" s="1"/>
      <c r="AM262" s="1"/>
      <c r="AN262" s="1"/>
      <c r="AO262" s="1"/>
      <c r="AP262" s="1"/>
      <c r="AQ262" s="1"/>
      <c r="AR262" s="1"/>
      <c r="AS262" s="1"/>
      <c r="AT262" s="1"/>
      <c r="AU262" s="1"/>
      <c r="AV262" s="1">
        <f>SUM($AT262,Z262:$AA262)-SUM($AV$5:AV$5)*$J262-SUM($AV$6:AV$6)*$K262</f>
        <v>0</v>
      </c>
      <c r="AW262" s="1">
        <f>SUM($AT262,$AA262:AA262)-SUM($AV$5:AW$5)*$J262-SUM($AV$6:AW$6)*$K262</f>
        <v>0</v>
      </c>
      <c r="AX262" s="1">
        <f>SUM($AT262,$AA262:AB262)-SUM($AV$5:AX$5)*$J262-SUM($AV$6:AX$6)*$K262</f>
        <v>0</v>
      </c>
      <c r="AY262" s="1">
        <f>SUM($AT262,$AA262:AC262)-SUM($AV$5:AY$5)*$J262-SUM($AV$6:AY$6)*$K262</f>
        <v>0</v>
      </c>
      <c r="AZ262" s="1">
        <f>SUM($AT262,$AA262:AD262)-SUM($AV$5:AZ$5)*$J262-SUM($AV$6:AZ$6)*$K262</f>
        <v>-80</v>
      </c>
      <c r="BA262" s="1">
        <f>SUM($AT262,$AA262:AE262)-SUM($AV$5:BA$5)*$J262-SUM($AV$6:BA$6)*$K262</f>
        <v>-160</v>
      </c>
      <c r="BB262" s="1">
        <f>SUM($AT262,$AA262:AF262)-SUM($AV$5:BB$5)*$J262-SUM($AV$6:BB$6)*$K262</f>
        <v>-240</v>
      </c>
      <c r="BC262" s="1">
        <f>SUM($AT262,$AA262:AG262)-SUM($AV$5:BC$5)*$J262-SUM($AV$6:BC$6)*$K262</f>
        <v>-320</v>
      </c>
      <c r="BD262" s="1">
        <f>SUM($AT262,$AA262:AH262)-SUM($AV$5:BD$5)*$J262-SUM($AV$6:BD$6)*$K262</f>
        <v>-400</v>
      </c>
      <c r="BE262" s="1">
        <f>SUM($AT262,$AA262:AI262)-SUM($AV$5:BE$5)*$J262-SUM($AV$6:BE$6)*$K262</f>
        <v>-480</v>
      </c>
      <c r="BF262" s="1">
        <f>SUM($AT262,$AA262:AJ262)-SUM($AV$5:BF$5)*$J262-SUM($AV$6:BF$6)*$K262</f>
        <v>-560</v>
      </c>
      <c r="BG262" s="1">
        <f>SUM($AT262,$AA262:AK262)-SUM($AV$5:BG$5)*$J262-SUM($AV$6:BG$6)*$K262</f>
        <v>-640</v>
      </c>
      <c r="BH262" s="1">
        <f>SUM($AT262,$AA262:AL262)-SUM($AV$5:BH$5)*$J262-SUM($AV$6:BH$6)*$K262</f>
        <v>-720</v>
      </c>
      <c r="BI262" s="1">
        <f>SUM($AT262,$AA262:AM262)-SUM($AV$5:BI$5)*$J262-SUM($AV$6:BI$6)*$K262</f>
        <v>-800</v>
      </c>
      <c r="BJ262" s="1">
        <f>SUM($AT262,$AA262:AN262)-SUM($AV$5:BJ$5)*$J262-SUM($AV$6:BJ$6)*$K262</f>
        <v>-880</v>
      </c>
      <c r="BK262" s="1">
        <f>SUM($AT262,$AA262:AO262)-SUM($AV$5:BK$5)*$J262-SUM($AV$6:BK$6)*$K262</f>
        <v>-960</v>
      </c>
      <c r="BL262" s="1">
        <f>SUM($AT262,$AA262:AP262)-SUM($AV$5:BL$5)*$J262-SUM($AV$6:BL$6)*$K262</f>
        <v>-1040</v>
      </c>
      <c r="BM262" s="1">
        <f>SUM($AT262,$AA262:AQ262)-SUM($AV$5:BM$5)*$J262-SUM($AV$6:BM$6)*$K262</f>
        <v>-1120</v>
      </c>
      <c r="BN262" s="1">
        <f>SUM($AT262,$AA262:AR262)-SUM($AV$5:BN$5)*$J262-SUM($AV$6:BN$6)*$K262</f>
        <v>-1164</v>
      </c>
    </row>
    <row r="263" spans="1:66">
      <c r="A263" s="1">
        <v>304</v>
      </c>
      <c r="B263" s="28" t="s">
        <v>845</v>
      </c>
      <c r="C263" s="1" t="s">
        <v>40</v>
      </c>
      <c r="D263" s="2">
        <v>405968065</v>
      </c>
      <c r="E263" s="3" t="s">
        <v>846</v>
      </c>
      <c r="F263" s="1"/>
      <c r="G263" s="1" t="s">
        <v>42</v>
      </c>
      <c r="H263" s="1">
        <v>1</v>
      </c>
      <c r="I263" s="1">
        <v>1</v>
      </c>
      <c r="J263" s="1">
        <v>1</v>
      </c>
      <c r="K263" s="1">
        <v>0</v>
      </c>
      <c r="L263" s="1">
        <v>0</v>
      </c>
      <c r="M263" s="1">
        <f t="shared" si="10"/>
        <v>582</v>
      </c>
      <c r="N263" s="1">
        <f t="shared" si="11"/>
        <v>582</v>
      </c>
      <c r="O263" s="2" t="s">
        <v>393</v>
      </c>
      <c r="P263" s="1"/>
      <c r="Q263" s="1">
        <v>6.4999999999999997E-3</v>
      </c>
      <c r="R263" s="1" t="s">
        <v>44</v>
      </c>
      <c r="S263" s="30" t="s">
        <v>386</v>
      </c>
      <c r="T263" s="31" t="s">
        <v>369</v>
      </c>
      <c r="U263" s="1">
        <v>10000</v>
      </c>
      <c r="V263" s="1">
        <v>4000</v>
      </c>
      <c r="W263" s="1" t="s">
        <v>370</v>
      </c>
      <c r="X263" s="32" t="s">
        <v>371</v>
      </c>
      <c r="Y263" s="1" t="s">
        <v>372</v>
      </c>
      <c r="Z263" s="2" t="s">
        <v>383</v>
      </c>
      <c r="AA263" s="1"/>
      <c r="AB263" s="1"/>
      <c r="AC263" s="1"/>
      <c r="AD263" s="1"/>
      <c r="AE263" s="1"/>
      <c r="AF263" s="1"/>
      <c r="AG263" s="1"/>
      <c r="AH263" s="1"/>
      <c r="AI263" s="1"/>
      <c r="AJ263" s="1"/>
      <c r="AK263" s="1"/>
      <c r="AL263" s="1"/>
      <c r="AM263" s="1"/>
      <c r="AN263" s="1"/>
      <c r="AO263" s="1"/>
      <c r="AP263" s="1"/>
      <c r="AQ263" s="1"/>
      <c r="AR263" s="1"/>
      <c r="AS263" s="1"/>
      <c r="AT263" s="1"/>
      <c r="AU263" s="1"/>
      <c r="AV263" s="1">
        <f>SUM($AT263,Z263:$AA263)-SUM($AV$5:AV$5)*$J263-SUM($AV$6:AV$6)*$K263</f>
        <v>0</v>
      </c>
      <c r="AW263" s="1">
        <f>SUM($AT263,$AA263:AA263)-SUM($AV$5:AW$5)*$J263-SUM($AV$6:AW$6)*$K263</f>
        <v>0</v>
      </c>
      <c r="AX263" s="1">
        <f>SUM($AT263,$AA263:AB263)-SUM($AV$5:AX$5)*$J263-SUM($AV$6:AX$6)*$K263</f>
        <v>0</v>
      </c>
      <c r="AY263" s="1">
        <f>SUM($AT263,$AA263:AC263)-SUM($AV$5:AY$5)*$J263-SUM($AV$6:AY$6)*$K263</f>
        <v>0</v>
      </c>
      <c r="AZ263" s="1">
        <f>SUM($AT263,$AA263:AD263)-SUM($AV$5:AZ$5)*$J263-SUM($AV$6:AZ$6)*$K263</f>
        <v>-40</v>
      </c>
      <c r="BA263" s="1">
        <f>SUM($AT263,$AA263:AE263)-SUM($AV$5:BA$5)*$J263-SUM($AV$6:BA$6)*$K263</f>
        <v>-80</v>
      </c>
      <c r="BB263" s="1">
        <f>SUM($AT263,$AA263:AF263)-SUM($AV$5:BB$5)*$J263-SUM($AV$6:BB$6)*$K263</f>
        <v>-120</v>
      </c>
      <c r="BC263" s="1">
        <f>SUM($AT263,$AA263:AG263)-SUM($AV$5:BC$5)*$J263-SUM($AV$6:BC$6)*$K263</f>
        <v>-160</v>
      </c>
      <c r="BD263" s="1">
        <f>SUM($AT263,$AA263:AH263)-SUM($AV$5:BD$5)*$J263-SUM($AV$6:BD$6)*$K263</f>
        <v>-200</v>
      </c>
      <c r="BE263" s="1">
        <f>SUM($AT263,$AA263:AI263)-SUM($AV$5:BE$5)*$J263-SUM($AV$6:BE$6)*$K263</f>
        <v>-240</v>
      </c>
      <c r="BF263" s="1">
        <f>SUM($AT263,$AA263:AJ263)-SUM($AV$5:BF$5)*$J263-SUM($AV$6:BF$6)*$K263</f>
        <v>-280</v>
      </c>
      <c r="BG263" s="1">
        <f>SUM($AT263,$AA263:AK263)-SUM($AV$5:BG$5)*$J263-SUM($AV$6:BG$6)*$K263</f>
        <v>-320</v>
      </c>
      <c r="BH263" s="1">
        <f>SUM($AT263,$AA263:AL263)-SUM($AV$5:BH$5)*$J263-SUM($AV$6:BH$6)*$K263</f>
        <v>-360</v>
      </c>
      <c r="BI263" s="1">
        <f>SUM($AT263,$AA263:AM263)-SUM($AV$5:BI$5)*$J263-SUM($AV$6:BI$6)*$K263</f>
        <v>-400</v>
      </c>
      <c r="BJ263" s="1">
        <f>SUM($AT263,$AA263:AN263)-SUM($AV$5:BJ$5)*$J263-SUM($AV$6:BJ$6)*$K263</f>
        <v>-440</v>
      </c>
      <c r="BK263" s="1">
        <f>SUM($AT263,$AA263:AO263)-SUM($AV$5:BK$5)*$J263-SUM($AV$6:BK$6)*$K263</f>
        <v>-480</v>
      </c>
      <c r="BL263" s="1">
        <f>SUM($AT263,$AA263:AP263)-SUM($AV$5:BL$5)*$J263-SUM($AV$6:BL$6)*$K263</f>
        <v>-520</v>
      </c>
      <c r="BM263" s="1">
        <f>SUM($AT263,$AA263:AQ263)-SUM($AV$5:BM$5)*$J263-SUM($AV$6:BM$6)*$K263</f>
        <v>-560</v>
      </c>
      <c r="BN263" s="1">
        <f>SUM($AT263,$AA263:AR263)-SUM($AV$5:BN$5)*$J263-SUM($AV$6:BN$6)*$K263</f>
        <v>-582</v>
      </c>
    </row>
    <row r="264" spans="1:66">
      <c r="A264" s="1">
        <v>305</v>
      </c>
      <c r="B264" s="28" t="s">
        <v>847</v>
      </c>
      <c r="C264" s="1" t="s">
        <v>40</v>
      </c>
      <c r="D264" s="2">
        <v>408730037</v>
      </c>
      <c r="E264" s="3" t="s">
        <v>848</v>
      </c>
      <c r="F264" s="1"/>
      <c r="G264" s="1" t="s">
        <v>42</v>
      </c>
      <c r="H264" s="1">
        <v>1</v>
      </c>
      <c r="I264" s="1">
        <v>19</v>
      </c>
      <c r="J264" s="1">
        <v>19</v>
      </c>
      <c r="K264" s="1">
        <v>0</v>
      </c>
      <c r="L264" s="1">
        <v>0</v>
      </c>
      <c r="M264" s="1">
        <f t="shared" si="10"/>
        <v>11058</v>
      </c>
      <c r="N264" s="1">
        <f t="shared" si="11"/>
        <v>11058</v>
      </c>
      <c r="O264" s="2" t="s">
        <v>393</v>
      </c>
      <c r="P264" s="1"/>
      <c r="Q264" s="1">
        <v>6.4999999999999997E-3</v>
      </c>
      <c r="R264" s="1" t="s">
        <v>44</v>
      </c>
      <c r="S264" s="30" t="s">
        <v>386</v>
      </c>
      <c r="T264" s="31" t="s">
        <v>369</v>
      </c>
      <c r="U264" s="1">
        <v>10000</v>
      </c>
      <c r="V264" s="1">
        <v>4000</v>
      </c>
      <c r="W264" s="1" t="s">
        <v>370</v>
      </c>
      <c r="X264" s="32" t="s">
        <v>371</v>
      </c>
      <c r="Y264" s="1" t="s">
        <v>372</v>
      </c>
      <c r="Z264" s="2" t="s">
        <v>383</v>
      </c>
      <c r="AA264" s="1"/>
      <c r="AB264" s="1"/>
      <c r="AC264" s="1"/>
      <c r="AD264" s="1"/>
      <c r="AE264" s="1"/>
      <c r="AF264" s="1"/>
      <c r="AG264" s="1"/>
      <c r="AH264" s="1"/>
      <c r="AI264" s="1"/>
      <c r="AJ264" s="1"/>
      <c r="AK264" s="1"/>
      <c r="AL264" s="1"/>
      <c r="AM264" s="1"/>
      <c r="AN264" s="1"/>
      <c r="AO264" s="1"/>
      <c r="AP264" s="1"/>
      <c r="AQ264" s="1"/>
      <c r="AR264" s="1"/>
      <c r="AS264" s="1"/>
      <c r="AT264" s="1"/>
      <c r="AU264" s="1"/>
      <c r="AV264" s="1">
        <f>SUM($AT264,Z264:$AA264)-SUM($AV$5:AV$5)*$J264-SUM($AV$6:AV$6)*$K264</f>
        <v>0</v>
      </c>
      <c r="AW264" s="1">
        <f>SUM($AT264,$AA264:AA264)-SUM($AV$5:AW$5)*$J264-SUM($AV$6:AW$6)*$K264</f>
        <v>0</v>
      </c>
      <c r="AX264" s="1">
        <f>SUM($AT264,$AA264:AB264)-SUM($AV$5:AX$5)*$J264-SUM($AV$6:AX$6)*$K264</f>
        <v>0</v>
      </c>
      <c r="AY264" s="1">
        <f>SUM($AT264,$AA264:AC264)-SUM($AV$5:AY$5)*$J264-SUM($AV$6:AY$6)*$K264</f>
        <v>0</v>
      </c>
      <c r="AZ264" s="1">
        <f>SUM($AT264,$AA264:AD264)-SUM($AV$5:AZ$5)*$J264-SUM($AV$6:AZ$6)*$K264</f>
        <v>-760</v>
      </c>
      <c r="BA264" s="1">
        <f>SUM($AT264,$AA264:AE264)-SUM($AV$5:BA$5)*$J264-SUM($AV$6:BA$6)*$K264</f>
        <v>-1520</v>
      </c>
      <c r="BB264" s="1">
        <f>SUM($AT264,$AA264:AF264)-SUM($AV$5:BB$5)*$J264-SUM($AV$6:BB$6)*$K264</f>
        <v>-2280</v>
      </c>
      <c r="BC264" s="1">
        <f>SUM($AT264,$AA264:AG264)-SUM($AV$5:BC$5)*$J264-SUM($AV$6:BC$6)*$K264</f>
        <v>-3040</v>
      </c>
      <c r="BD264" s="1">
        <f>SUM($AT264,$AA264:AH264)-SUM($AV$5:BD$5)*$J264-SUM($AV$6:BD$6)*$K264</f>
        <v>-3800</v>
      </c>
      <c r="BE264" s="1">
        <f>SUM($AT264,$AA264:AI264)-SUM($AV$5:BE$5)*$J264-SUM($AV$6:BE$6)*$K264</f>
        <v>-4560</v>
      </c>
      <c r="BF264" s="1">
        <f>SUM($AT264,$AA264:AJ264)-SUM($AV$5:BF$5)*$J264-SUM($AV$6:BF$6)*$K264</f>
        <v>-5320</v>
      </c>
      <c r="BG264" s="1">
        <f>SUM($AT264,$AA264:AK264)-SUM($AV$5:BG$5)*$J264-SUM($AV$6:BG$6)*$K264</f>
        <v>-6080</v>
      </c>
      <c r="BH264" s="1">
        <f>SUM($AT264,$AA264:AL264)-SUM($AV$5:BH$5)*$J264-SUM($AV$6:BH$6)*$K264</f>
        <v>-6840</v>
      </c>
      <c r="BI264" s="1">
        <f>SUM($AT264,$AA264:AM264)-SUM($AV$5:BI$5)*$J264-SUM($AV$6:BI$6)*$K264</f>
        <v>-7600</v>
      </c>
      <c r="BJ264" s="1">
        <f>SUM($AT264,$AA264:AN264)-SUM($AV$5:BJ$5)*$J264-SUM($AV$6:BJ$6)*$K264</f>
        <v>-8360</v>
      </c>
      <c r="BK264" s="1">
        <f>SUM($AT264,$AA264:AO264)-SUM($AV$5:BK$5)*$J264-SUM($AV$6:BK$6)*$K264</f>
        <v>-9120</v>
      </c>
      <c r="BL264" s="1">
        <f>SUM($AT264,$AA264:AP264)-SUM($AV$5:BL$5)*$J264-SUM($AV$6:BL$6)*$K264</f>
        <v>-9880</v>
      </c>
      <c r="BM264" s="1">
        <f>SUM($AT264,$AA264:AQ264)-SUM($AV$5:BM$5)*$J264-SUM($AV$6:BM$6)*$K264</f>
        <v>-10640</v>
      </c>
      <c r="BN264" s="1">
        <f>SUM($AT264,$AA264:AR264)-SUM($AV$5:BN$5)*$J264-SUM($AV$6:BN$6)*$K264</f>
        <v>-11058</v>
      </c>
    </row>
    <row r="265" spans="1:66">
      <c r="A265" s="1">
        <v>306</v>
      </c>
      <c r="B265" s="28" t="s">
        <v>849</v>
      </c>
      <c r="C265" s="1" t="s">
        <v>40</v>
      </c>
      <c r="D265" s="2">
        <v>405968069</v>
      </c>
      <c r="E265" s="3" t="s">
        <v>850</v>
      </c>
      <c r="F265" s="1"/>
      <c r="G265" s="1" t="s">
        <v>42</v>
      </c>
      <c r="H265" s="1">
        <v>1</v>
      </c>
      <c r="I265" s="1">
        <v>8</v>
      </c>
      <c r="J265" s="1">
        <v>8</v>
      </c>
      <c r="K265" s="1">
        <v>0</v>
      </c>
      <c r="L265" s="1">
        <v>0</v>
      </c>
      <c r="M265" s="1">
        <f t="shared" si="10"/>
        <v>4656</v>
      </c>
      <c r="N265" s="1">
        <f t="shared" si="11"/>
        <v>4656</v>
      </c>
      <c r="O265" s="2" t="s">
        <v>393</v>
      </c>
      <c r="P265" s="1"/>
      <c r="Q265" s="1">
        <v>0.01</v>
      </c>
      <c r="R265" s="1" t="s">
        <v>44</v>
      </c>
      <c r="S265" s="30" t="s">
        <v>386</v>
      </c>
      <c r="T265" s="31" t="s">
        <v>369</v>
      </c>
      <c r="U265" s="1">
        <v>10000</v>
      </c>
      <c r="V265" s="1">
        <v>4000</v>
      </c>
      <c r="W265" s="1" t="s">
        <v>370</v>
      </c>
      <c r="X265" s="32" t="s">
        <v>371</v>
      </c>
      <c r="Y265" s="1" t="s">
        <v>372</v>
      </c>
      <c r="Z265" s="2" t="s">
        <v>383</v>
      </c>
      <c r="AA265" s="1"/>
      <c r="AB265" s="1"/>
      <c r="AC265" s="1"/>
      <c r="AD265" s="1"/>
      <c r="AE265" s="1"/>
      <c r="AF265" s="1"/>
      <c r="AG265" s="1"/>
      <c r="AH265" s="1"/>
      <c r="AI265" s="1"/>
      <c r="AJ265" s="1"/>
      <c r="AK265" s="1"/>
      <c r="AL265" s="1"/>
      <c r="AM265" s="1"/>
      <c r="AN265" s="1"/>
      <c r="AO265" s="1"/>
      <c r="AP265" s="1"/>
      <c r="AQ265" s="1"/>
      <c r="AR265" s="1"/>
      <c r="AS265" s="1"/>
      <c r="AT265" s="1"/>
      <c r="AU265" s="1"/>
      <c r="AV265" s="1">
        <f>SUM($AT265,Z265:$AA265)-SUM($AV$5:AV$5)*$J265-SUM($AV$6:AV$6)*$K265</f>
        <v>0</v>
      </c>
      <c r="AW265" s="1">
        <f>SUM($AT265,$AA265:AA265)-SUM($AV$5:AW$5)*$J265-SUM($AV$6:AW$6)*$K265</f>
        <v>0</v>
      </c>
      <c r="AX265" s="1">
        <f>SUM($AT265,$AA265:AB265)-SUM($AV$5:AX$5)*$J265-SUM($AV$6:AX$6)*$K265</f>
        <v>0</v>
      </c>
      <c r="AY265" s="1">
        <f>SUM($AT265,$AA265:AC265)-SUM($AV$5:AY$5)*$J265-SUM($AV$6:AY$6)*$K265</f>
        <v>0</v>
      </c>
      <c r="AZ265" s="1">
        <f>SUM($AT265,$AA265:AD265)-SUM($AV$5:AZ$5)*$J265-SUM($AV$6:AZ$6)*$K265</f>
        <v>-320</v>
      </c>
      <c r="BA265" s="1">
        <f>SUM($AT265,$AA265:AE265)-SUM($AV$5:BA$5)*$J265-SUM($AV$6:BA$6)*$K265</f>
        <v>-640</v>
      </c>
      <c r="BB265" s="1">
        <f>SUM($AT265,$AA265:AF265)-SUM($AV$5:BB$5)*$J265-SUM($AV$6:BB$6)*$K265</f>
        <v>-960</v>
      </c>
      <c r="BC265" s="1">
        <f>SUM($AT265,$AA265:AG265)-SUM($AV$5:BC$5)*$J265-SUM($AV$6:BC$6)*$K265</f>
        <v>-1280</v>
      </c>
      <c r="BD265" s="1">
        <f>SUM($AT265,$AA265:AH265)-SUM($AV$5:BD$5)*$J265-SUM($AV$6:BD$6)*$K265</f>
        <v>-1600</v>
      </c>
      <c r="BE265" s="1">
        <f>SUM($AT265,$AA265:AI265)-SUM($AV$5:BE$5)*$J265-SUM($AV$6:BE$6)*$K265</f>
        <v>-1920</v>
      </c>
      <c r="BF265" s="1">
        <f>SUM($AT265,$AA265:AJ265)-SUM($AV$5:BF$5)*$J265-SUM($AV$6:BF$6)*$K265</f>
        <v>-2240</v>
      </c>
      <c r="BG265" s="1">
        <f>SUM($AT265,$AA265:AK265)-SUM($AV$5:BG$5)*$J265-SUM($AV$6:BG$6)*$K265</f>
        <v>-2560</v>
      </c>
      <c r="BH265" s="1">
        <f>SUM($AT265,$AA265:AL265)-SUM($AV$5:BH$5)*$J265-SUM($AV$6:BH$6)*$K265</f>
        <v>-2880</v>
      </c>
      <c r="BI265" s="1">
        <f>SUM($AT265,$AA265:AM265)-SUM($AV$5:BI$5)*$J265-SUM($AV$6:BI$6)*$K265</f>
        <v>-3200</v>
      </c>
      <c r="BJ265" s="1">
        <f>SUM($AT265,$AA265:AN265)-SUM($AV$5:BJ$5)*$J265-SUM($AV$6:BJ$6)*$K265</f>
        <v>-3520</v>
      </c>
      <c r="BK265" s="1">
        <f>SUM($AT265,$AA265:AO265)-SUM($AV$5:BK$5)*$J265-SUM($AV$6:BK$6)*$K265</f>
        <v>-3840</v>
      </c>
      <c r="BL265" s="1">
        <f>SUM($AT265,$AA265:AP265)-SUM($AV$5:BL$5)*$J265-SUM($AV$6:BL$6)*$K265</f>
        <v>-4160</v>
      </c>
      <c r="BM265" s="1">
        <f>SUM($AT265,$AA265:AQ265)-SUM($AV$5:BM$5)*$J265-SUM($AV$6:BM$6)*$K265</f>
        <v>-4480</v>
      </c>
      <c r="BN265" s="1">
        <f>SUM($AT265,$AA265:AR265)-SUM($AV$5:BN$5)*$J265-SUM($AV$6:BN$6)*$K265</f>
        <v>-4656</v>
      </c>
    </row>
    <row r="266" spans="1:66">
      <c r="A266" s="1">
        <v>307</v>
      </c>
      <c r="B266" s="28" t="s">
        <v>851</v>
      </c>
      <c r="C266" s="1" t="s">
        <v>40</v>
      </c>
      <c r="D266" s="2">
        <v>408730035</v>
      </c>
      <c r="E266" s="3" t="s">
        <v>852</v>
      </c>
      <c r="F266" s="1"/>
      <c r="G266" s="1" t="s">
        <v>42</v>
      </c>
      <c r="H266" s="1">
        <v>1</v>
      </c>
      <c r="I266" s="1">
        <v>2</v>
      </c>
      <c r="J266" s="1">
        <v>2</v>
      </c>
      <c r="K266" s="1">
        <v>0</v>
      </c>
      <c r="L266" s="1">
        <v>0</v>
      </c>
      <c r="M266" s="1">
        <f t="shared" si="10"/>
        <v>1164</v>
      </c>
      <c r="N266" s="1">
        <f t="shared" si="11"/>
        <v>1164</v>
      </c>
      <c r="O266" s="2" t="s">
        <v>393</v>
      </c>
      <c r="P266" s="1"/>
      <c r="Q266" s="1">
        <v>4.4999999999999998E-2</v>
      </c>
      <c r="R266" s="1" t="s">
        <v>44</v>
      </c>
      <c r="S266" s="30" t="s">
        <v>386</v>
      </c>
      <c r="T266" s="31" t="s">
        <v>369</v>
      </c>
      <c r="U266" s="1">
        <v>4000</v>
      </c>
      <c r="V266" s="1">
        <v>4000</v>
      </c>
      <c r="W266" s="1" t="s">
        <v>370</v>
      </c>
      <c r="X266" s="32" t="s">
        <v>371</v>
      </c>
      <c r="Y266" s="1" t="s">
        <v>372</v>
      </c>
      <c r="Z266" s="2" t="s">
        <v>383</v>
      </c>
      <c r="AA266" s="1"/>
      <c r="AB266" s="1"/>
      <c r="AC266" s="1"/>
      <c r="AD266" s="1"/>
      <c r="AE266" s="1"/>
      <c r="AF266" s="1"/>
      <c r="AG266" s="1"/>
      <c r="AH266" s="1"/>
      <c r="AI266" s="1"/>
      <c r="AJ266" s="1"/>
      <c r="AK266" s="1"/>
      <c r="AL266" s="1"/>
      <c r="AM266" s="1"/>
      <c r="AN266" s="1"/>
      <c r="AO266" s="1"/>
      <c r="AP266" s="1"/>
      <c r="AQ266" s="1"/>
      <c r="AR266" s="1"/>
      <c r="AS266" s="1"/>
      <c r="AT266" s="1"/>
      <c r="AU266" s="1"/>
      <c r="AV266" s="1">
        <f>SUM($AT266,Z266:$AA266)-SUM($AV$5:AV$5)*$J266-SUM($AV$6:AV$6)*$K266</f>
        <v>0</v>
      </c>
      <c r="AW266" s="1">
        <f>SUM($AT266,$AA266:AA266)-SUM($AV$5:AW$5)*$J266-SUM($AV$6:AW$6)*$K266</f>
        <v>0</v>
      </c>
      <c r="AX266" s="1">
        <f>SUM($AT266,$AA266:AB266)-SUM($AV$5:AX$5)*$J266-SUM($AV$6:AX$6)*$K266</f>
        <v>0</v>
      </c>
      <c r="AY266" s="1">
        <f>SUM($AT266,$AA266:AC266)-SUM($AV$5:AY$5)*$J266-SUM($AV$6:AY$6)*$K266</f>
        <v>0</v>
      </c>
      <c r="AZ266" s="1">
        <f>SUM($AT266,$AA266:AD266)-SUM($AV$5:AZ$5)*$J266-SUM($AV$6:AZ$6)*$K266</f>
        <v>-80</v>
      </c>
      <c r="BA266" s="1">
        <f>SUM($AT266,$AA266:AE266)-SUM($AV$5:BA$5)*$J266-SUM($AV$6:BA$6)*$K266</f>
        <v>-160</v>
      </c>
      <c r="BB266" s="1">
        <f>SUM($AT266,$AA266:AF266)-SUM($AV$5:BB$5)*$J266-SUM($AV$6:BB$6)*$K266</f>
        <v>-240</v>
      </c>
      <c r="BC266" s="1">
        <f>SUM($AT266,$AA266:AG266)-SUM($AV$5:BC$5)*$J266-SUM($AV$6:BC$6)*$K266</f>
        <v>-320</v>
      </c>
      <c r="BD266" s="1">
        <f>SUM($AT266,$AA266:AH266)-SUM($AV$5:BD$5)*$J266-SUM($AV$6:BD$6)*$K266</f>
        <v>-400</v>
      </c>
      <c r="BE266" s="1">
        <f>SUM($AT266,$AA266:AI266)-SUM($AV$5:BE$5)*$J266-SUM($AV$6:BE$6)*$K266</f>
        <v>-480</v>
      </c>
      <c r="BF266" s="1">
        <f>SUM($AT266,$AA266:AJ266)-SUM($AV$5:BF$5)*$J266-SUM($AV$6:BF$6)*$K266</f>
        <v>-560</v>
      </c>
      <c r="BG266" s="1">
        <f>SUM($AT266,$AA266:AK266)-SUM($AV$5:BG$5)*$J266-SUM($AV$6:BG$6)*$K266</f>
        <v>-640</v>
      </c>
      <c r="BH266" s="1">
        <f>SUM($AT266,$AA266:AL266)-SUM($AV$5:BH$5)*$J266-SUM($AV$6:BH$6)*$K266</f>
        <v>-720</v>
      </c>
      <c r="BI266" s="1">
        <f>SUM($AT266,$AA266:AM266)-SUM($AV$5:BI$5)*$J266-SUM($AV$6:BI$6)*$K266</f>
        <v>-800</v>
      </c>
      <c r="BJ266" s="1">
        <f>SUM($AT266,$AA266:AN266)-SUM($AV$5:BJ$5)*$J266-SUM($AV$6:BJ$6)*$K266</f>
        <v>-880</v>
      </c>
      <c r="BK266" s="1">
        <f>SUM($AT266,$AA266:AO266)-SUM($AV$5:BK$5)*$J266-SUM($AV$6:BK$6)*$K266</f>
        <v>-960</v>
      </c>
      <c r="BL266" s="1">
        <f>SUM($AT266,$AA266:AP266)-SUM($AV$5:BL$5)*$J266-SUM($AV$6:BL$6)*$K266</f>
        <v>-1040</v>
      </c>
      <c r="BM266" s="1">
        <f>SUM($AT266,$AA266:AQ266)-SUM($AV$5:BM$5)*$J266-SUM($AV$6:BM$6)*$K266</f>
        <v>-1120</v>
      </c>
      <c r="BN266" s="1">
        <f>SUM($AT266,$AA266:AR266)-SUM($AV$5:BN$5)*$J266-SUM($AV$6:BN$6)*$K266</f>
        <v>-1164</v>
      </c>
    </row>
    <row r="267" spans="1:66">
      <c r="A267" s="1">
        <v>308</v>
      </c>
      <c r="B267" s="28" t="s">
        <v>853</v>
      </c>
      <c r="C267" s="1" t="s">
        <v>40</v>
      </c>
      <c r="D267" s="2">
        <v>401417242</v>
      </c>
      <c r="E267" s="3" t="s">
        <v>854</v>
      </c>
      <c r="F267" s="1"/>
      <c r="G267" s="1" t="s">
        <v>42</v>
      </c>
      <c r="H267" s="1">
        <v>2</v>
      </c>
      <c r="I267" s="1">
        <v>8</v>
      </c>
      <c r="J267" s="1">
        <v>8</v>
      </c>
      <c r="K267" s="1">
        <v>0</v>
      </c>
      <c r="L267" s="1">
        <v>0</v>
      </c>
      <c r="M267" s="1">
        <f t="shared" si="10"/>
        <v>4656</v>
      </c>
      <c r="N267" s="1">
        <f t="shared" si="11"/>
        <v>4656</v>
      </c>
      <c r="O267" s="2" t="s">
        <v>383</v>
      </c>
      <c r="P267" s="1"/>
      <c r="Q267" s="1">
        <v>4.2000000000000003E-2</v>
      </c>
      <c r="R267" s="1" t="s">
        <v>44</v>
      </c>
      <c r="S267" s="30" t="s">
        <v>762</v>
      </c>
      <c r="T267" s="31" t="s">
        <v>369</v>
      </c>
      <c r="U267" s="1"/>
      <c r="V267" s="1">
        <v>4000</v>
      </c>
      <c r="W267" s="1" t="s">
        <v>370</v>
      </c>
      <c r="X267" s="32" t="s">
        <v>371</v>
      </c>
      <c r="Y267" s="1" t="s">
        <v>372</v>
      </c>
      <c r="Z267" s="2" t="s">
        <v>383</v>
      </c>
      <c r="AA267" s="1"/>
      <c r="AB267" s="1"/>
      <c r="AC267" s="1"/>
      <c r="AD267" s="1"/>
      <c r="AE267" s="1"/>
      <c r="AF267" s="1"/>
      <c r="AG267" s="1"/>
      <c r="AH267" s="1"/>
      <c r="AI267" s="1"/>
      <c r="AJ267" s="1"/>
      <c r="AK267" s="1"/>
      <c r="AL267" s="1"/>
      <c r="AM267" s="1"/>
      <c r="AN267" s="1"/>
      <c r="AO267" s="1"/>
      <c r="AP267" s="1"/>
      <c r="AQ267" s="1"/>
      <c r="AR267" s="1"/>
      <c r="AS267" s="1"/>
      <c r="AT267" s="1"/>
      <c r="AU267" s="1"/>
      <c r="AV267" s="1">
        <f>SUM($AT267,Z267:$AA267)-SUM($AV$5:AV$5)*$J267-SUM($AV$6:AV$6)*$K267</f>
        <v>0</v>
      </c>
      <c r="AW267" s="1">
        <f>SUM($AT267,$AA267:AA267)-SUM($AV$5:AW$5)*$J267-SUM($AV$6:AW$6)*$K267</f>
        <v>0</v>
      </c>
      <c r="AX267" s="1">
        <f>SUM($AT267,$AA267:AB267)-SUM($AV$5:AX$5)*$J267-SUM($AV$6:AX$6)*$K267</f>
        <v>0</v>
      </c>
      <c r="AY267" s="1">
        <f>SUM($AT267,$AA267:AC267)-SUM($AV$5:AY$5)*$J267-SUM($AV$6:AY$6)*$K267</f>
        <v>0</v>
      </c>
      <c r="AZ267" s="1">
        <f>SUM($AT267,$AA267:AD267)-SUM($AV$5:AZ$5)*$J267-SUM($AV$6:AZ$6)*$K267</f>
        <v>-320</v>
      </c>
      <c r="BA267" s="1">
        <f>SUM($AT267,$AA267:AE267)-SUM($AV$5:BA$5)*$J267-SUM($AV$6:BA$6)*$K267</f>
        <v>-640</v>
      </c>
      <c r="BB267" s="1">
        <f>SUM($AT267,$AA267:AF267)-SUM($AV$5:BB$5)*$J267-SUM($AV$6:BB$6)*$K267</f>
        <v>-960</v>
      </c>
      <c r="BC267" s="1">
        <f>SUM($AT267,$AA267:AG267)-SUM($AV$5:BC$5)*$J267-SUM($AV$6:BC$6)*$K267</f>
        <v>-1280</v>
      </c>
      <c r="BD267" s="1">
        <f>SUM($AT267,$AA267:AH267)-SUM($AV$5:BD$5)*$J267-SUM($AV$6:BD$6)*$K267</f>
        <v>-1600</v>
      </c>
      <c r="BE267" s="1">
        <f>SUM($AT267,$AA267:AI267)-SUM($AV$5:BE$5)*$J267-SUM($AV$6:BE$6)*$K267</f>
        <v>-1920</v>
      </c>
      <c r="BF267" s="1">
        <f>SUM($AT267,$AA267:AJ267)-SUM($AV$5:BF$5)*$J267-SUM($AV$6:BF$6)*$K267</f>
        <v>-2240</v>
      </c>
      <c r="BG267" s="1">
        <f>SUM($AT267,$AA267:AK267)-SUM($AV$5:BG$5)*$J267-SUM($AV$6:BG$6)*$K267</f>
        <v>-2560</v>
      </c>
      <c r="BH267" s="1">
        <f>SUM($AT267,$AA267:AL267)-SUM($AV$5:BH$5)*$J267-SUM($AV$6:BH$6)*$K267</f>
        <v>-2880</v>
      </c>
      <c r="BI267" s="1">
        <f>SUM($AT267,$AA267:AM267)-SUM($AV$5:BI$5)*$J267-SUM($AV$6:BI$6)*$K267</f>
        <v>-3200</v>
      </c>
      <c r="BJ267" s="1">
        <f>SUM($AT267,$AA267:AN267)-SUM($AV$5:BJ$5)*$J267-SUM($AV$6:BJ$6)*$K267</f>
        <v>-3520</v>
      </c>
      <c r="BK267" s="1">
        <f>SUM($AT267,$AA267:AO267)-SUM($AV$5:BK$5)*$J267-SUM($AV$6:BK$6)*$K267</f>
        <v>-3840</v>
      </c>
      <c r="BL267" s="1">
        <f>SUM($AT267,$AA267:AP267)-SUM($AV$5:BL$5)*$J267-SUM($AV$6:BL$6)*$K267</f>
        <v>-4160</v>
      </c>
      <c r="BM267" s="1">
        <f>SUM($AT267,$AA267:AQ267)-SUM($AV$5:BM$5)*$J267-SUM($AV$6:BM$6)*$K267</f>
        <v>-4480</v>
      </c>
      <c r="BN267" s="1">
        <f>SUM($AT267,$AA267:AR267)-SUM($AV$5:BN$5)*$J267-SUM($AV$6:BN$6)*$K267</f>
        <v>-4656</v>
      </c>
    </row>
    <row r="268" spans="1:66">
      <c r="A268" s="1">
        <v>309</v>
      </c>
      <c r="B268" s="28" t="s">
        <v>855</v>
      </c>
      <c r="C268" s="1" t="s">
        <v>40</v>
      </c>
      <c r="D268" s="2">
        <v>406813819</v>
      </c>
      <c r="E268" s="3" t="s">
        <v>856</v>
      </c>
      <c r="F268" s="1"/>
      <c r="G268" s="1" t="s">
        <v>42</v>
      </c>
      <c r="H268" s="1">
        <v>1</v>
      </c>
      <c r="I268" s="1">
        <v>2</v>
      </c>
      <c r="J268" s="1">
        <v>2</v>
      </c>
      <c r="K268" s="1">
        <v>0</v>
      </c>
      <c r="L268" s="1">
        <v>0</v>
      </c>
      <c r="M268" s="1">
        <f t="shared" si="10"/>
        <v>1164</v>
      </c>
      <c r="N268" s="1">
        <f t="shared" si="11"/>
        <v>1164</v>
      </c>
      <c r="O268" s="2" t="s">
        <v>383</v>
      </c>
      <c r="P268" s="1"/>
      <c r="Q268" s="1">
        <v>4.4999999999999998E-2</v>
      </c>
      <c r="R268" s="1" t="s">
        <v>44</v>
      </c>
      <c r="S268" s="30" t="s">
        <v>386</v>
      </c>
      <c r="T268" s="31" t="s">
        <v>369</v>
      </c>
      <c r="U268" s="1">
        <v>4000</v>
      </c>
      <c r="V268" s="1">
        <v>4000</v>
      </c>
      <c r="W268" s="1" t="s">
        <v>370</v>
      </c>
      <c r="X268" s="32" t="s">
        <v>371</v>
      </c>
      <c r="Y268" s="1" t="s">
        <v>372</v>
      </c>
      <c r="Z268" s="2" t="s">
        <v>383</v>
      </c>
      <c r="AA268" s="1"/>
      <c r="AB268" s="1"/>
      <c r="AC268" s="1"/>
      <c r="AD268" s="1"/>
      <c r="AE268" s="1"/>
      <c r="AF268" s="1"/>
      <c r="AG268" s="1"/>
      <c r="AH268" s="1"/>
      <c r="AI268" s="1"/>
      <c r="AJ268" s="1"/>
      <c r="AK268" s="1"/>
      <c r="AL268" s="1"/>
      <c r="AM268" s="1"/>
      <c r="AN268" s="1"/>
      <c r="AO268" s="1"/>
      <c r="AP268" s="1"/>
      <c r="AQ268" s="1"/>
      <c r="AR268" s="1"/>
      <c r="AS268" s="1"/>
      <c r="AT268" s="1"/>
      <c r="AU268" s="1"/>
      <c r="AV268" s="1">
        <f>SUM($AT268,Z268:$AA268)-SUM($AV$5:AV$5)*$J268-SUM($AV$6:AV$6)*$K268</f>
        <v>0</v>
      </c>
      <c r="AW268" s="1">
        <f>SUM($AT268,$AA268:AA268)-SUM($AV$5:AW$5)*$J268-SUM($AV$6:AW$6)*$K268</f>
        <v>0</v>
      </c>
      <c r="AX268" s="1">
        <f>SUM($AT268,$AA268:AB268)-SUM($AV$5:AX$5)*$J268-SUM($AV$6:AX$6)*$K268</f>
        <v>0</v>
      </c>
      <c r="AY268" s="1">
        <f>SUM($AT268,$AA268:AC268)-SUM($AV$5:AY$5)*$J268-SUM($AV$6:AY$6)*$K268</f>
        <v>0</v>
      </c>
      <c r="AZ268" s="1">
        <f>SUM($AT268,$AA268:AD268)-SUM($AV$5:AZ$5)*$J268-SUM($AV$6:AZ$6)*$K268</f>
        <v>-80</v>
      </c>
      <c r="BA268" s="1">
        <f>SUM($AT268,$AA268:AE268)-SUM($AV$5:BA$5)*$J268-SUM($AV$6:BA$6)*$K268</f>
        <v>-160</v>
      </c>
      <c r="BB268" s="1">
        <f>SUM($AT268,$AA268:AF268)-SUM($AV$5:BB$5)*$J268-SUM($AV$6:BB$6)*$K268</f>
        <v>-240</v>
      </c>
      <c r="BC268" s="1">
        <f>SUM($AT268,$AA268:AG268)-SUM($AV$5:BC$5)*$J268-SUM($AV$6:BC$6)*$K268</f>
        <v>-320</v>
      </c>
      <c r="BD268" s="1">
        <f>SUM($AT268,$AA268:AH268)-SUM($AV$5:BD$5)*$J268-SUM($AV$6:BD$6)*$K268</f>
        <v>-400</v>
      </c>
      <c r="BE268" s="1">
        <f>SUM($AT268,$AA268:AI268)-SUM($AV$5:BE$5)*$J268-SUM($AV$6:BE$6)*$K268</f>
        <v>-480</v>
      </c>
      <c r="BF268" s="1">
        <f>SUM($AT268,$AA268:AJ268)-SUM($AV$5:BF$5)*$J268-SUM($AV$6:BF$6)*$K268</f>
        <v>-560</v>
      </c>
      <c r="BG268" s="1">
        <f>SUM($AT268,$AA268:AK268)-SUM($AV$5:BG$5)*$J268-SUM($AV$6:BG$6)*$K268</f>
        <v>-640</v>
      </c>
      <c r="BH268" s="1">
        <f>SUM($AT268,$AA268:AL268)-SUM($AV$5:BH$5)*$J268-SUM($AV$6:BH$6)*$K268</f>
        <v>-720</v>
      </c>
      <c r="BI268" s="1">
        <f>SUM($AT268,$AA268:AM268)-SUM($AV$5:BI$5)*$J268-SUM($AV$6:BI$6)*$K268</f>
        <v>-800</v>
      </c>
      <c r="BJ268" s="1">
        <f>SUM($AT268,$AA268:AN268)-SUM($AV$5:BJ$5)*$J268-SUM($AV$6:BJ$6)*$K268</f>
        <v>-880</v>
      </c>
      <c r="BK268" s="1">
        <f>SUM($AT268,$AA268:AO268)-SUM($AV$5:BK$5)*$J268-SUM($AV$6:BK$6)*$K268</f>
        <v>-960</v>
      </c>
      <c r="BL268" s="1">
        <f>SUM($AT268,$AA268:AP268)-SUM($AV$5:BL$5)*$J268-SUM($AV$6:BL$6)*$K268</f>
        <v>-1040</v>
      </c>
      <c r="BM268" s="1">
        <f>SUM($AT268,$AA268:AQ268)-SUM($AV$5:BM$5)*$J268-SUM($AV$6:BM$6)*$K268</f>
        <v>-1120</v>
      </c>
      <c r="BN268" s="1">
        <f>SUM($AT268,$AA268:AR268)-SUM($AV$5:BN$5)*$J268-SUM($AV$6:BN$6)*$K268</f>
        <v>-1164</v>
      </c>
    </row>
    <row r="269" spans="1:66">
      <c r="A269" s="1">
        <v>310</v>
      </c>
      <c r="B269" s="28" t="s">
        <v>857</v>
      </c>
      <c r="C269" s="1" t="s">
        <v>40</v>
      </c>
      <c r="D269" s="2" t="s">
        <v>858</v>
      </c>
      <c r="E269" s="3" t="s">
        <v>859</v>
      </c>
      <c r="F269" s="1">
        <v>402231893</v>
      </c>
      <c r="G269" s="1" t="s">
        <v>42</v>
      </c>
      <c r="H269" s="1">
        <v>2</v>
      </c>
      <c r="I269" s="1">
        <v>1</v>
      </c>
      <c r="J269" s="1">
        <v>1</v>
      </c>
      <c r="K269" s="1">
        <v>0</v>
      </c>
      <c r="L269" s="1">
        <v>0</v>
      </c>
      <c r="M269" s="1">
        <f t="shared" si="10"/>
        <v>582</v>
      </c>
      <c r="N269" s="1">
        <f t="shared" si="11"/>
        <v>582</v>
      </c>
      <c r="O269" s="2" t="s">
        <v>383</v>
      </c>
      <c r="P269" s="1"/>
      <c r="Q269" s="1">
        <v>5.5E-2</v>
      </c>
      <c r="R269" s="1" t="s">
        <v>44</v>
      </c>
      <c r="S269" s="30" t="s">
        <v>762</v>
      </c>
      <c r="T269" s="31" t="s">
        <v>369</v>
      </c>
      <c r="U269" s="1"/>
      <c r="V269" s="1">
        <v>4000</v>
      </c>
      <c r="W269" s="1" t="s">
        <v>370</v>
      </c>
      <c r="X269" s="32" t="s">
        <v>371</v>
      </c>
      <c r="Y269" s="1" t="s">
        <v>372</v>
      </c>
      <c r="Z269" s="2" t="s">
        <v>383</v>
      </c>
      <c r="AA269" s="1"/>
      <c r="AB269" s="1"/>
      <c r="AC269" s="1"/>
      <c r="AD269" s="1"/>
      <c r="AE269" s="1"/>
      <c r="AF269" s="1"/>
      <c r="AG269" s="1"/>
      <c r="AH269" s="1"/>
      <c r="AI269" s="1"/>
      <c r="AJ269" s="1"/>
      <c r="AK269" s="1"/>
      <c r="AL269" s="1"/>
      <c r="AM269" s="1"/>
      <c r="AN269" s="1"/>
      <c r="AO269" s="1"/>
      <c r="AP269" s="1"/>
      <c r="AQ269" s="1"/>
      <c r="AR269" s="1"/>
      <c r="AS269" s="1"/>
      <c r="AT269" s="1"/>
      <c r="AU269" s="1"/>
      <c r="AV269" s="1">
        <f>SUM($AT269,Z269:$AA269)-SUM($AV$5:AV$5)*$J269-SUM($AV$6:AV$6)*$K269</f>
        <v>0</v>
      </c>
      <c r="AW269" s="1">
        <f>SUM($AT269,$AA269:AA269)-SUM($AV$5:AW$5)*$J269-SUM($AV$6:AW$6)*$K269</f>
        <v>0</v>
      </c>
      <c r="AX269" s="1">
        <f>SUM($AT269,$AA269:AB269)-SUM($AV$5:AX$5)*$J269-SUM($AV$6:AX$6)*$K269</f>
        <v>0</v>
      </c>
      <c r="AY269" s="1">
        <f>SUM($AT269,$AA269:AC269)-SUM($AV$5:AY$5)*$J269-SUM($AV$6:AY$6)*$K269</f>
        <v>0</v>
      </c>
      <c r="AZ269" s="1">
        <f>SUM($AT269,$AA269:AD269)-SUM($AV$5:AZ$5)*$J269-SUM($AV$6:AZ$6)*$K269</f>
        <v>-40</v>
      </c>
      <c r="BA269" s="1">
        <f>SUM($AT269,$AA269:AE269)-SUM($AV$5:BA$5)*$J269-SUM($AV$6:BA$6)*$K269</f>
        <v>-80</v>
      </c>
      <c r="BB269" s="1">
        <f>SUM($AT269,$AA269:AF269)-SUM($AV$5:BB$5)*$J269-SUM($AV$6:BB$6)*$K269</f>
        <v>-120</v>
      </c>
      <c r="BC269" s="1">
        <f>SUM($AT269,$AA269:AG269)-SUM($AV$5:BC$5)*$J269-SUM($AV$6:BC$6)*$K269</f>
        <v>-160</v>
      </c>
      <c r="BD269" s="1">
        <f>SUM($AT269,$AA269:AH269)-SUM($AV$5:BD$5)*$J269-SUM($AV$6:BD$6)*$K269</f>
        <v>-200</v>
      </c>
      <c r="BE269" s="1">
        <f>SUM($AT269,$AA269:AI269)-SUM($AV$5:BE$5)*$J269-SUM($AV$6:BE$6)*$K269</f>
        <v>-240</v>
      </c>
      <c r="BF269" s="1">
        <f>SUM($AT269,$AA269:AJ269)-SUM($AV$5:BF$5)*$J269-SUM($AV$6:BF$6)*$K269</f>
        <v>-280</v>
      </c>
      <c r="BG269" s="1">
        <f>SUM($AT269,$AA269:AK269)-SUM($AV$5:BG$5)*$J269-SUM($AV$6:BG$6)*$K269</f>
        <v>-320</v>
      </c>
      <c r="BH269" s="1">
        <f>SUM($AT269,$AA269:AL269)-SUM($AV$5:BH$5)*$J269-SUM($AV$6:BH$6)*$K269</f>
        <v>-360</v>
      </c>
      <c r="BI269" s="1">
        <f>SUM($AT269,$AA269:AM269)-SUM($AV$5:BI$5)*$J269-SUM($AV$6:BI$6)*$K269</f>
        <v>-400</v>
      </c>
      <c r="BJ269" s="1">
        <f>SUM($AT269,$AA269:AN269)-SUM($AV$5:BJ$5)*$J269-SUM($AV$6:BJ$6)*$K269</f>
        <v>-440</v>
      </c>
      <c r="BK269" s="1">
        <f>SUM($AT269,$AA269:AO269)-SUM($AV$5:BK$5)*$J269-SUM($AV$6:BK$6)*$K269</f>
        <v>-480</v>
      </c>
      <c r="BL269" s="1">
        <f>SUM($AT269,$AA269:AP269)-SUM($AV$5:BL$5)*$J269-SUM($AV$6:BL$6)*$K269</f>
        <v>-520</v>
      </c>
      <c r="BM269" s="1">
        <f>SUM($AT269,$AA269:AQ269)-SUM($AV$5:BM$5)*$J269-SUM($AV$6:BM$6)*$K269</f>
        <v>-560</v>
      </c>
      <c r="BN269" s="1">
        <f>SUM($AT269,$AA269:AR269)-SUM($AV$5:BN$5)*$J269-SUM($AV$6:BN$6)*$K269</f>
        <v>-582</v>
      </c>
    </row>
    <row r="270" spans="1:66">
      <c r="A270" s="1">
        <v>311</v>
      </c>
      <c r="B270" s="28" t="s">
        <v>860</v>
      </c>
      <c r="C270" s="1" t="s">
        <v>40</v>
      </c>
      <c r="D270" s="2">
        <v>400029393</v>
      </c>
      <c r="E270" s="3" t="s">
        <v>861</v>
      </c>
      <c r="F270" s="1"/>
      <c r="G270" s="1" t="s">
        <v>42</v>
      </c>
      <c r="H270" s="1">
        <v>2</v>
      </c>
      <c r="I270" s="1">
        <v>64</v>
      </c>
      <c r="J270" s="1">
        <v>64</v>
      </c>
      <c r="K270" s="1">
        <v>0</v>
      </c>
      <c r="L270" s="1">
        <v>0</v>
      </c>
      <c r="M270" s="1">
        <f t="shared" si="10"/>
        <v>37248</v>
      </c>
      <c r="N270" s="1">
        <f t="shared" si="11"/>
        <v>37248</v>
      </c>
      <c r="O270" s="2" t="s">
        <v>383</v>
      </c>
      <c r="P270" s="1"/>
      <c r="Q270" s="1">
        <v>4.4999999999999998E-2</v>
      </c>
      <c r="R270" s="1" t="s">
        <v>44</v>
      </c>
      <c r="S270" s="30" t="s">
        <v>762</v>
      </c>
      <c r="T270" s="31" t="s">
        <v>369</v>
      </c>
      <c r="U270" s="1"/>
      <c r="V270" s="1">
        <v>4000</v>
      </c>
      <c r="W270" s="1" t="s">
        <v>370</v>
      </c>
      <c r="X270" s="32" t="s">
        <v>371</v>
      </c>
      <c r="Y270" s="1" t="s">
        <v>372</v>
      </c>
      <c r="Z270" s="2" t="s">
        <v>383</v>
      </c>
      <c r="AA270" s="1"/>
      <c r="AB270" s="1"/>
      <c r="AC270" s="1"/>
      <c r="AD270" s="1"/>
      <c r="AE270" s="1"/>
      <c r="AF270" s="1"/>
      <c r="AG270" s="1"/>
      <c r="AH270" s="1"/>
      <c r="AI270" s="1"/>
      <c r="AJ270" s="1"/>
      <c r="AK270" s="1"/>
      <c r="AL270" s="1"/>
      <c r="AM270" s="1"/>
      <c r="AN270" s="1"/>
      <c r="AO270" s="1"/>
      <c r="AP270" s="1"/>
      <c r="AQ270" s="1"/>
      <c r="AR270" s="1"/>
      <c r="AS270" s="1"/>
      <c r="AT270" s="1"/>
      <c r="AU270" s="1"/>
      <c r="AV270" s="1">
        <f>SUM($AT270,Z270:$AA270)-SUM($AV$5:AV$5)*$J270-SUM($AV$6:AV$6)*$K270</f>
        <v>0</v>
      </c>
      <c r="AW270" s="1">
        <f>SUM($AT270,$AA270:AA270)-SUM($AV$5:AW$5)*$J270-SUM($AV$6:AW$6)*$K270</f>
        <v>0</v>
      </c>
      <c r="AX270" s="1">
        <f>SUM($AT270,$AA270:AB270)-SUM($AV$5:AX$5)*$J270-SUM($AV$6:AX$6)*$K270</f>
        <v>0</v>
      </c>
      <c r="AY270" s="1">
        <f>SUM($AT270,$AA270:AC270)-SUM($AV$5:AY$5)*$J270-SUM($AV$6:AY$6)*$K270</f>
        <v>0</v>
      </c>
      <c r="AZ270" s="1">
        <f>SUM($AT270,$AA270:AD270)-SUM($AV$5:AZ$5)*$J270-SUM($AV$6:AZ$6)*$K270</f>
        <v>-2560</v>
      </c>
      <c r="BA270" s="1">
        <f>SUM($AT270,$AA270:AE270)-SUM($AV$5:BA$5)*$J270-SUM($AV$6:BA$6)*$K270</f>
        <v>-5120</v>
      </c>
      <c r="BB270" s="1">
        <f>SUM($AT270,$AA270:AF270)-SUM($AV$5:BB$5)*$J270-SUM($AV$6:BB$6)*$K270</f>
        <v>-7680</v>
      </c>
      <c r="BC270" s="1">
        <f>SUM($AT270,$AA270:AG270)-SUM($AV$5:BC$5)*$J270-SUM($AV$6:BC$6)*$K270</f>
        <v>-10240</v>
      </c>
      <c r="BD270" s="1">
        <f>SUM($AT270,$AA270:AH270)-SUM($AV$5:BD$5)*$J270-SUM($AV$6:BD$6)*$K270</f>
        <v>-12800</v>
      </c>
      <c r="BE270" s="1">
        <f>SUM($AT270,$AA270:AI270)-SUM($AV$5:BE$5)*$J270-SUM($AV$6:BE$6)*$K270</f>
        <v>-15360</v>
      </c>
      <c r="BF270" s="1">
        <f>SUM($AT270,$AA270:AJ270)-SUM($AV$5:BF$5)*$J270-SUM($AV$6:BF$6)*$K270</f>
        <v>-17920</v>
      </c>
      <c r="BG270" s="1">
        <f>SUM($AT270,$AA270:AK270)-SUM($AV$5:BG$5)*$J270-SUM($AV$6:BG$6)*$K270</f>
        <v>-20480</v>
      </c>
      <c r="BH270" s="1">
        <f>SUM($AT270,$AA270:AL270)-SUM($AV$5:BH$5)*$J270-SUM($AV$6:BH$6)*$K270</f>
        <v>-23040</v>
      </c>
      <c r="BI270" s="1">
        <f>SUM($AT270,$AA270:AM270)-SUM($AV$5:BI$5)*$J270-SUM($AV$6:BI$6)*$K270</f>
        <v>-25600</v>
      </c>
      <c r="BJ270" s="1">
        <f>SUM($AT270,$AA270:AN270)-SUM($AV$5:BJ$5)*$J270-SUM($AV$6:BJ$6)*$K270</f>
        <v>-28160</v>
      </c>
      <c r="BK270" s="1">
        <f>SUM($AT270,$AA270:AO270)-SUM($AV$5:BK$5)*$J270-SUM($AV$6:BK$6)*$K270</f>
        <v>-30720</v>
      </c>
      <c r="BL270" s="1">
        <f>SUM($AT270,$AA270:AP270)-SUM($AV$5:BL$5)*$J270-SUM($AV$6:BL$6)*$K270</f>
        <v>-33280</v>
      </c>
      <c r="BM270" s="1">
        <f>SUM($AT270,$AA270:AQ270)-SUM($AV$5:BM$5)*$J270-SUM($AV$6:BM$6)*$K270</f>
        <v>-35840</v>
      </c>
      <c r="BN270" s="1">
        <f>SUM($AT270,$AA270:AR270)-SUM($AV$5:BN$5)*$J270-SUM($AV$6:BN$6)*$K270</f>
        <v>-37248</v>
      </c>
    </row>
    <row r="271" spans="1:66">
      <c r="A271" s="1">
        <v>312</v>
      </c>
      <c r="B271" s="28" t="s">
        <v>862</v>
      </c>
      <c r="C271" s="1" t="s">
        <v>40</v>
      </c>
      <c r="D271" s="2">
        <v>400121556</v>
      </c>
      <c r="E271" s="3" t="s">
        <v>863</v>
      </c>
      <c r="F271" s="1"/>
      <c r="G271" s="1" t="s">
        <v>42</v>
      </c>
      <c r="H271" s="1">
        <v>2</v>
      </c>
      <c r="I271" s="1">
        <v>2</v>
      </c>
      <c r="J271" s="1">
        <v>2</v>
      </c>
      <c r="K271" s="1">
        <v>0</v>
      </c>
      <c r="L271" s="1">
        <v>0</v>
      </c>
      <c r="M271" s="1">
        <f t="shared" si="10"/>
        <v>1164</v>
      </c>
      <c r="N271" s="1">
        <f t="shared" si="11"/>
        <v>1164</v>
      </c>
      <c r="O271" s="2" t="s">
        <v>383</v>
      </c>
      <c r="P271" s="1"/>
      <c r="Q271" s="1">
        <v>4.4999999999999998E-2</v>
      </c>
      <c r="R271" s="1" t="s">
        <v>44</v>
      </c>
      <c r="S271" s="30" t="s">
        <v>762</v>
      </c>
      <c r="T271" s="31" t="s">
        <v>369</v>
      </c>
      <c r="U271" s="1"/>
      <c r="V271" s="1">
        <v>4000</v>
      </c>
      <c r="W271" s="1" t="s">
        <v>370</v>
      </c>
      <c r="X271" s="32" t="s">
        <v>371</v>
      </c>
      <c r="Y271" s="1" t="s">
        <v>372</v>
      </c>
      <c r="Z271" s="2" t="s">
        <v>383</v>
      </c>
      <c r="AA271" s="1"/>
      <c r="AB271" s="1"/>
      <c r="AC271" s="1"/>
      <c r="AD271" s="1"/>
      <c r="AE271" s="1"/>
      <c r="AF271" s="1"/>
      <c r="AG271" s="1"/>
      <c r="AH271" s="1"/>
      <c r="AI271" s="1"/>
      <c r="AJ271" s="1"/>
      <c r="AK271" s="1"/>
      <c r="AL271" s="1"/>
      <c r="AM271" s="1"/>
      <c r="AN271" s="1"/>
      <c r="AO271" s="1"/>
      <c r="AP271" s="1"/>
      <c r="AQ271" s="1"/>
      <c r="AR271" s="1"/>
      <c r="AS271" s="1"/>
      <c r="AT271" s="1"/>
      <c r="AU271" s="1"/>
      <c r="AV271" s="1">
        <f>SUM($AT271,Z271:$AA271)-SUM($AV$5:AV$5)*$J271-SUM($AV$6:AV$6)*$K271</f>
        <v>0</v>
      </c>
      <c r="AW271" s="1">
        <f>SUM($AT271,$AA271:AA271)-SUM($AV$5:AW$5)*$J271-SUM($AV$6:AW$6)*$K271</f>
        <v>0</v>
      </c>
      <c r="AX271" s="1">
        <f>SUM($AT271,$AA271:AB271)-SUM($AV$5:AX$5)*$J271-SUM($AV$6:AX$6)*$K271</f>
        <v>0</v>
      </c>
      <c r="AY271" s="1">
        <f>SUM($AT271,$AA271:AC271)-SUM($AV$5:AY$5)*$J271-SUM($AV$6:AY$6)*$K271</f>
        <v>0</v>
      </c>
      <c r="AZ271" s="1">
        <f>SUM($AT271,$AA271:AD271)-SUM($AV$5:AZ$5)*$J271-SUM($AV$6:AZ$6)*$K271</f>
        <v>-80</v>
      </c>
      <c r="BA271" s="1">
        <f>SUM($AT271,$AA271:AE271)-SUM($AV$5:BA$5)*$J271-SUM($AV$6:BA$6)*$K271</f>
        <v>-160</v>
      </c>
      <c r="BB271" s="1">
        <f>SUM($AT271,$AA271:AF271)-SUM($AV$5:BB$5)*$J271-SUM($AV$6:BB$6)*$K271</f>
        <v>-240</v>
      </c>
      <c r="BC271" s="1">
        <f>SUM($AT271,$AA271:AG271)-SUM($AV$5:BC$5)*$J271-SUM($AV$6:BC$6)*$K271</f>
        <v>-320</v>
      </c>
      <c r="BD271" s="1">
        <f>SUM($AT271,$AA271:AH271)-SUM($AV$5:BD$5)*$J271-SUM($AV$6:BD$6)*$K271</f>
        <v>-400</v>
      </c>
      <c r="BE271" s="1">
        <f>SUM($AT271,$AA271:AI271)-SUM($AV$5:BE$5)*$J271-SUM($AV$6:BE$6)*$K271</f>
        <v>-480</v>
      </c>
      <c r="BF271" s="1">
        <f>SUM($AT271,$AA271:AJ271)-SUM($AV$5:BF$5)*$J271-SUM($AV$6:BF$6)*$K271</f>
        <v>-560</v>
      </c>
      <c r="BG271" s="1">
        <f>SUM($AT271,$AA271:AK271)-SUM($AV$5:BG$5)*$J271-SUM($AV$6:BG$6)*$K271</f>
        <v>-640</v>
      </c>
      <c r="BH271" s="1">
        <f>SUM($AT271,$AA271:AL271)-SUM($AV$5:BH$5)*$J271-SUM($AV$6:BH$6)*$K271</f>
        <v>-720</v>
      </c>
      <c r="BI271" s="1">
        <f>SUM($AT271,$AA271:AM271)-SUM($AV$5:BI$5)*$J271-SUM($AV$6:BI$6)*$K271</f>
        <v>-800</v>
      </c>
      <c r="BJ271" s="1">
        <f>SUM($AT271,$AA271:AN271)-SUM($AV$5:BJ$5)*$J271-SUM($AV$6:BJ$6)*$K271</f>
        <v>-880</v>
      </c>
      <c r="BK271" s="1">
        <f>SUM($AT271,$AA271:AO271)-SUM($AV$5:BK$5)*$J271-SUM($AV$6:BK$6)*$K271</f>
        <v>-960</v>
      </c>
      <c r="BL271" s="1">
        <f>SUM($AT271,$AA271:AP271)-SUM($AV$5:BL$5)*$J271-SUM($AV$6:BL$6)*$K271</f>
        <v>-1040</v>
      </c>
      <c r="BM271" s="1">
        <f>SUM($AT271,$AA271:AQ271)-SUM($AV$5:BM$5)*$J271-SUM($AV$6:BM$6)*$K271</f>
        <v>-1120</v>
      </c>
      <c r="BN271" s="1">
        <f>SUM($AT271,$AA271:AR271)-SUM($AV$5:BN$5)*$J271-SUM($AV$6:BN$6)*$K271</f>
        <v>-1164</v>
      </c>
    </row>
    <row r="272" spans="1:66">
      <c r="A272" s="1">
        <v>313</v>
      </c>
      <c r="B272" s="28" t="s">
        <v>864</v>
      </c>
      <c r="C272" s="1" t="s">
        <v>40</v>
      </c>
      <c r="D272" s="2">
        <v>400911776</v>
      </c>
      <c r="E272" s="3" t="s">
        <v>865</v>
      </c>
      <c r="F272" s="1"/>
      <c r="G272" s="1" t="s">
        <v>42</v>
      </c>
      <c r="H272" s="1">
        <v>2</v>
      </c>
      <c r="I272" s="1">
        <v>3</v>
      </c>
      <c r="J272" s="1">
        <v>3</v>
      </c>
      <c r="K272" s="1">
        <v>0</v>
      </c>
      <c r="L272" s="1">
        <v>0</v>
      </c>
      <c r="M272" s="1">
        <f t="shared" si="10"/>
        <v>1746</v>
      </c>
      <c r="N272" s="1">
        <f t="shared" si="11"/>
        <v>1746</v>
      </c>
      <c r="O272" s="2" t="s">
        <v>383</v>
      </c>
      <c r="P272" s="1"/>
      <c r="Q272" s="1">
        <v>4.4999999999999998E-2</v>
      </c>
      <c r="R272" s="1" t="s">
        <v>44</v>
      </c>
      <c r="S272" s="30" t="s">
        <v>386</v>
      </c>
      <c r="T272" s="31" t="s">
        <v>369</v>
      </c>
      <c r="U272" s="1">
        <v>4000</v>
      </c>
      <c r="V272" s="1">
        <v>100</v>
      </c>
      <c r="W272" s="1" t="s">
        <v>370</v>
      </c>
      <c r="X272" s="32" t="s">
        <v>371</v>
      </c>
      <c r="Y272" s="1" t="s">
        <v>372</v>
      </c>
      <c r="Z272" s="2" t="s">
        <v>383</v>
      </c>
      <c r="AA272" s="1"/>
      <c r="AB272" s="1"/>
      <c r="AC272" s="1"/>
      <c r="AD272" s="1"/>
      <c r="AE272" s="1"/>
      <c r="AF272" s="1"/>
      <c r="AG272" s="1"/>
      <c r="AH272" s="1"/>
      <c r="AI272" s="1"/>
      <c r="AJ272" s="1"/>
      <c r="AK272" s="1"/>
      <c r="AL272" s="1"/>
      <c r="AM272" s="1"/>
      <c r="AN272" s="1"/>
      <c r="AO272" s="1"/>
      <c r="AP272" s="1"/>
      <c r="AQ272" s="1"/>
      <c r="AR272" s="1"/>
      <c r="AS272" s="1"/>
      <c r="AT272" s="1"/>
      <c r="AU272" s="1"/>
      <c r="AV272" s="1">
        <f>SUM($AT272,Z272:$AA272)-SUM($AV$5:AV$5)*$J272-SUM($AV$6:AV$6)*$K272</f>
        <v>0</v>
      </c>
      <c r="AW272" s="1">
        <f>SUM($AT272,$AA272:AA272)-SUM($AV$5:AW$5)*$J272-SUM($AV$6:AW$6)*$K272</f>
        <v>0</v>
      </c>
      <c r="AX272" s="1">
        <f>SUM($AT272,$AA272:AB272)-SUM($AV$5:AX$5)*$J272-SUM($AV$6:AX$6)*$K272</f>
        <v>0</v>
      </c>
      <c r="AY272" s="1">
        <f>SUM($AT272,$AA272:AC272)-SUM($AV$5:AY$5)*$J272-SUM($AV$6:AY$6)*$K272</f>
        <v>0</v>
      </c>
      <c r="AZ272" s="1">
        <f>SUM($AT272,$AA272:AD272)-SUM($AV$5:AZ$5)*$J272-SUM($AV$6:AZ$6)*$K272</f>
        <v>-120</v>
      </c>
      <c r="BA272" s="1">
        <f>SUM($AT272,$AA272:AE272)-SUM($AV$5:BA$5)*$J272-SUM($AV$6:BA$6)*$K272</f>
        <v>-240</v>
      </c>
      <c r="BB272" s="1">
        <f>SUM($AT272,$AA272:AF272)-SUM($AV$5:BB$5)*$J272-SUM($AV$6:BB$6)*$K272</f>
        <v>-360</v>
      </c>
      <c r="BC272" s="1">
        <f>SUM($AT272,$AA272:AG272)-SUM($AV$5:BC$5)*$J272-SUM($AV$6:BC$6)*$K272</f>
        <v>-480</v>
      </c>
      <c r="BD272" s="1">
        <f>SUM($AT272,$AA272:AH272)-SUM($AV$5:BD$5)*$J272-SUM($AV$6:BD$6)*$K272</f>
        <v>-600</v>
      </c>
      <c r="BE272" s="1">
        <f>SUM($AT272,$AA272:AI272)-SUM($AV$5:BE$5)*$J272-SUM($AV$6:BE$6)*$K272</f>
        <v>-720</v>
      </c>
      <c r="BF272" s="1">
        <f>SUM($AT272,$AA272:AJ272)-SUM($AV$5:BF$5)*$J272-SUM($AV$6:BF$6)*$K272</f>
        <v>-840</v>
      </c>
      <c r="BG272" s="1">
        <f>SUM($AT272,$AA272:AK272)-SUM($AV$5:BG$5)*$J272-SUM($AV$6:BG$6)*$K272</f>
        <v>-960</v>
      </c>
      <c r="BH272" s="1">
        <f>SUM($AT272,$AA272:AL272)-SUM($AV$5:BH$5)*$J272-SUM($AV$6:BH$6)*$K272</f>
        <v>-1080</v>
      </c>
      <c r="BI272" s="1">
        <f>SUM($AT272,$AA272:AM272)-SUM($AV$5:BI$5)*$J272-SUM($AV$6:BI$6)*$K272</f>
        <v>-1200</v>
      </c>
      <c r="BJ272" s="1">
        <f>SUM($AT272,$AA272:AN272)-SUM($AV$5:BJ$5)*$J272-SUM($AV$6:BJ$6)*$K272</f>
        <v>-1320</v>
      </c>
      <c r="BK272" s="1">
        <f>SUM($AT272,$AA272:AO272)-SUM($AV$5:BK$5)*$J272-SUM($AV$6:BK$6)*$K272</f>
        <v>-1440</v>
      </c>
      <c r="BL272" s="1">
        <f>SUM($AT272,$AA272:AP272)-SUM($AV$5:BL$5)*$J272-SUM($AV$6:BL$6)*$K272</f>
        <v>-1560</v>
      </c>
      <c r="BM272" s="1">
        <f>SUM($AT272,$AA272:AQ272)-SUM($AV$5:BM$5)*$J272-SUM($AV$6:BM$6)*$K272</f>
        <v>-1680</v>
      </c>
      <c r="BN272" s="1">
        <f>SUM($AT272,$AA272:AR272)-SUM($AV$5:BN$5)*$J272-SUM($AV$6:BN$6)*$K272</f>
        <v>-1746</v>
      </c>
    </row>
    <row r="273" spans="1:66">
      <c r="A273" s="1">
        <v>283</v>
      </c>
      <c r="B273" s="28" t="s">
        <v>866</v>
      </c>
      <c r="C273" s="1" t="s">
        <v>40</v>
      </c>
      <c r="D273" s="2">
        <v>405625614</v>
      </c>
      <c r="E273" s="3" t="s">
        <v>867</v>
      </c>
      <c r="F273" s="1"/>
      <c r="G273" s="1" t="s">
        <v>42</v>
      </c>
      <c r="H273" s="1">
        <v>2</v>
      </c>
      <c r="I273" s="1">
        <v>6</v>
      </c>
      <c r="J273" s="1">
        <v>0</v>
      </c>
      <c r="K273" s="1">
        <v>0</v>
      </c>
      <c r="L273" s="1">
        <v>6</v>
      </c>
      <c r="M273" s="1">
        <f t="shared" si="10"/>
        <v>1656</v>
      </c>
      <c r="N273" s="1">
        <f t="shared" si="11"/>
        <v>1656</v>
      </c>
      <c r="O273" s="2" t="s">
        <v>323</v>
      </c>
      <c r="P273" s="1"/>
      <c r="Q273" s="1">
        <v>3.81</v>
      </c>
      <c r="R273" s="1" t="s">
        <v>44</v>
      </c>
      <c r="S273" s="30" t="s">
        <v>324</v>
      </c>
      <c r="T273" s="31" t="s">
        <v>323</v>
      </c>
      <c r="U273" s="1"/>
      <c r="V273" s="1">
        <v>27</v>
      </c>
      <c r="W273" s="1" t="s">
        <v>868</v>
      </c>
      <c r="X273" s="33" t="s">
        <v>869</v>
      </c>
      <c r="Y273" s="1" t="s">
        <v>327</v>
      </c>
      <c r="Z273" s="2" t="s">
        <v>323</v>
      </c>
      <c r="AA273" s="1"/>
      <c r="AB273" s="1"/>
      <c r="AC273" s="1"/>
      <c r="AD273" s="1"/>
      <c r="AE273" s="1"/>
      <c r="AF273" s="1"/>
      <c r="AG273" s="1"/>
      <c r="AH273" s="1"/>
      <c r="AI273" s="1"/>
      <c r="AJ273" s="1"/>
      <c r="AK273" s="1"/>
      <c r="AL273" s="1"/>
      <c r="AM273" s="1"/>
      <c r="AN273" s="1"/>
      <c r="AO273" s="1"/>
      <c r="AP273" s="1"/>
      <c r="AQ273" s="1"/>
      <c r="AR273" s="1"/>
      <c r="AS273" s="1"/>
      <c r="AT273" s="1"/>
      <c r="AU273" s="1"/>
      <c r="AV273" s="1">
        <f>SUM($AT273,Z273:$AA273)-SUM($AV$5:AV$5)*$J273-SUM($AV$6:AV$6)*$K273</f>
        <v>0</v>
      </c>
      <c r="AW273" s="1">
        <f>SUM($AT273,$AA273:AA273)-SUM($AV$5:AW$5)*$J273-SUM($AV$6:AW$6)*$K273</f>
        <v>0</v>
      </c>
      <c r="AX273" s="1">
        <f>SUM($AT273,$AA273:AB273)-SUM($AV$5:AX$5)*$J273-SUM($AV$6:AX$6)*$K273</f>
        <v>0</v>
      </c>
      <c r="AY273" s="1">
        <f>SUM($AT273,$AA273:AC273)-SUM($AV$5:AY$5)*$J273-SUM($AV$6:AY$6)*$K273</f>
        <v>0</v>
      </c>
      <c r="AZ273" s="1">
        <f>SUM($AT273,$AA273:AD273)-SUM($AV$5:AZ$5)*$J273-SUM($AV$6:AZ$6)*$K273</f>
        <v>0</v>
      </c>
      <c r="BA273" s="1">
        <f>SUM($AT273,$AA273:AE273)-SUM($AV$5:BA$5)*$J273-SUM($AV$6:BA$6)*$K273</f>
        <v>0</v>
      </c>
      <c r="BB273" s="1">
        <f>SUM($AT273,$AA273:AF273)-SUM($AV$5:BB$5)*$J273-SUM($AV$6:BB$6)*$K273</f>
        <v>0</v>
      </c>
      <c r="BC273" s="1">
        <f>SUM($AT273,$AA273:AG273)-SUM($AV$5:BC$5)*$J273-SUM($AV$6:BC$6)*$K273</f>
        <v>0</v>
      </c>
      <c r="BD273" s="1">
        <f>SUM($AT273,$AA273:AH273)-SUM($AV$5:BD$5)*$J273-SUM($AV$6:BD$6)*$K273</f>
        <v>0</v>
      </c>
      <c r="BE273" s="1">
        <f>SUM($AT273,$AA273:AI273)-SUM($AV$5:BE$5)*$J273-SUM($AV$6:BE$6)*$K273</f>
        <v>0</v>
      </c>
      <c r="BF273" s="1">
        <f>SUM($AT273,$AA273:AJ273)-SUM($AV$5:BF$5)*$J273-SUM($AV$6:BF$6)*$K273</f>
        <v>0</v>
      </c>
      <c r="BG273" s="1">
        <f>SUM($AT273,$AA273:AK273)-SUM($AV$5:BG$5)*$J273-SUM($AV$6:BG$6)*$K273</f>
        <v>0</v>
      </c>
      <c r="BH273" s="1">
        <f>SUM($AT273,$AA273:AL273)-SUM($AV$5:BH$5)*$J273-SUM($AV$6:BH$6)*$K273</f>
        <v>0</v>
      </c>
      <c r="BI273" s="1">
        <f>SUM($AT273,$AA273:AM273)-SUM($AV$5:BI$5)*$J273-SUM($AV$6:BI$6)*$K273</f>
        <v>0</v>
      </c>
      <c r="BJ273" s="1">
        <f>SUM($AT273,$AA273:AN273)-SUM($AV$5:BJ$5)*$J273-SUM($AV$6:BJ$6)*$K273</f>
        <v>0</v>
      </c>
      <c r="BK273" s="1">
        <f>SUM($AT273,$AA273:AO273)-SUM($AV$5:BK$5)*$J273-SUM($AV$6:BK$6)*$K273</f>
        <v>0</v>
      </c>
      <c r="BL273" s="1">
        <f>SUM($AT273,$AA273:AP273)-SUM($AV$5:BL$5)*$J273-SUM($AV$6:BL$6)*$K273</f>
        <v>0</v>
      </c>
      <c r="BM273" s="1">
        <f>SUM($AT273,$AA273:AQ273)-SUM($AV$5:BM$5)*$J273-SUM($AV$6:BM$6)*$K273</f>
        <v>0</v>
      </c>
      <c r="BN273" s="1">
        <f>SUM($AT273,$AA273:AR273)-SUM($AV$5:BN$5)*$J273-SUM($AV$6:BN$6)*$K273</f>
        <v>0</v>
      </c>
    </row>
    <row r="274" spans="1:66">
      <c r="A274" s="1">
        <v>314</v>
      </c>
      <c r="B274" s="28" t="s">
        <v>870</v>
      </c>
      <c r="C274" s="1" t="s">
        <v>40</v>
      </c>
      <c r="D274" s="2">
        <v>401339819</v>
      </c>
      <c r="E274" s="3" t="s">
        <v>871</v>
      </c>
      <c r="F274" s="1"/>
      <c r="G274" s="1" t="s">
        <v>42</v>
      </c>
      <c r="H274" s="1">
        <v>2</v>
      </c>
      <c r="I274" s="1">
        <v>64</v>
      </c>
      <c r="J274" s="1">
        <v>64</v>
      </c>
      <c r="K274" s="1">
        <v>0</v>
      </c>
      <c r="L274" s="1">
        <v>0</v>
      </c>
      <c r="M274" s="1">
        <f t="shared" si="10"/>
        <v>37248</v>
      </c>
      <c r="N274" s="1">
        <f t="shared" si="11"/>
        <v>37248</v>
      </c>
      <c r="O274" s="2" t="s">
        <v>383</v>
      </c>
      <c r="P274" s="1"/>
      <c r="Q274" s="1">
        <v>0.04</v>
      </c>
      <c r="R274" s="1" t="s">
        <v>44</v>
      </c>
      <c r="S274" s="30" t="s">
        <v>762</v>
      </c>
      <c r="T274" s="31" t="s">
        <v>369</v>
      </c>
      <c r="U274" s="1"/>
      <c r="V274" s="1">
        <v>4000</v>
      </c>
      <c r="W274" s="1" t="s">
        <v>370</v>
      </c>
      <c r="X274" s="32" t="s">
        <v>371</v>
      </c>
      <c r="Y274" s="1" t="s">
        <v>372</v>
      </c>
      <c r="Z274" s="2" t="s">
        <v>383</v>
      </c>
      <c r="AA274" s="1"/>
      <c r="AB274" s="1"/>
      <c r="AC274" s="1"/>
      <c r="AD274" s="1"/>
      <c r="AE274" s="1"/>
      <c r="AF274" s="1"/>
      <c r="AG274" s="1"/>
      <c r="AH274" s="1"/>
      <c r="AI274" s="1"/>
      <c r="AJ274" s="1"/>
      <c r="AK274" s="1"/>
      <c r="AL274" s="1"/>
      <c r="AM274" s="1"/>
      <c r="AN274" s="1"/>
      <c r="AO274" s="1"/>
      <c r="AP274" s="1"/>
      <c r="AQ274" s="1"/>
      <c r="AR274" s="1"/>
      <c r="AS274" s="1"/>
      <c r="AT274" s="1"/>
      <c r="AU274" s="1"/>
      <c r="AV274" s="1">
        <f>SUM($AT274,Z274:$AA274)-SUM($AV$5:AV$5)*$J274-SUM($AV$6:AV$6)*$K274</f>
        <v>0</v>
      </c>
      <c r="AW274" s="1">
        <f>SUM($AT274,$AA274:AA274)-SUM($AV$5:AW$5)*$J274-SUM($AV$6:AW$6)*$K274</f>
        <v>0</v>
      </c>
      <c r="AX274" s="1">
        <f>SUM($AT274,$AA274:AB274)-SUM($AV$5:AX$5)*$J274-SUM($AV$6:AX$6)*$K274</f>
        <v>0</v>
      </c>
      <c r="AY274" s="1">
        <f>SUM($AT274,$AA274:AC274)-SUM($AV$5:AY$5)*$J274-SUM($AV$6:AY$6)*$K274</f>
        <v>0</v>
      </c>
      <c r="AZ274" s="1">
        <f>SUM($AT274,$AA274:AD274)-SUM($AV$5:AZ$5)*$J274-SUM($AV$6:AZ$6)*$K274</f>
        <v>-2560</v>
      </c>
      <c r="BA274" s="1">
        <f>SUM($AT274,$AA274:AE274)-SUM($AV$5:BA$5)*$J274-SUM($AV$6:BA$6)*$K274</f>
        <v>-5120</v>
      </c>
      <c r="BB274" s="1">
        <f>SUM($AT274,$AA274:AF274)-SUM($AV$5:BB$5)*$J274-SUM($AV$6:BB$6)*$K274</f>
        <v>-7680</v>
      </c>
      <c r="BC274" s="1">
        <f>SUM($AT274,$AA274:AG274)-SUM($AV$5:BC$5)*$J274-SUM($AV$6:BC$6)*$K274</f>
        <v>-10240</v>
      </c>
      <c r="BD274" s="1">
        <f>SUM($AT274,$AA274:AH274)-SUM($AV$5:BD$5)*$J274-SUM($AV$6:BD$6)*$K274</f>
        <v>-12800</v>
      </c>
      <c r="BE274" s="1">
        <f>SUM($AT274,$AA274:AI274)-SUM($AV$5:BE$5)*$J274-SUM($AV$6:BE$6)*$K274</f>
        <v>-15360</v>
      </c>
      <c r="BF274" s="1">
        <f>SUM($AT274,$AA274:AJ274)-SUM($AV$5:BF$5)*$J274-SUM($AV$6:BF$6)*$K274</f>
        <v>-17920</v>
      </c>
      <c r="BG274" s="1">
        <f>SUM($AT274,$AA274:AK274)-SUM($AV$5:BG$5)*$J274-SUM($AV$6:BG$6)*$K274</f>
        <v>-20480</v>
      </c>
      <c r="BH274" s="1">
        <f>SUM($AT274,$AA274:AL274)-SUM($AV$5:BH$5)*$J274-SUM($AV$6:BH$6)*$K274</f>
        <v>-23040</v>
      </c>
      <c r="BI274" s="1">
        <f>SUM($AT274,$AA274:AM274)-SUM($AV$5:BI$5)*$J274-SUM($AV$6:BI$6)*$K274</f>
        <v>-25600</v>
      </c>
      <c r="BJ274" s="1">
        <f>SUM($AT274,$AA274:AN274)-SUM($AV$5:BJ$5)*$J274-SUM($AV$6:BJ$6)*$K274</f>
        <v>-28160</v>
      </c>
      <c r="BK274" s="1">
        <f>SUM($AT274,$AA274:AO274)-SUM($AV$5:BK$5)*$J274-SUM($AV$6:BK$6)*$K274</f>
        <v>-30720</v>
      </c>
      <c r="BL274" s="1">
        <f>SUM($AT274,$AA274:AP274)-SUM($AV$5:BL$5)*$J274-SUM($AV$6:BL$6)*$K274</f>
        <v>-33280</v>
      </c>
      <c r="BM274" s="1">
        <f>SUM($AT274,$AA274:AQ274)-SUM($AV$5:BM$5)*$J274-SUM($AV$6:BM$6)*$K274</f>
        <v>-35840</v>
      </c>
      <c r="BN274" s="1">
        <f>SUM($AT274,$AA274:AR274)-SUM($AV$5:BN$5)*$J274-SUM($AV$6:BN$6)*$K274</f>
        <v>-37248</v>
      </c>
    </row>
    <row r="275" spans="1:66">
      <c r="A275" s="1">
        <v>285</v>
      </c>
      <c r="B275" s="28" t="s">
        <v>872</v>
      </c>
      <c r="C275" s="1" t="s">
        <v>40</v>
      </c>
      <c r="D275" s="2">
        <v>400547664</v>
      </c>
      <c r="E275" s="3" t="s">
        <v>873</v>
      </c>
      <c r="F275" s="1"/>
      <c r="G275" s="1" t="s">
        <v>42</v>
      </c>
      <c r="H275" s="1">
        <v>2</v>
      </c>
      <c r="I275" s="1">
        <v>19</v>
      </c>
      <c r="J275" s="1">
        <v>0</v>
      </c>
      <c r="K275" s="1">
        <v>0</v>
      </c>
      <c r="L275" s="1">
        <v>19</v>
      </c>
      <c r="M275" s="1">
        <f t="shared" si="10"/>
        <v>5244</v>
      </c>
      <c r="N275" s="1">
        <f t="shared" si="11"/>
        <v>5244</v>
      </c>
      <c r="O275" s="2" t="s">
        <v>323</v>
      </c>
      <c r="P275" s="1"/>
      <c r="Q275" s="1">
        <v>2.0299999999999998</v>
      </c>
      <c r="R275" s="1" t="s">
        <v>44</v>
      </c>
      <c r="S275" s="30" t="s">
        <v>324</v>
      </c>
      <c r="T275" s="31" t="s">
        <v>323</v>
      </c>
      <c r="U275" s="1">
        <v>500</v>
      </c>
      <c r="V275" s="1">
        <v>124</v>
      </c>
      <c r="W275" s="1" t="s">
        <v>868</v>
      </c>
      <c r="X275" s="33" t="s">
        <v>869</v>
      </c>
      <c r="Y275" s="1" t="s">
        <v>327</v>
      </c>
      <c r="Z275" s="2" t="s">
        <v>323</v>
      </c>
      <c r="AA275" s="1"/>
      <c r="AB275" s="1"/>
      <c r="AC275" s="1"/>
      <c r="AD275" s="1"/>
      <c r="AE275" s="1"/>
      <c r="AF275" s="1"/>
      <c r="AG275" s="1"/>
      <c r="AH275" s="1"/>
      <c r="AI275" s="1"/>
      <c r="AJ275" s="1"/>
      <c r="AK275" s="1"/>
      <c r="AL275" s="1"/>
      <c r="AM275" s="1"/>
      <c r="AN275" s="1"/>
      <c r="AO275" s="1"/>
      <c r="AP275" s="1"/>
      <c r="AQ275" s="1"/>
      <c r="AR275" s="1"/>
      <c r="AS275" s="1"/>
      <c r="AT275" s="1"/>
      <c r="AU275" s="1"/>
      <c r="AV275" s="1">
        <f>SUM($AT275,Z275:$AA275)-SUM($AV$5:AV$5)*$J275-SUM($AV$6:AV$6)*$K275</f>
        <v>0</v>
      </c>
      <c r="AW275" s="1">
        <f>SUM($AT275,$AA275:AA275)-SUM($AV$5:AW$5)*$J275-SUM($AV$6:AW$6)*$K275</f>
        <v>0</v>
      </c>
      <c r="AX275" s="1">
        <f>SUM($AT275,$AA275:AB275)-SUM($AV$5:AX$5)*$J275-SUM($AV$6:AX$6)*$K275</f>
        <v>0</v>
      </c>
      <c r="AY275" s="1">
        <f>SUM($AT275,$AA275:AC275)-SUM($AV$5:AY$5)*$J275-SUM($AV$6:AY$6)*$K275</f>
        <v>0</v>
      </c>
      <c r="AZ275" s="1">
        <f>SUM($AT275,$AA275:AD275)-SUM($AV$5:AZ$5)*$J275-SUM($AV$6:AZ$6)*$K275</f>
        <v>0</v>
      </c>
      <c r="BA275" s="1">
        <f>SUM($AT275,$AA275:AE275)-SUM($AV$5:BA$5)*$J275-SUM($AV$6:BA$6)*$K275</f>
        <v>0</v>
      </c>
      <c r="BB275" s="1">
        <f>SUM($AT275,$AA275:AF275)-SUM($AV$5:BB$5)*$J275-SUM($AV$6:BB$6)*$K275</f>
        <v>0</v>
      </c>
      <c r="BC275" s="1">
        <f>SUM($AT275,$AA275:AG275)-SUM($AV$5:BC$5)*$J275-SUM($AV$6:BC$6)*$K275</f>
        <v>0</v>
      </c>
      <c r="BD275" s="1">
        <f>SUM($AT275,$AA275:AH275)-SUM($AV$5:BD$5)*$J275-SUM($AV$6:BD$6)*$K275</f>
        <v>0</v>
      </c>
      <c r="BE275" s="1">
        <f>SUM($AT275,$AA275:AI275)-SUM($AV$5:BE$5)*$J275-SUM($AV$6:BE$6)*$K275</f>
        <v>0</v>
      </c>
      <c r="BF275" s="1">
        <f>SUM($AT275,$AA275:AJ275)-SUM($AV$5:BF$5)*$J275-SUM($AV$6:BF$6)*$K275</f>
        <v>0</v>
      </c>
      <c r="BG275" s="1">
        <f>SUM($AT275,$AA275:AK275)-SUM($AV$5:BG$5)*$J275-SUM($AV$6:BG$6)*$K275</f>
        <v>0</v>
      </c>
      <c r="BH275" s="1">
        <f>SUM($AT275,$AA275:AL275)-SUM($AV$5:BH$5)*$J275-SUM($AV$6:BH$6)*$K275</f>
        <v>0</v>
      </c>
      <c r="BI275" s="1">
        <f>SUM($AT275,$AA275:AM275)-SUM($AV$5:BI$5)*$J275-SUM($AV$6:BI$6)*$K275</f>
        <v>0</v>
      </c>
      <c r="BJ275" s="1">
        <f>SUM($AT275,$AA275:AN275)-SUM($AV$5:BJ$5)*$J275-SUM($AV$6:BJ$6)*$K275</f>
        <v>0</v>
      </c>
      <c r="BK275" s="1">
        <f>SUM($AT275,$AA275:AO275)-SUM($AV$5:BK$5)*$J275-SUM($AV$6:BK$6)*$K275</f>
        <v>0</v>
      </c>
      <c r="BL275" s="1">
        <f>SUM($AT275,$AA275:AP275)-SUM($AV$5:BL$5)*$J275-SUM($AV$6:BL$6)*$K275</f>
        <v>0</v>
      </c>
      <c r="BM275" s="1">
        <f>SUM($AT275,$AA275:AQ275)-SUM($AV$5:BM$5)*$J275-SUM($AV$6:BM$6)*$K275</f>
        <v>0</v>
      </c>
      <c r="BN275" s="1">
        <f>SUM($AT275,$AA275:AR275)-SUM($AV$5:BN$5)*$J275-SUM($AV$6:BN$6)*$K275</f>
        <v>0</v>
      </c>
    </row>
    <row r="276" spans="1:66">
      <c r="A276" s="1">
        <v>315</v>
      </c>
      <c r="B276" s="28" t="s">
        <v>874</v>
      </c>
      <c r="C276" s="1" t="s">
        <v>40</v>
      </c>
      <c r="D276" s="2">
        <v>400911772</v>
      </c>
      <c r="E276" s="3" t="s">
        <v>875</v>
      </c>
      <c r="F276" s="1"/>
      <c r="G276" s="1" t="s">
        <v>42</v>
      </c>
      <c r="H276" s="1">
        <v>2</v>
      </c>
      <c r="I276" s="1">
        <v>4</v>
      </c>
      <c r="J276" s="1">
        <v>4</v>
      </c>
      <c r="K276" s="1">
        <v>0</v>
      </c>
      <c r="L276" s="1">
        <v>0</v>
      </c>
      <c r="M276" s="1">
        <f t="shared" si="10"/>
        <v>2328</v>
      </c>
      <c r="N276" s="1">
        <f t="shared" si="11"/>
        <v>2328</v>
      </c>
      <c r="O276" s="2" t="s">
        <v>383</v>
      </c>
      <c r="P276" s="1"/>
      <c r="Q276" s="1">
        <v>4.4999999999999998E-2</v>
      </c>
      <c r="R276" s="1" t="s">
        <v>44</v>
      </c>
      <c r="S276" s="30" t="s">
        <v>762</v>
      </c>
      <c r="T276" s="31" t="s">
        <v>369</v>
      </c>
      <c r="U276" s="1"/>
      <c r="V276" s="1">
        <v>4000</v>
      </c>
      <c r="W276" s="1" t="s">
        <v>370</v>
      </c>
      <c r="X276" s="32" t="s">
        <v>371</v>
      </c>
      <c r="Y276" s="1" t="s">
        <v>372</v>
      </c>
      <c r="Z276" s="2" t="s">
        <v>383</v>
      </c>
      <c r="AA276" s="1"/>
      <c r="AB276" s="1"/>
      <c r="AC276" s="1"/>
      <c r="AD276" s="1"/>
      <c r="AE276" s="1"/>
      <c r="AF276" s="1"/>
      <c r="AG276" s="1"/>
      <c r="AH276" s="1"/>
      <c r="AI276" s="1"/>
      <c r="AJ276" s="1"/>
      <c r="AK276" s="1"/>
      <c r="AL276" s="1"/>
      <c r="AM276" s="1"/>
      <c r="AN276" s="1"/>
      <c r="AO276" s="1"/>
      <c r="AP276" s="1"/>
      <c r="AQ276" s="1"/>
      <c r="AR276" s="1"/>
      <c r="AS276" s="1"/>
      <c r="AT276" s="1"/>
      <c r="AU276" s="1"/>
      <c r="AV276" s="1">
        <f>SUM($AT276,Z276:$AA276)-SUM($AV$5:AV$5)*$J276-SUM($AV$6:AV$6)*$K276</f>
        <v>0</v>
      </c>
      <c r="AW276" s="1">
        <f>SUM($AT276,$AA276:AA276)-SUM($AV$5:AW$5)*$J276-SUM($AV$6:AW$6)*$K276</f>
        <v>0</v>
      </c>
      <c r="AX276" s="1">
        <f>SUM($AT276,$AA276:AB276)-SUM($AV$5:AX$5)*$J276-SUM($AV$6:AX$6)*$K276</f>
        <v>0</v>
      </c>
      <c r="AY276" s="1">
        <f>SUM($AT276,$AA276:AC276)-SUM($AV$5:AY$5)*$J276-SUM($AV$6:AY$6)*$K276</f>
        <v>0</v>
      </c>
      <c r="AZ276" s="1">
        <f>SUM($AT276,$AA276:AD276)-SUM($AV$5:AZ$5)*$J276-SUM($AV$6:AZ$6)*$K276</f>
        <v>-160</v>
      </c>
      <c r="BA276" s="1">
        <f>SUM($AT276,$AA276:AE276)-SUM($AV$5:BA$5)*$J276-SUM($AV$6:BA$6)*$K276</f>
        <v>-320</v>
      </c>
      <c r="BB276" s="1">
        <f>SUM($AT276,$AA276:AF276)-SUM($AV$5:BB$5)*$J276-SUM($AV$6:BB$6)*$K276</f>
        <v>-480</v>
      </c>
      <c r="BC276" s="1">
        <f>SUM($AT276,$AA276:AG276)-SUM($AV$5:BC$5)*$J276-SUM($AV$6:BC$6)*$K276</f>
        <v>-640</v>
      </c>
      <c r="BD276" s="1">
        <f>SUM($AT276,$AA276:AH276)-SUM($AV$5:BD$5)*$J276-SUM($AV$6:BD$6)*$K276</f>
        <v>-800</v>
      </c>
      <c r="BE276" s="1">
        <f>SUM($AT276,$AA276:AI276)-SUM($AV$5:BE$5)*$J276-SUM($AV$6:BE$6)*$K276</f>
        <v>-960</v>
      </c>
      <c r="BF276" s="1">
        <f>SUM($AT276,$AA276:AJ276)-SUM($AV$5:BF$5)*$J276-SUM($AV$6:BF$6)*$K276</f>
        <v>-1120</v>
      </c>
      <c r="BG276" s="1">
        <f>SUM($AT276,$AA276:AK276)-SUM($AV$5:BG$5)*$J276-SUM($AV$6:BG$6)*$K276</f>
        <v>-1280</v>
      </c>
      <c r="BH276" s="1">
        <f>SUM($AT276,$AA276:AL276)-SUM($AV$5:BH$5)*$J276-SUM($AV$6:BH$6)*$K276</f>
        <v>-1440</v>
      </c>
      <c r="BI276" s="1">
        <f>SUM($AT276,$AA276:AM276)-SUM($AV$5:BI$5)*$J276-SUM($AV$6:BI$6)*$K276</f>
        <v>-1600</v>
      </c>
      <c r="BJ276" s="1">
        <f>SUM($AT276,$AA276:AN276)-SUM($AV$5:BJ$5)*$J276-SUM($AV$6:BJ$6)*$K276</f>
        <v>-1760</v>
      </c>
      <c r="BK276" s="1">
        <f>SUM($AT276,$AA276:AO276)-SUM($AV$5:BK$5)*$J276-SUM($AV$6:BK$6)*$K276</f>
        <v>-1920</v>
      </c>
      <c r="BL276" s="1">
        <f>SUM($AT276,$AA276:AP276)-SUM($AV$5:BL$5)*$J276-SUM($AV$6:BL$6)*$K276</f>
        <v>-2080</v>
      </c>
      <c r="BM276" s="1">
        <f>SUM($AT276,$AA276:AQ276)-SUM($AV$5:BM$5)*$J276-SUM($AV$6:BM$6)*$K276</f>
        <v>-2240</v>
      </c>
      <c r="BN276" s="1">
        <f>SUM($AT276,$AA276:AR276)-SUM($AV$5:BN$5)*$J276-SUM($AV$6:BN$6)*$K276</f>
        <v>-2328</v>
      </c>
    </row>
    <row r="277" spans="1:66">
      <c r="A277" s="1">
        <v>316</v>
      </c>
      <c r="B277" s="28" t="s">
        <v>876</v>
      </c>
      <c r="C277" s="1" t="s">
        <v>40</v>
      </c>
      <c r="D277" s="2" t="s">
        <v>877</v>
      </c>
      <c r="E277" s="3" t="s">
        <v>878</v>
      </c>
      <c r="F277" s="1"/>
      <c r="G277" s="1" t="s">
        <v>42</v>
      </c>
      <c r="H277" s="1">
        <v>2</v>
      </c>
      <c r="I277" s="1">
        <v>65</v>
      </c>
      <c r="J277" s="1">
        <v>65</v>
      </c>
      <c r="K277" s="1">
        <v>0</v>
      </c>
      <c r="L277" s="1">
        <v>0</v>
      </c>
      <c r="M277" s="1">
        <f t="shared" si="10"/>
        <v>37830</v>
      </c>
      <c r="N277" s="1">
        <f t="shared" si="11"/>
        <v>37830</v>
      </c>
      <c r="O277" s="2" t="s">
        <v>383</v>
      </c>
      <c r="P277" s="1"/>
      <c r="Q277" s="1">
        <v>4.4999999999999998E-2</v>
      </c>
      <c r="R277" s="1" t="s">
        <v>44</v>
      </c>
      <c r="S277" s="30" t="s">
        <v>762</v>
      </c>
      <c r="T277" s="31" t="s">
        <v>369</v>
      </c>
      <c r="U277" s="1"/>
      <c r="V277" s="1">
        <v>4000</v>
      </c>
      <c r="W277" s="1" t="s">
        <v>370</v>
      </c>
      <c r="X277" s="32" t="s">
        <v>371</v>
      </c>
      <c r="Y277" s="1" t="s">
        <v>372</v>
      </c>
      <c r="Z277" s="2" t="s">
        <v>383</v>
      </c>
      <c r="AA277" s="1"/>
      <c r="AB277" s="1"/>
      <c r="AC277" s="1"/>
      <c r="AD277" s="1"/>
      <c r="AE277" s="1"/>
      <c r="AF277" s="1"/>
      <c r="AG277" s="1"/>
      <c r="AH277" s="1"/>
      <c r="AI277" s="1"/>
      <c r="AJ277" s="1"/>
      <c r="AK277" s="1"/>
      <c r="AL277" s="1"/>
      <c r="AM277" s="1"/>
      <c r="AN277" s="1"/>
      <c r="AO277" s="1"/>
      <c r="AP277" s="1"/>
      <c r="AQ277" s="1"/>
      <c r="AR277" s="1"/>
      <c r="AS277" s="1"/>
      <c r="AT277" s="1"/>
      <c r="AU277" s="1"/>
      <c r="AV277" s="1">
        <f>SUM($AT277,Z277:$AA277)-SUM($AV$5:AV$5)*$J277-SUM($AV$6:AV$6)*$K277</f>
        <v>0</v>
      </c>
      <c r="AW277" s="1">
        <f>SUM($AT277,$AA277:AA277)-SUM($AV$5:AW$5)*$J277-SUM($AV$6:AW$6)*$K277</f>
        <v>0</v>
      </c>
      <c r="AX277" s="1">
        <f>SUM($AT277,$AA277:AB277)-SUM($AV$5:AX$5)*$J277-SUM($AV$6:AX$6)*$K277</f>
        <v>0</v>
      </c>
      <c r="AY277" s="1">
        <f>SUM($AT277,$AA277:AC277)-SUM($AV$5:AY$5)*$J277-SUM($AV$6:AY$6)*$K277</f>
        <v>0</v>
      </c>
      <c r="AZ277" s="1">
        <f>SUM($AT277,$AA277:AD277)-SUM($AV$5:AZ$5)*$J277-SUM($AV$6:AZ$6)*$K277</f>
        <v>-2600</v>
      </c>
      <c r="BA277" s="1">
        <f>SUM($AT277,$AA277:AE277)-SUM($AV$5:BA$5)*$J277-SUM($AV$6:BA$6)*$K277</f>
        <v>-5200</v>
      </c>
      <c r="BB277" s="1">
        <f>SUM($AT277,$AA277:AF277)-SUM($AV$5:BB$5)*$J277-SUM($AV$6:BB$6)*$K277</f>
        <v>-7800</v>
      </c>
      <c r="BC277" s="1">
        <f>SUM($AT277,$AA277:AG277)-SUM($AV$5:BC$5)*$J277-SUM($AV$6:BC$6)*$K277</f>
        <v>-10400</v>
      </c>
      <c r="BD277" s="1">
        <f>SUM($AT277,$AA277:AH277)-SUM($AV$5:BD$5)*$J277-SUM($AV$6:BD$6)*$K277</f>
        <v>-13000</v>
      </c>
      <c r="BE277" s="1">
        <f>SUM($AT277,$AA277:AI277)-SUM($AV$5:BE$5)*$J277-SUM($AV$6:BE$6)*$K277</f>
        <v>-15600</v>
      </c>
      <c r="BF277" s="1">
        <f>SUM($AT277,$AA277:AJ277)-SUM($AV$5:BF$5)*$J277-SUM($AV$6:BF$6)*$K277</f>
        <v>-18200</v>
      </c>
      <c r="BG277" s="1">
        <f>SUM($AT277,$AA277:AK277)-SUM($AV$5:BG$5)*$J277-SUM($AV$6:BG$6)*$K277</f>
        <v>-20800</v>
      </c>
      <c r="BH277" s="1">
        <f>SUM($AT277,$AA277:AL277)-SUM($AV$5:BH$5)*$J277-SUM($AV$6:BH$6)*$K277</f>
        <v>-23400</v>
      </c>
      <c r="BI277" s="1">
        <f>SUM($AT277,$AA277:AM277)-SUM($AV$5:BI$5)*$J277-SUM($AV$6:BI$6)*$K277</f>
        <v>-26000</v>
      </c>
      <c r="BJ277" s="1">
        <f>SUM($AT277,$AA277:AN277)-SUM($AV$5:BJ$5)*$J277-SUM($AV$6:BJ$6)*$K277</f>
        <v>-28600</v>
      </c>
      <c r="BK277" s="1">
        <f>SUM($AT277,$AA277:AO277)-SUM($AV$5:BK$5)*$J277-SUM($AV$6:BK$6)*$K277</f>
        <v>-31200</v>
      </c>
      <c r="BL277" s="1">
        <f>SUM($AT277,$AA277:AP277)-SUM($AV$5:BL$5)*$J277-SUM($AV$6:BL$6)*$K277</f>
        <v>-33800</v>
      </c>
      <c r="BM277" s="1">
        <f>SUM($AT277,$AA277:AQ277)-SUM($AV$5:BM$5)*$J277-SUM($AV$6:BM$6)*$K277</f>
        <v>-36400</v>
      </c>
      <c r="BN277" s="1">
        <f>SUM($AT277,$AA277:AR277)-SUM($AV$5:BN$5)*$J277-SUM($AV$6:BN$6)*$K277</f>
        <v>-37830</v>
      </c>
    </row>
    <row r="278" spans="1:66">
      <c r="A278" s="1">
        <v>317</v>
      </c>
      <c r="B278" s="28" t="s">
        <v>879</v>
      </c>
      <c r="C278" s="1" t="s">
        <v>176</v>
      </c>
      <c r="D278" s="2">
        <v>400984334</v>
      </c>
      <c r="E278" s="3" t="s">
        <v>880</v>
      </c>
      <c r="F278" s="1"/>
      <c r="G278" s="1" t="s">
        <v>42</v>
      </c>
      <c r="H278" s="1">
        <v>2</v>
      </c>
      <c r="I278" s="1">
        <v>3</v>
      </c>
      <c r="J278" s="1">
        <v>3</v>
      </c>
      <c r="K278" s="1">
        <v>0</v>
      </c>
      <c r="L278" s="1">
        <v>0</v>
      </c>
      <c r="M278" s="1">
        <f t="shared" si="10"/>
        <v>1746</v>
      </c>
      <c r="N278" s="1">
        <f t="shared" si="11"/>
        <v>1746</v>
      </c>
      <c r="O278" s="2" t="s">
        <v>323</v>
      </c>
      <c r="P278" s="1"/>
      <c r="Q278" s="1">
        <v>2.95</v>
      </c>
      <c r="R278" s="1" t="s">
        <v>44</v>
      </c>
      <c r="S278" s="30" t="s">
        <v>324</v>
      </c>
      <c r="T278" s="31" t="s">
        <v>323</v>
      </c>
      <c r="U278" s="1"/>
      <c r="V278" s="1">
        <v>2500</v>
      </c>
      <c r="W278" s="1" t="s">
        <v>325</v>
      </c>
      <c r="X278" s="32" t="s">
        <v>326</v>
      </c>
      <c r="Y278" s="1" t="s">
        <v>327</v>
      </c>
      <c r="Z278" s="2" t="s">
        <v>323</v>
      </c>
      <c r="AA278" s="1"/>
      <c r="AB278" s="1"/>
      <c r="AC278" s="1"/>
      <c r="AD278" s="1"/>
      <c r="AE278" s="1"/>
      <c r="AF278" s="1"/>
      <c r="AG278" s="1"/>
      <c r="AH278" s="1"/>
      <c r="AI278" s="1"/>
      <c r="AJ278" s="1"/>
      <c r="AK278" s="1"/>
      <c r="AL278" s="1"/>
      <c r="AM278" s="1"/>
      <c r="AN278" s="1"/>
      <c r="AO278" s="1"/>
      <c r="AP278" s="1"/>
      <c r="AQ278" s="1"/>
      <c r="AR278" s="1"/>
      <c r="AS278" s="1"/>
      <c r="AT278" s="1"/>
      <c r="AU278" s="1"/>
      <c r="AV278" s="1">
        <f>SUM($AT278,Z278:$AA278)-SUM($AV$5:AV$5)*$J278-SUM($AV$6:AV$6)*$K278</f>
        <v>0</v>
      </c>
      <c r="AW278" s="1">
        <f>SUM($AT278,$AA278:AA278)-SUM($AV$5:AW$5)*$J278-SUM($AV$6:AW$6)*$K278</f>
        <v>0</v>
      </c>
      <c r="AX278" s="1">
        <f>SUM($AT278,$AA278:AB278)-SUM($AV$5:AX$5)*$J278-SUM($AV$6:AX$6)*$K278</f>
        <v>0</v>
      </c>
      <c r="AY278" s="1">
        <f>SUM($AT278,$AA278:AC278)-SUM($AV$5:AY$5)*$J278-SUM($AV$6:AY$6)*$K278</f>
        <v>0</v>
      </c>
      <c r="AZ278" s="1">
        <f>SUM($AT278,$AA278:AD278)-SUM($AV$5:AZ$5)*$J278-SUM($AV$6:AZ$6)*$K278</f>
        <v>-120</v>
      </c>
      <c r="BA278" s="1">
        <f>SUM($AT278,$AA278:AE278)-SUM($AV$5:BA$5)*$J278-SUM($AV$6:BA$6)*$K278</f>
        <v>-240</v>
      </c>
      <c r="BB278" s="1">
        <f>SUM($AT278,$AA278:AF278)-SUM($AV$5:BB$5)*$J278-SUM($AV$6:BB$6)*$K278</f>
        <v>-360</v>
      </c>
      <c r="BC278" s="1">
        <f>SUM($AT278,$AA278:AG278)-SUM($AV$5:BC$5)*$J278-SUM($AV$6:BC$6)*$K278</f>
        <v>-480</v>
      </c>
      <c r="BD278" s="1">
        <f>SUM($AT278,$AA278:AH278)-SUM($AV$5:BD$5)*$J278-SUM($AV$6:BD$6)*$K278</f>
        <v>-600</v>
      </c>
      <c r="BE278" s="1">
        <f>SUM($AT278,$AA278:AI278)-SUM($AV$5:BE$5)*$J278-SUM($AV$6:BE$6)*$K278</f>
        <v>-720</v>
      </c>
      <c r="BF278" s="1">
        <f>SUM($AT278,$AA278:AJ278)-SUM($AV$5:BF$5)*$J278-SUM($AV$6:BF$6)*$K278</f>
        <v>-840</v>
      </c>
      <c r="BG278" s="1">
        <f>SUM($AT278,$AA278:AK278)-SUM($AV$5:BG$5)*$J278-SUM($AV$6:BG$6)*$K278</f>
        <v>-960</v>
      </c>
      <c r="BH278" s="1">
        <f>SUM($AT278,$AA278:AL278)-SUM($AV$5:BH$5)*$J278-SUM($AV$6:BH$6)*$K278</f>
        <v>-1080</v>
      </c>
      <c r="BI278" s="1">
        <f>SUM($AT278,$AA278:AM278)-SUM($AV$5:BI$5)*$J278-SUM($AV$6:BI$6)*$K278</f>
        <v>-1200</v>
      </c>
      <c r="BJ278" s="1">
        <f>SUM($AT278,$AA278:AN278)-SUM($AV$5:BJ$5)*$J278-SUM($AV$6:BJ$6)*$K278</f>
        <v>-1320</v>
      </c>
      <c r="BK278" s="1">
        <f>SUM($AT278,$AA278:AO278)-SUM($AV$5:BK$5)*$J278-SUM($AV$6:BK$6)*$K278</f>
        <v>-1440</v>
      </c>
      <c r="BL278" s="1">
        <f>SUM($AT278,$AA278:AP278)-SUM($AV$5:BL$5)*$J278-SUM($AV$6:BL$6)*$K278</f>
        <v>-1560</v>
      </c>
      <c r="BM278" s="1">
        <f>SUM($AT278,$AA278:AQ278)-SUM($AV$5:BM$5)*$J278-SUM($AV$6:BM$6)*$K278</f>
        <v>-1680</v>
      </c>
      <c r="BN278" s="1">
        <f>SUM($AT278,$AA278:AR278)-SUM($AV$5:BN$5)*$J278-SUM($AV$6:BN$6)*$K278</f>
        <v>-1746</v>
      </c>
    </row>
    <row r="279" spans="1:66">
      <c r="A279" s="1">
        <v>319</v>
      </c>
      <c r="B279" s="28" t="s">
        <v>881</v>
      </c>
      <c r="C279" s="1" t="s">
        <v>40</v>
      </c>
      <c r="D279" s="2">
        <v>400824172</v>
      </c>
      <c r="E279" s="3" t="s">
        <v>882</v>
      </c>
      <c r="F279" s="1">
        <v>400045348</v>
      </c>
      <c r="G279" s="1" t="s">
        <v>42</v>
      </c>
      <c r="H279" s="1">
        <v>2</v>
      </c>
      <c r="I279" s="1">
        <v>26</v>
      </c>
      <c r="J279" s="1">
        <v>21</v>
      </c>
      <c r="K279" s="1">
        <v>0</v>
      </c>
      <c r="L279" s="1">
        <v>5</v>
      </c>
      <c r="M279" s="1">
        <f t="shared" si="10"/>
        <v>13602</v>
      </c>
      <c r="N279" s="1">
        <f t="shared" si="11"/>
        <v>13602</v>
      </c>
      <c r="O279" s="2" t="s">
        <v>323</v>
      </c>
      <c r="P279" s="1"/>
      <c r="Q279" s="1">
        <v>1.85</v>
      </c>
      <c r="R279" s="1" t="s">
        <v>44</v>
      </c>
      <c r="S279" s="30" t="s">
        <v>330</v>
      </c>
      <c r="T279" s="31" t="s">
        <v>323</v>
      </c>
      <c r="U279" s="1"/>
      <c r="V279" s="1">
        <v>100</v>
      </c>
      <c r="W279" s="1" t="s">
        <v>325</v>
      </c>
      <c r="X279" s="32" t="s">
        <v>326</v>
      </c>
      <c r="Y279" s="1" t="s">
        <v>327</v>
      </c>
      <c r="Z279" s="2" t="s">
        <v>323</v>
      </c>
      <c r="AA279" s="1"/>
      <c r="AB279" s="1"/>
      <c r="AC279" s="1"/>
      <c r="AD279" s="1"/>
      <c r="AE279" s="1"/>
      <c r="AF279" s="1"/>
      <c r="AG279" s="1"/>
      <c r="AH279" s="1"/>
      <c r="AI279" s="1"/>
      <c r="AJ279" s="1"/>
      <c r="AK279" s="1"/>
      <c r="AL279" s="1"/>
      <c r="AM279" s="1"/>
      <c r="AN279" s="1"/>
      <c r="AO279" s="1"/>
      <c r="AP279" s="1"/>
      <c r="AQ279" s="1"/>
      <c r="AR279" s="1"/>
      <c r="AS279" s="1"/>
      <c r="AT279" s="1"/>
      <c r="AU279" s="1"/>
      <c r="AV279" s="1">
        <f>SUM($AT279,Z279:$AA279)-SUM($AV$5:AV$5)*$J279-SUM($AV$6:AV$6)*$K279</f>
        <v>0</v>
      </c>
      <c r="AW279" s="1">
        <f>SUM($AT279,$AA279:AA279)-SUM($AV$5:AW$5)*$J279-SUM($AV$6:AW$6)*$K279</f>
        <v>0</v>
      </c>
      <c r="AX279" s="1">
        <f>SUM($AT279,$AA279:AB279)-SUM($AV$5:AX$5)*$J279-SUM($AV$6:AX$6)*$K279</f>
        <v>0</v>
      </c>
      <c r="AY279" s="1">
        <f>SUM($AT279,$AA279:AC279)-SUM($AV$5:AY$5)*$J279-SUM($AV$6:AY$6)*$K279</f>
        <v>0</v>
      </c>
      <c r="AZ279" s="1">
        <f>SUM($AT279,$AA279:AD279)-SUM($AV$5:AZ$5)*$J279-SUM($AV$6:AZ$6)*$K279</f>
        <v>-840</v>
      </c>
      <c r="BA279" s="1">
        <f>SUM($AT279,$AA279:AE279)-SUM($AV$5:BA$5)*$J279-SUM($AV$6:BA$6)*$K279</f>
        <v>-1680</v>
      </c>
      <c r="BB279" s="1">
        <f>SUM($AT279,$AA279:AF279)-SUM($AV$5:BB$5)*$J279-SUM($AV$6:BB$6)*$K279</f>
        <v>-2520</v>
      </c>
      <c r="BC279" s="1">
        <f>SUM($AT279,$AA279:AG279)-SUM($AV$5:BC$5)*$J279-SUM($AV$6:BC$6)*$K279</f>
        <v>-3360</v>
      </c>
      <c r="BD279" s="1">
        <f>SUM($AT279,$AA279:AH279)-SUM($AV$5:BD$5)*$J279-SUM($AV$6:BD$6)*$K279</f>
        <v>-4200</v>
      </c>
      <c r="BE279" s="1">
        <f>SUM($AT279,$AA279:AI279)-SUM($AV$5:BE$5)*$J279-SUM($AV$6:BE$6)*$K279</f>
        <v>-5040</v>
      </c>
      <c r="BF279" s="1">
        <f>SUM($AT279,$AA279:AJ279)-SUM($AV$5:BF$5)*$J279-SUM($AV$6:BF$6)*$K279</f>
        <v>-5880</v>
      </c>
      <c r="BG279" s="1">
        <f>SUM($AT279,$AA279:AK279)-SUM($AV$5:BG$5)*$J279-SUM($AV$6:BG$6)*$K279</f>
        <v>-6720</v>
      </c>
      <c r="BH279" s="1">
        <f>SUM($AT279,$AA279:AL279)-SUM($AV$5:BH$5)*$J279-SUM($AV$6:BH$6)*$K279</f>
        <v>-7560</v>
      </c>
      <c r="BI279" s="1">
        <f>SUM($AT279,$AA279:AM279)-SUM($AV$5:BI$5)*$J279-SUM($AV$6:BI$6)*$K279</f>
        <v>-8400</v>
      </c>
      <c r="BJ279" s="1">
        <f>SUM($AT279,$AA279:AN279)-SUM($AV$5:BJ$5)*$J279-SUM($AV$6:BJ$6)*$K279</f>
        <v>-9240</v>
      </c>
      <c r="BK279" s="1">
        <f>SUM($AT279,$AA279:AO279)-SUM($AV$5:BK$5)*$J279-SUM($AV$6:BK$6)*$K279</f>
        <v>-10080</v>
      </c>
      <c r="BL279" s="1">
        <f>SUM($AT279,$AA279:AP279)-SUM($AV$5:BL$5)*$J279-SUM($AV$6:BL$6)*$K279</f>
        <v>-10920</v>
      </c>
      <c r="BM279" s="1">
        <f>SUM($AT279,$AA279:AQ279)-SUM($AV$5:BM$5)*$J279-SUM($AV$6:BM$6)*$K279</f>
        <v>-11760</v>
      </c>
      <c r="BN279" s="1">
        <f>SUM($AT279,$AA279:AR279)-SUM($AV$5:BN$5)*$J279-SUM($AV$6:BN$6)*$K279</f>
        <v>-12222</v>
      </c>
    </row>
    <row r="280" spans="1:66">
      <c r="A280" s="1">
        <v>320</v>
      </c>
      <c r="B280" s="28" t="s">
        <v>883</v>
      </c>
      <c r="C280" s="1" t="s">
        <v>176</v>
      </c>
      <c r="D280" s="2">
        <v>400897248</v>
      </c>
      <c r="E280" s="3" t="s">
        <v>884</v>
      </c>
      <c r="F280" s="1"/>
      <c r="G280" s="1" t="s">
        <v>42</v>
      </c>
      <c r="H280" s="1">
        <v>2</v>
      </c>
      <c r="I280" s="1">
        <v>16</v>
      </c>
      <c r="J280" s="1">
        <v>16</v>
      </c>
      <c r="K280" s="1">
        <v>0</v>
      </c>
      <c r="L280" s="1">
        <v>0</v>
      </c>
      <c r="M280" s="1">
        <f t="shared" si="10"/>
        <v>9312</v>
      </c>
      <c r="N280" s="1">
        <f t="shared" si="11"/>
        <v>9312</v>
      </c>
      <c r="O280" s="2" t="s">
        <v>323</v>
      </c>
      <c r="P280" s="1"/>
      <c r="Q280" s="1">
        <v>1.97</v>
      </c>
      <c r="R280" s="1" t="s">
        <v>44</v>
      </c>
      <c r="S280" s="30" t="s">
        <v>324</v>
      </c>
      <c r="T280" s="31" t="s">
        <v>323</v>
      </c>
      <c r="U280" s="1"/>
      <c r="V280" s="1">
        <v>2500</v>
      </c>
      <c r="W280" s="1" t="s">
        <v>325</v>
      </c>
      <c r="X280" s="32" t="s">
        <v>326</v>
      </c>
      <c r="Y280" s="1" t="s">
        <v>327</v>
      </c>
      <c r="Z280" s="2" t="s">
        <v>323</v>
      </c>
      <c r="AA280" s="1"/>
      <c r="AB280" s="1"/>
      <c r="AC280" s="1"/>
      <c r="AD280" s="1"/>
      <c r="AE280" s="1"/>
      <c r="AF280" s="1"/>
      <c r="AG280" s="1"/>
      <c r="AH280" s="1"/>
      <c r="AI280" s="1"/>
      <c r="AJ280" s="1"/>
      <c r="AK280" s="1"/>
      <c r="AL280" s="1"/>
      <c r="AM280" s="1"/>
      <c r="AN280" s="1"/>
      <c r="AO280" s="1"/>
      <c r="AP280" s="1"/>
      <c r="AQ280" s="1"/>
      <c r="AR280" s="1"/>
      <c r="AS280" s="1"/>
      <c r="AT280" s="1"/>
      <c r="AU280" s="1"/>
      <c r="AV280" s="1">
        <f>SUM($AT280,Z280:$AA280)-SUM($AV$5:AV$5)*$J280-SUM($AV$6:AV$6)*$K280</f>
        <v>0</v>
      </c>
      <c r="AW280" s="1">
        <f>SUM($AT280,$AA280:AA280)-SUM($AV$5:AW$5)*$J280-SUM($AV$6:AW$6)*$K280</f>
        <v>0</v>
      </c>
      <c r="AX280" s="1">
        <f>SUM($AT280,$AA280:AB280)-SUM($AV$5:AX$5)*$J280-SUM($AV$6:AX$6)*$K280</f>
        <v>0</v>
      </c>
      <c r="AY280" s="1">
        <f>SUM($AT280,$AA280:AC280)-SUM($AV$5:AY$5)*$J280-SUM($AV$6:AY$6)*$K280</f>
        <v>0</v>
      </c>
      <c r="AZ280" s="1">
        <f>SUM($AT280,$AA280:AD280)-SUM($AV$5:AZ$5)*$J280-SUM($AV$6:AZ$6)*$K280</f>
        <v>-640</v>
      </c>
      <c r="BA280" s="1">
        <f>SUM($AT280,$AA280:AE280)-SUM($AV$5:BA$5)*$J280-SUM($AV$6:BA$6)*$K280</f>
        <v>-1280</v>
      </c>
      <c r="BB280" s="1">
        <f>SUM($AT280,$AA280:AF280)-SUM($AV$5:BB$5)*$J280-SUM($AV$6:BB$6)*$K280</f>
        <v>-1920</v>
      </c>
      <c r="BC280" s="1">
        <f>SUM($AT280,$AA280:AG280)-SUM($AV$5:BC$5)*$J280-SUM($AV$6:BC$6)*$K280</f>
        <v>-2560</v>
      </c>
      <c r="BD280" s="1">
        <f>SUM($AT280,$AA280:AH280)-SUM($AV$5:BD$5)*$J280-SUM($AV$6:BD$6)*$K280</f>
        <v>-3200</v>
      </c>
      <c r="BE280" s="1">
        <f>SUM($AT280,$AA280:AI280)-SUM($AV$5:BE$5)*$J280-SUM($AV$6:BE$6)*$K280</f>
        <v>-3840</v>
      </c>
      <c r="BF280" s="1">
        <f>SUM($AT280,$AA280:AJ280)-SUM($AV$5:BF$5)*$J280-SUM($AV$6:BF$6)*$K280</f>
        <v>-4480</v>
      </c>
      <c r="BG280" s="1">
        <f>SUM($AT280,$AA280:AK280)-SUM($AV$5:BG$5)*$J280-SUM($AV$6:BG$6)*$K280</f>
        <v>-5120</v>
      </c>
      <c r="BH280" s="1">
        <f>SUM($AT280,$AA280:AL280)-SUM($AV$5:BH$5)*$J280-SUM($AV$6:BH$6)*$K280</f>
        <v>-5760</v>
      </c>
      <c r="BI280" s="1">
        <f>SUM($AT280,$AA280:AM280)-SUM($AV$5:BI$5)*$J280-SUM($AV$6:BI$6)*$K280</f>
        <v>-6400</v>
      </c>
      <c r="BJ280" s="1">
        <f>SUM($AT280,$AA280:AN280)-SUM($AV$5:BJ$5)*$J280-SUM($AV$6:BJ$6)*$K280</f>
        <v>-7040</v>
      </c>
      <c r="BK280" s="1">
        <f>SUM($AT280,$AA280:AO280)-SUM($AV$5:BK$5)*$J280-SUM($AV$6:BK$6)*$K280</f>
        <v>-7680</v>
      </c>
      <c r="BL280" s="1">
        <f>SUM($AT280,$AA280:AP280)-SUM($AV$5:BL$5)*$J280-SUM($AV$6:BL$6)*$K280</f>
        <v>-8320</v>
      </c>
      <c r="BM280" s="1">
        <f>SUM($AT280,$AA280:AQ280)-SUM($AV$5:BM$5)*$J280-SUM($AV$6:BM$6)*$K280</f>
        <v>-8960</v>
      </c>
      <c r="BN280" s="1">
        <f>SUM($AT280,$AA280:AR280)-SUM($AV$5:BN$5)*$J280-SUM($AV$6:BN$6)*$K280</f>
        <v>-9312</v>
      </c>
    </row>
    <row r="281" spans="1:66">
      <c r="A281" s="1">
        <v>326</v>
      </c>
      <c r="B281" s="28" t="s">
        <v>885</v>
      </c>
      <c r="C281" s="1" t="s">
        <v>40</v>
      </c>
      <c r="D281" s="2">
        <v>401523219</v>
      </c>
      <c r="E281" s="3" t="s">
        <v>886</v>
      </c>
      <c r="F281" s="1"/>
      <c r="G281" s="1" t="s">
        <v>42</v>
      </c>
      <c r="H281" s="1">
        <v>2</v>
      </c>
      <c r="I281" s="1">
        <v>1</v>
      </c>
      <c r="J281" s="1">
        <v>1</v>
      </c>
      <c r="K281" s="1">
        <v>0</v>
      </c>
      <c r="L281" s="1">
        <v>0</v>
      </c>
      <c r="M281" s="1">
        <f t="shared" si="10"/>
        <v>582</v>
      </c>
      <c r="N281" s="1">
        <f t="shared" si="11"/>
        <v>582</v>
      </c>
      <c r="O281" s="2" t="s">
        <v>887</v>
      </c>
      <c r="P281" s="1"/>
      <c r="Q281" s="1">
        <v>1.05</v>
      </c>
      <c r="R281" s="1" t="s">
        <v>44</v>
      </c>
      <c r="S281" s="30" t="s">
        <v>66</v>
      </c>
      <c r="T281" s="31" t="s">
        <v>55</v>
      </c>
      <c r="U281" s="1"/>
      <c r="V281" s="1">
        <v>3000</v>
      </c>
      <c r="W281" s="1" t="s">
        <v>56</v>
      </c>
      <c r="X281" s="32" t="s">
        <v>57</v>
      </c>
      <c r="Y281" s="1" t="s">
        <v>58</v>
      </c>
      <c r="Z281" s="2" t="s">
        <v>887</v>
      </c>
      <c r="AA281" s="1"/>
      <c r="AB281" s="1"/>
      <c r="AC281" s="1"/>
      <c r="AD281" s="1"/>
      <c r="AE281" s="1"/>
      <c r="AF281" s="1"/>
      <c r="AG281" s="1"/>
      <c r="AH281" s="1"/>
      <c r="AI281" s="1"/>
      <c r="AJ281" s="1"/>
      <c r="AK281" s="1"/>
      <c r="AL281" s="1"/>
      <c r="AM281" s="1"/>
      <c r="AN281" s="1"/>
      <c r="AO281" s="1"/>
      <c r="AP281" s="1"/>
      <c r="AQ281" s="1"/>
      <c r="AR281" s="1"/>
      <c r="AS281" s="1"/>
      <c r="AT281" s="1"/>
      <c r="AU281" s="1"/>
      <c r="AV281" s="1">
        <f>SUM($AT281,Z281:$AA281)-SUM($AV$5:AV$5)*$J281-SUM($AV$6:AV$6)*$K281</f>
        <v>0</v>
      </c>
      <c r="AW281" s="1">
        <f>SUM($AT281,$AA281:AA281)-SUM($AV$5:AW$5)*$J281-SUM($AV$6:AW$6)*$K281</f>
        <v>0</v>
      </c>
      <c r="AX281" s="1">
        <f>SUM($AT281,$AA281:AB281)-SUM($AV$5:AX$5)*$J281-SUM($AV$6:AX$6)*$K281</f>
        <v>0</v>
      </c>
      <c r="AY281" s="1">
        <f>SUM($AT281,$AA281:AC281)-SUM($AV$5:AY$5)*$J281-SUM($AV$6:AY$6)*$K281</f>
        <v>0</v>
      </c>
      <c r="AZ281" s="1">
        <f>SUM($AT281,$AA281:AD281)-SUM($AV$5:AZ$5)*$J281-SUM($AV$6:AZ$6)*$K281</f>
        <v>-40</v>
      </c>
      <c r="BA281" s="1">
        <f>SUM($AT281,$AA281:AE281)-SUM($AV$5:BA$5)*$J281-SUM($AV$6:BA$6)*$K281</f>
        <v>-80</v>
      </c>
      <c r="BB281" s="1">
        <f>SUM($AT281,$AA281:AF281)-SUM($AV$5:BB$5)*$J281-SUM($AV$6:BB$6)*$K281</f>
        <v>-120</v>
      </c>
      <c r="BC281" s="1">
        <f>SUM($AT281,$AA281:AG281)-SUM($AV$5:BC$5)*$J281-SUM($AV$6:BC$6)*$K281</f>
        <v>-160</v>
      </c>
      <c r="BD281" s="1">
        <f>SUM($AT281,$AA281:AH281)-SUM($AV$5:BD$5)*$J281-SUM($AV$6:BD$6)*$K281</f>
        <v>-200</v>
      </c>
      <c r="BE281" s="1">
        <f>SUM($AT281,$AA281:AI281)-SUM($AV$5:BE$5)*$J281-SUM($AV$6:BE$6)*$K281</f>
        <v>-240</v>
      </c>
      <c r="BF281" s="1">
        <f>SUM($AT281,$AA281:AJ281)-SUM($AV$5:BF$5)*$J281-SUM($AV$6:BF$6)*$K281</f>
        <v>-280</v>
      </c>
      <c r="BG281" s="1">
        <f>SUM($AT281,$AA281:AK281)-SUM($AV$5:BG$5)*$J281-SUM($AV$6:BG$6)*$K281</f>
        <v>-320</v>
      </c>
      <c r="BH281" s="1">
        <f>SUM($AT281,$AA281:AL281)-SUM($AV$5:BH$5)*$J281-SUM($AV$6:BH$6)*$K281</f>
        <v>-360</v>
      </c>
      <c r="BI281" s="1">
        <f>SUM($AT281,$AA281:AM281)-SUM($AV$5:BI$5)*$J281-SUM($AV$6:BI$6)*$K281</f>
        <v>-400</v>
      </c>
      <c r="BJ281" s="1">
        <f>SUM($AT281,$AA281:AN281)-SUM($AV$5:BJ$5)*$J281-SUM($AV$6:BJ$6)*$K281</f>
        <v>-440</v>
      </c>
      <c r="BK281" s="1">
        <f>SUM($AT281,$AA281:AO281)-SUM($AV$5:BK$5)*$J281-SUM($AV$6:BK$6)*$K281</f>
        <v>-480</v>
      </c>
      <c r="BL281" s="1">
        <f>SUM($AT281,$AA281:AP281)-SUM($AV$5:BL$5)*$J281-SUM($AV$6:BL$6)*$K281</f>
        <v>-520</v>
      </c>
      <c r="BM281" s="1">
        <f>SUM($AT281,$AA281:AQ281)-SUM($AV$5:BM$5)*$J281-SUM($AV$6:BM$6)*$K281</f>
        <v>-560</v>
      </c>
      <c r="BN281" s="1">
        <f>SUM($AT281,$AA281:AR281)-SUM($AV$5:BN$5)*$J281-SUM($AV$6:BN$6)*$K281</f>
        <v>-582</v>
      </c>
    </row>
    <row r="282" spans="1:66">
      <c r="A282" s="1">
        <v>327</v>
      </c>
      <c r="B282" s="45" t="s">
        <v>888</v>
      </c>
      <c r="C282" s="1" t="s">
        <v>40</v>
      </c>
      <c r="D282" s="2">
        <v>400205279</v>
      </c>
      <c r="E282" s="3" t="s">
        <v>889</v>
      </c>
      <c r="F282" s="1"/>
      <c r="G282" s="1" t="s">
        <v>42</v>
      </c>
      <c r="H282" s="1">
        <v>2</v>
      </c>
      <c r="I282" s="1">
        <v>16</v>
      </c>
      <c r="J282" s="1">
        <v>16</v>
      </c>
      <c r="K282" s="1">
        <v>0</v>
      </c>
      <c r="L282" s="1">
        <v>0</v>
      </c>
      <c r="M282" s="1">
        <f t="shared" si="10"/>
        <v>9312</v>
      </c>
      <c r="N282" s="1">
        <f t="shared" si="11"/>
        <v>9312</v>
      </c>
      <c r="O282" s="2" t="s">
        <v>890</v>
      </c>
      <c r="P282" s="1"/>
      <c r="Q282" s="1">
        <v>4.74</v>
      </c>
      <c r="R282" s="1" t="s">
        <v>44</v>
      </c>
      <c r="S282" s="30" t="s">
        <v>891</v>
      </c>
      <c r="T282" s="31" t="s">
        <v>55</v>
      </c>
      <c r="U282" s="1">
        <v>1000</v>
      </c>
      <c r="V282" s="1">
        <v>1000</v>
      </c>
      <c r="W282" s="1" t="s">
        <v>56</v>
      </c>
      <c r="X282" s="32" t="s">
        <v>57</v>
      </c>
      <c r="Y282" s="1" t="s">
        <v>58</v>
      </c>
      <c r="Z282" s="2" t="s">
        <v>890</v>
      </c>
      <c r="AA282" s="1"/>
      <c r="AB282" s="1"/>
      <c r="AC282" s="1"/>
      <c r="AD282" s="1"/>
      <c r="AE282" s="1"/>
      <c r="AF282" s="1"/>
      <c r="AG282" s="1"/>
      <c r="AH282" s="1"/>
      <c r="AI282" s="1"/>
      <c r="AJ282" s="1"/>
      <c r="AK282" s="1"/>
      <c r="AL282" s="1"/>
      <c r="AM282" s="1"/>
      <c r="AN282" s="1"/>
      <c r="AO282" s="1"/>
      <c r="AP282" s="1"/>
      <c r="AQ282" s="1"/>
      <c r="AR282" s="1"/>
      <c r="AS282" s="1"/>
      <c r="AT282" s="1"/>
      <c r="AU282" s="1"/>
      <c r="AV282" s="1">
        <f>SUM($AT282,Z282:$AA282)-SUM($AV$5:AV$5)*$J282-SUM($AV$6:AV$6)*$K282</f>
        <v>0</v>
      </c>
      <c r="AW282" s="1">
        <f>SUM($AT282,$AA282:AA282)-SUM($AV$5:AW$5)*$J282-SUM($AV$6:AW$6)*$K282</f>
        <v>0</v>
      </c>
      <c r="AX282" s="1">
        <f>SUM($AT282,$AA282:AB282)-SUM($AV$5:AX$5)*$J282-SUM($AV$6:AX$6)*$K282</f>
        <v>0</v>
      </c>
      <c r="AY282" s="1">
        <f>SUM($AT282,$AA282:AC282)-SUM($AV$5:AY$5)*$J282-SUM($AV$6:AY$6)*$K282</f>
        <v>0</v>
      </c>
      <c r="AZ282" s="1">
        <f>SUM($AT282,$AA282:AD282)-SUM($AV$5:AZ$5)*$J282-SUM($AV$6:AZ$6)*$K282</f>
        <v>-640</v>
      </c>
      <c r="BA282" s="1">
        <f>SUM($AT282,$AA282:AE282)-SUM($AV$5:BA$5)*$J282-SUM($AV$6:BA$6)*$K282</f>
        <v>-1280</v>
      </c>
      <c r="BB282" s="1">
        <f>SUM($AT282,$AA282:AF282)-SUM($AV$5:BB$5)*$J282-SUM($AV$6:BB$6)*$K282</f>
        <v>-1920</v>
      </c>
      <c r="BC282" s="1">
        <f>SUM($AT282,$AA282:AG282)-SUM($AV$5:BC$5)*$J282-SUM($AV$6:BC$6)*$K282</f>
        <v>-2560</v>
      </c>
      <c r="BD282" s="1">
        <f>SUM($AT282,$AA282:AH282)-SUM($AV$5:BD$5)*$J282-SUM($AV$6:BD$6)*$K282</f>
        <v>-3200</v>
      </c>
      <c r="BE282" s="1">
        <f>SUM($AT282,$AA282:AI282)-SUM($AV$5:BE$5)*$J282-SUM($AV$6:BE$6)*$K282</f>
        <v>-3840</v>
      </c>
      <c r="BF282" s="1">
        <f>SUM($AT282,$AA282:AJ282)-SUM($AV$5:BF$5)*$J282-SUM($AV$6:BF$6)*$K282</f>
        <v>-4480</v>
      </c>
      <c r="BG282" s="1">
        <f>SUM($AT282,$AA282:AK282)-SUM($AV$5:BG$5)*$J282-SUM($AV$6:BG$6)*$K282</f>
        <v>-5120</v>
      </c>
      <c r="BH282" s="1">
        <f>SUM($AT282,$AA282:AL282)-SUM($AV$5:BH$5)*$J282-SUM($AV$6:BH$6)*$K282</f>
        <v>-5760</v>
      </c>
      <c r="BI282" s="1">
        <f>SUM($AT282,$AA282:AM282)-SUM($AV$5:BI$5)*$J282-SUM($AV$6:BI$6)*$K282</f>
        <v>-6400</v>
      </c>
      <c r="BJ282" s="1">
        <f>SUM($AT282,$AA282:AN282)-SUM($AV$5:BJ$5)*$J282-SUM($AV$6:BJ$6)*$K282</f>
        <v>-7040</v>
      </c>
      <c r="BK282" s="1">
        <f>SUM($AT282,$AA282:AO282)-SUM($AV$5:BK$5)*$J282-SUM($AV$6:BK$6)*$K282</f>
        <v>-7680</v>
      </c>
      <c r="BL282" s="1">
        <f>SUM($AT282,$AA282:AP282)-SUM($AV$5:BL$5)*$J282-SUM($AV$6:BL$6)*$K282</f>
        <v>-8320</v>
      </c>
      <c r="BM282" s="1">
        <f>SUM($AT282,$AA282:AQ282)-SUM($AV$5:BM$5)*$J282-SUM($AV$6:BM$6)*$K282</f>
        <v>-8960</v>
      </c>
      <c r="BN282" s="1">
        <f>SUM($AT282,$AA282:AR282)-SUM($AV$5:BN$5)*$J282-SUM($AV$6:BN$6)*$K282</f>
        <v>-9312</v>
      </c>
    </row>
    <row r="283" spans="1:66">
      <c r="A283" s="1">
        <v>329</v>
      </c>
      <c r="B283" s="28" t="s">
        <v>892</v>
      </c>
      <c r="C283" s="1" t="s">
        <v>299</v>
      </c>
      <c r="D283" s="2">
        <v>400169070</v>
      </c>
      <c r="E283" s="3" t="s">
        <v>893</v>
      </c>
      <c r="F283" s="1">
        <v>403470647</v>
      </c>
      <c r="G283" s="1" t="s">
        <v>42</v>
      </c>
      <c r="H283" s="1">
        <v>2</v>
      </c>
      <c r="I283" s="1">
        <v>2</v>
      </c>
      <c r="J283" s="1">
        <v>2</v>
      </c>
      <c r="K283" s="1">
        <v>0</v>
      </c>
      <c r="L283" s="1">
        <v>0</v>
      </c>
      <c r="M283" s="1">
        <f t="shared" si="10"/>
        <v>1164</v>
      </c>
      <c r="N283" s="1">
        <f t="shared" si="11"/>
        <v>1164</v>
      </c>
      <c r="O283" s="2" t="s">
        <v>745</v>
      </c>
      <c r="P283" s="1"/>
      <c r="Q283" s="1">
        <v>3.65</v>
      </c>
      <c r="R283" s="1" t="s">
        <v>44</v>
      </c>
      <c r="S283" s="30" t="s">
        <v>316</v>
      </c>
      <c r="T283" s="31" t="s">
        <v>417</v>
      </c>
      <c r="U283" s="1"/>
      <c r="V283" s="1">
        <v>74</v>
      </c>
      <c r="W283" s="1" t="s">
        <v>418</v>
      </c>
      <c r="X283" s="32" t="s">
        <v>419</v>
      </c>
      <c r="Y283" s="1" t="s">
        <v>420</v>
      </c>
      <c r="Z283" s="2" t="s">
        <v>745</v>
      </c>
      <c r="AA283" s="1"/>
      <c r="AB283" s="1"/>
      <c r="AC283" s="1"/>
      <c r="AD283" s="1"/>
      <c r="AE283" s="1"/>
      <c r="AF283" s="1"/>
      <c r="AG283" s="1"/>
      <c r="AH283" s="1"/>
      <c r="AI283" s="1"/>
      <c r="AJ283" s="1"/>
      <c r="AK283" s="1"/>
      <c r="AL283" s="1"/>
      <c r="AM283" s="1"/>
      <c r="AN283" s="1"/>
      <c r="AO283" s="1"/>
      <c r="AP283" s="1"/>
      <c r="AQ283" s="1"/>
      <c r="AR283" s="1"/>
      <c r="AS283" s="1"/>
      <c r="AT283" s="1"/>
      <c r="AU283" s="1"/>
      <c r="AV283" s="1">
        <f>SUM($AT283,Z283:$AA283)-SUM($AV$5:AV$5)*$J283-SUM($AV$6:AV$6)*$K283</f>
        <v>0</v>
      </c>
      <c r="AW283" s="1">
        <f>SUM($AT283,$AA283:AA283)-SUM($AV$5:AW$5)*$J283-SUM($AV$6:AW$6)*$K283</f>
        <v>0</v>
      </c>
      <c r="AX283" s="1">
        <f>SUM($AT283,$AA283:AB283)-SUM($AV$5:AX$5)*$J283-SUM($AV$6:AX$6)*$K283</f>
        <v>0</v>
      </c>
      <c r="AY283" s="1">
        <f>SUM($AT283,$AA283:AC283)-SUM($AV$5:AY$5)*$J283-SUM($AV$6:AY$6)*$K283</f>
        <v>0</v>
      </c>
      <c r="AZ283" s="1">
        <f>SUM($AT283,$AA283:AD283)-SUM($AV$5:AZ$5)*$J283-SUM($AV$6:AZ$6)*$K283</f>
        <v>-80</v>
      </c>
      <c r="BA283" s="1">
        <f>SUM($AT283,$AA283:AE283)-SUM($AV$5:BA$5)*$J283-SUM($AV$6:BA$6)*$K283</f>
        <v>-160</v>
      </c>
      <c r="BB283" s="1">
        <f>SUM($AT283,$AA283:AF283)-SUM($AV$5:BB$5)*$J283-SUM($AV$6:BB$6)*$K283</f>
        <v>-240</v>
      </c>
      <c r="BC283" s="1">
        <f>SUM($AT283,$AA283:AG283)-SUM($AV$5:BC$5)*$J283-SUM($AV$6:BC$6)*$K283</f>
        <v>-320</v>
      </c>
      <c r="BD283" s="1">
        <f>SUM($AT283,$AA283:AH283)-SUM($AV$5:BD$5)*$J283-SUM($AV$6:BD$6)*$K283</f>
        <v>-400</v>
      </c>
      <c r="BE283" s="1">
        <f>SUM($AT283,$AA283:AI283)-SUM($AV$5:BE$5)*$J283-SUM($AV$6:BE$6)*$K283</f>
        <v>-480</v>
      </c>
      <c r="BF283" s="1">
        <f>SUM($AT283,$AA283:AJ283)-SUM($AV$5:BF$5)*$J283-SUM($AV$6:BF$6)*$K283</f>
        <v>-560</v>
      </c>
      <c r="BG283" s="1">
        <f>SUM($AT283,$AA283:AK283)-SUM($AV$5:BG$5)*$J283-SUM($AV$6:BG$6)*$K283</f>
        <v>-640</v>
      </c>
      <c r="BH283" s="1">
        <f>SUM($AT283,$AA283:AL283)-SUM($AV$5:BH$5)*$J283-SUM($AV$6:BH$6)*$K283</f>
        <v>-720</v>
      </c>
      <c r="BI283" s="1">
        <f>SUM($AT283,$AA283:AM283)-SUM($AV$5:BI$5)*$J283-SUM($AV$6:BI$6)*$K283</f>
        <v>-800</v>
      </c>
      <c r="BJ283" s="1">
        <f>SUM($AT283,$AA283:AN283)-SUM($AV$5:BJ$5)*$J283-SUM($AV$6:BJ$6)*$K283</f>
        <v>-880</v>
      </c>
      <c r="BK283" s="1">
        <f>SUM($AT283,$AA283:AO283)-SUM($AV$5:BK$5)*$J283-SUM($AV$6:BK$6)*$K283</f>
        <v>-960</v>
      </c>
      <c r="BL283" s="1">
        <f>SUM($AT283,$AA283:AP283)-SUM($AV$5:BL$5)*$J283-SUM($AV$6:BL$6)*$K283</f>
        <v>-1040</v>
      </c>
      <c r="BM283" s="1">
        <f>SUM($AT283,$AA283:AQ283)-SUM($AV$5:BM$5)*$J283-SUM($AV$6:BM$6)*$K283</f>
        <v>-1120</v>
      </c>
      <c r="BN283" s="1">
        <f>SUM($AT283,$AA283:AR283)-SUM($AV$5:BN$5)*$J283-SUM($AV$6:BN$6)*$K283</f>
        <v>-1164</v>
      </c>
    </row>
    <row r="284" spans="1:66">
      <c r="A284" s="1">
        <v>399</v>
      </c>
      <c r="B284" s="28" t="s">
        <v>894</v>
      </c>
      <c r="C284" s="1" t="s">
        <v>40</v>
      </c>
      <c r="D284" s="2">
        <v>400151183</v>
      </c>
      <c r="E284" s="3" t="s">
        <v>831</v>
      </c>
      <c r="F284" s="1"/>
      <c r="G284" s="1" t="s">
        <v>42</v>
      </c>
      <c r="H284" s="1">
        <v>2</v>
      </c>
      <c r="I284" s="1">
        <v>2</v>
      </c>
      <c r="J284" s="1">
        <v>2</v>
      </c>
      <c r="K284" s="1">
        <v>0</v>
      </c>
      <c r="L284" s="1">
        <v>0</v>
      </c>
      <c r="M284" s="1">
        <f t="shared" si="10"/>
        <v>1164</v>
      </c>
      <c r="N284" s="1">
        <f t="shared" si="11"/>
        <v>1164</v>
      </c>
      <c r="O284" s="2" t="s">
        <v>826</v>
      </c>
      <c r="P284" s="1"/>
      <c r="Q284" s="1">
        <v>1.89</v>
      </c>
      <c r="R284" s="1" t="s">
        <v>44</v>
      </c>
      <c r="S284" s="30" t="s">
        <v>145</v>
      </c>
      <c r="T284" s="31" t="s">
        <v>826</v>
      </c>
      <c r="U284" s="1"/>
      <c r="V284" s="1">
        <v>1000</v>
      </c>
      <c r="W284" s="1" t="s">
        <v>827</v>
      </c>
      <c r="X284" s="32" t="s">
        <v>828</v>
      </c>
      <c r="Y284" s="1" t="s">
        <v>829</v>
      </c>
      <c r="Z284" s="2" t="s">
        <v>826</v>
      </c>
      <c r="AA284" s="1"/>
      <c r="AB284" s="1"/>
      <c r="AC284" s="1"/>
      <c r="AD284" s="1"/>
      <c r="AE284" s="1"/>
      <c r="AF284" s="1"/>
      <c r="AG284" s="1"/>
      <c r="AH284" s="1"/>
      <c r="AI284" s="1"/>
      <c r="AJ284" s="1"/>
      <c r="AK284" s="1"/>
      <c r="AL284" s="1"/>
      <c r="AM284" s="1"/>
      <c r="AN284" s="1"/>
      <c r="AO284" s="1"/>
      <c r="AP284" s="1"/>
      <c r="AQ284" s="1"/>
      <c r="AR284" s="1"/>
      <c r="AS284" s="1"/>
      <c r="AT284" s="1"/>
      <c r="AU284" s="1"/>
      <c r="AV284" s="1">
        <f>SUM($AT284,Z284:$AA284)-SUM($AV$5:AV$5)*$J284-SUM($AV$6:AV$6)*$K284</f>
        <v>0</v>
      </c>
      <c r="AW284" s="1">
        <f>SUM($AT284,$AA284:AA284)-SUM($AV$5:AW$5)*$J284-SUM($AV$6:AW$6)*$K284</f>
        <v>0</v>
      </c>
      <c r="AX284" s="1">
        <f>SUM($AT284,$AA284:AB284)-SUM($AV$5:AX$5)*$J284-SUM($AV$6:AX$6)*$K284</f>
        <v>0</v>
      </c>
      <c r="AY284" s="1">
        <f>SUM($AT284,$AA284:AC284)-SUM($AV$5:AY$5)*$J284-SUM($AV$6:AY$6)*$K284</f>
        <v>0</v>
      </c>
      <c r="AZ284" s="1">
        <f>SUM($AT284,$AA284:AD284)-SUM($AV$5:AZ$5)*$J284-SUM($AV$6:AZ$6)*$K284</f>
        <v>-80</v>
      </c>
      <c r="BA284" s="1">
        <f>SUM($AT284,$AA284:AE284)-SUM($AV$5:BA$5)*$J284-SUM($AV$6:BA$6)*$K284</f>
        <v>-160</v>
      </c>
      <c r="BB284" s="1">
        <f>SUM($AT284,$AA284:AF284)-SUM($AV$5:BB$5)*$J284-SUM($AV$6:BB$6)*$K284</f>
        <v>-240</v>
      </c>
      <c r="BC284" s="1">
        <f>SUM($AT284,$AA284:AG284)-SUM($AV$5:BC$5)*$J284-SUM($AV$6:BC$6)*$K284</f>
        <v>-320</v>
      </c>
      <c r="BD284" s="1">
        <f>SUM($AT284,$AA284:AH284)-SUM($AV$5:BD$5)*$J284-SUM($AV$6:BD$6)*$K284</f>
        <v>-400</v>
      </c>
      <c r="BE284" s="1">
        <f>SUM($AT284,$AA284:AI284)-SUM($AV$5:BE$5)*$J284-SUM($AV$6:BE$6)*$K284</f>
        <v>-480</v>
      </c>
      <c r="BF284" s="1">
        <f>SUM($AT284,$AA284:AJ284)-SUM($AV$5:BF$5)*$J284-SUM($AV$6:BF$6)*$K284</f>
        <v>-560</v>
      </c>
      <c r="BG284" s="1">
        <f>SUM($AT284,$AA284:AK284)-SUM($AV$5:BG$5)*$J284-SUM($AV$6:BG$6)*$K284</f>
        <v>-640</v>
      </c>
      <c r="BH284" s="1">
        <f>SUM($AT284,$AA284:AL284)-SUM($AV$5:BH$5)*$J284-SUM($AV$6:BH$6)*$K284</f>
        <v>-720</v>
      </c>
      <c r="BI284" s="1">
        <f>SUM($AT284,$AA284:AM284)-SUM($AV$5:BI$5)*$J284-SUM($AV$6:BI$6)*$K284</f>
        <v>-800</v>
      </c>
      <c r="BJ284" s="1">
        <f>SUM($AT284,$AA284:AN284)-SUM($AV$5:BJ$5)*$J284-SUM($AV$6:BJ$6)*$K284</f>
        <v>-880</v>
      </c>
      <c r="BK284" s="1">
        <f>SUM($AT284,$AA284:AO284)-SUM($AV$5:BK$5)*$J284-SUM($AV$6:BK$6)*$K284</f>
        <v>-960</v>
      </c>
      <c r="BL284" s="1">
        <f>SUM($AT284,$AA284:AP284)-SUM($AV$5:BL$5)*$J284-SUM($AV$6:BL$6)*$K284</f>
        <v>-1040</v>
      </c>
      <c r="BM284" s="1">
        <f>SUM($AT284,$AA284:AQ284)-SUM($AV$5:BM$5)*$J284-SUM($AV$6:BM$6)*$K284</f>
        <v>-1120</v>
      </c>
      <c r="BN284" s="1">
        <f>SUM($AT284,$AA284:AR284)-SUM($AV$5:BN$5)*$J284-SUM($AV$6:BN$6)*$K284</f>
        <v>-1164</v>
      </c>
    </row>
    <row r="285" spans="1:66">
      <c r="A285" s="1">
        <v>330</v>
      </c>
      <c r="B285" s="28" t="s">
        <v>895</v>
      </c>
      <c r="C285" s="1" t="s">
        <v>176</v>
      </c>
      <c r="D285" s="2">
        <v>400330009</v>
      </c>
      <c r="E285" s="3" t="s">
        <v>896</v>
      </c>
      <c r="F285" s="1"/>
      <c r="G285" s="1" t="s">
        <v>42</v>
      </c>
      <c r="H285" s="1">
        <v>2</v>
      </c>
      <c r="I285" s="1">
        <v>11</v>
      </c>
      <c r="J285" s="1">
        <v>11</v>
      </c>
      <c r="K285" s="1">
        <v>0</v>
      </c>
      <c r="L285" s="1">
        <v>0</v>
      </c>
      <c r="M285" s="1">
        <f t="shared" si="10"/>
        <v>6402</v>
      </c>
      <c r="N285" s="1">
        <f t="shared" si="11"/>
        <v>6402</v>
      </c>
      <c r="O285" s="2" t="s">
        <v>745</v>
      </c>
      <c r="P285" s="1"/>
      <c r="Q285" s="1">
        <v>1.9850000000000001</v>
      </c>
      <c r="R285" s="1" t="s">
        <v>44</v>
      </c>
      <c r="S285" s="30" t="s">
        <v>897</v>
      </c>
      <c r="T285" s="31" t="s">
        <v>417</v>
      </c>
      <c r="U285" s="1"/>
      <c r="V285" s="1">
        <v>2500</v>
      </c>
      <c r="W285" s="1" t="s">
        <v>418</v>
      </c>
      <c r="X285" s="32" t="s">
        <v>419</v>
      </c>
      <c r="Y285" s="1" t="s">
        <v>420</v>
      </c>
      <c r="Z285" s="2" t="s">
        <v>745</v>
      </c>
      <c r="AA285" s="1"/>
      <c r="AB285" s="1"/>
      <c r="AC285" s="1"/>
      <c r="AD285" s="1"/>
      <c r="AE285" s="1"/>
      <c r="AF285" s="1"/>
      <c r="AG285" s="1"/>
      <c r="AH285" s="1"/>
      <c r="AI285" s="1"/>
      <c r="AJ285" s="1"/>
      <c r="AK285" s="1"/>
      <c r="AL285" s="1"/>
      <c r="AM285" s="1"/>
      <c r="AN285" s="1"/>
      <c r="AO285" s="1"/>
      <c r="AP285" s="1"/>
      <c r="AQ285" s="1"/>
      <c r="AR285" s="1"/>
      <c r="AS285" s="1"/>
      <c r="AT285" s="1"/>
      <c r="AU285" s="1"/>
      <c r="AV285" s="1">
        <f>SUM($AT285,Z285:$AA285)-SUM($AV$5:AV$5)*$J285-SUM($AV$6:AV$6)*$K285</f>
        <v>0</v>
      </c>
      <c r="AW285" s="1">
        <f>SUM($AT285,$AA285:AA285)-SUM($AV$5:AW$5)*$J285-SUM($AV$6:AW$6)*$K285</f>
        <v>0</v>
      </c>
      <c r="AX285" s="1">
        <f>SUM($AT285,$AA285:AB285)-SUM($AV$5:AX$5)*$J285-SUM($AV$6:AX$6)*$K285</f>
        <v>0</v>
      </c>
      <c r="AY285" s="1">
        <f>SUM($AT285,$AA285:AC285)-SUM($AV$5:AY$5)*$J285-SUM($AV$6:AY$6)*$K285</f>
        <v>0</v>
      </c>
      <c r="AZ285" s="1">
        <f>SUM($AT285,$AA285:AD285)-SUM($AV$5:AZ$5)*$J285-SUM($AV$6:AZ$6)*$K285</f>
        <v>-440</v>
      </c>
      <c r="BA285" s="1">
        <f>SUM($AT285,$AA285:AE285)-SUM($AV$5:BA$5)*$J285-SUM($AV$6:BA$6)*$K285</f>
        <v>-880</v>
      </c>
      <c r="BB285" s="1">
        <f>SUM($AT285,$AA285:AF285)-SUM($AV$5:BB$5)*$J285-SUM($AV$6:BB$6)*$K285</f>
        <v>-1320</v>
      </c>
      <c r="BC285" s="1">
        <f>SUM($AT285,$AA285:AG285)-SUM($AV$5:BC$5)*$J285-SUM($AV$6:BC$6)*$K285</f>
        <v>-1760</v>
      </c>
      <c r="BD285" s="1">
        <f>SUM($AT285,$AA285:AH285)-SUM($AV$5:BD$5)*$J285-SUM($AV$6:BD$6)*$K285</f>
        <v>-2200</v>
      </c>
      <c r="BE285" s="1">
        <f>SUM($AT285,$AA285:AI285)-SUM($AV$5:BE$5)*$J285-SUM($AV$6:BE$6)*$K285</f>
        <v>-2640</v>
      </c>
      <c r="BF285" s="1">
        <f>SUM($AT285,$AA285:AJ285)-SUM($AV$5:BF$5)*$J285-SUM($AV$6:BF$6)*$K285</f>
        <v>-3080</v>
      </c>
      <c r="BG285" s="1">
        <f>SUM($AT285,$AA285:AK285)-SUM($AV$5:BG$5)*$J285-SUM($AV$6:BG$6)*$K285</f>
        <v>-3520</v>
      </c>
      <c r="BH285" s="1">
        <f>SUM($AT285,$AA285:AL285)-SUM($AV$5:BH$5)*$J285-SUM($AV$6:BH$6)*$K285</f>
        <v>-3960</v>
      </c>
      <c r="BI285" s="1">
        <f>SUM($AT285,$AA285:AM285)-SUM($AV$5:BI$5)*$J285-SUM($AV$6:BI$6)*$K285</f>
        <v>-4400</v>
      </c>
      <c r="BJ285" s="1">
        <f>SUM($AT285,$AA285:AN285)-SUM($AV$5:BJ$5)*$J285-SUM($AV$6:BJ$6)*$K285</f>
        <v>-4840</v>
      </c>
      <c r="BK285" s="1">
        <f>SUM($AT285,$AA285:AO285)-SUM($AV$5:BK$5)*$J285-SUM($AV$6:BK$6)*$K285</f>
        <v>-5280</v>
      </c>
      <c r="BL285" s="1">
        <f>SUM($AT285,$AA285:AP285)-SUM($AV$5:BL$5)*$J285-SUM($AV$6:BL$6)*$K285</f>
        <v>-5720</v>
      </c>
      <c r="BM285" s="1">
        <f>SUM($AT285,$AA285:AQ285)-SUM($AV$5:BM$5)*$J285-SUM($AV$6:BM$6)*$K285</f>
        <v>-6160</v>
      </c>
      <c r="BN285" s="1">
        <f>SUM($AT285,$AA285:AR285)-SUM($AV$5:BN$5)*$J285-SUM($AV$6:BN$6)*$K285</f>
        <v>-6402</v>
      </c>
    </row>
    <row r="286" spans="1:66">
      <c r="A286" s="1">
        <v>331</v>
      </c>
      <c r="B286" s="28" t="s">
        <v>898</v>
      </c>
      <c r="C286" s="1" t="s">
        <v>176</v>
      </c>
      <c r="D286" s="2">
        <v>400186681</v>
      </c>
      <c r="E286" s="3" t="s">
        <v>899</v>
      </c>
      <c r="F286" s="1"/>
      <c r="G286" s="1" t="s">
        <v>42</v>
      </c>
      <c r="H286" s="1">
        <v>2</v>
      </c>
      <c r="I286" s="1">
        <v>1</v>
      </c>
      <c r="J286" s="1">
        <v>1</v>
      </c>
      <c r="K286" s="1">
        <v>0</v>
      </c>
      <c r="L286" s="1">
        <v>0</v>
      </c>
      <c r="M286" s="1">
        <f t="shared" si="10"/>
        <v>582</v>
      </c>
      <c r="N286" s="1">
        <f t="shared" si="11"/>
        <v>582</v>
      </c>
      <c r="O286" s="2" t="s">
        <v>745</v>
      </c>
      <c r="P286" s="1"/>
      <c r="Q286" s="1">
        <v>4.8</v>
      </c>
      <c r="R286" s="1" t="s">
        <v>44</v>
      </c>
      <c r="S286" s="30" t="s">
        <v>900</v>
      </c>
      <c r="T286" s="31" t="s">
        <v>417</v>
      </c>
      <c r="U286" s="1"/>
      <c r="V286" s="1">
        <v>100</v>
      </c>
      <c r="W286" s="1" t="s">
        <v>418</v>
      </c>
      <c r="X286" s="32" t="s">
        <v>419</v>
      </c>
      <c r="Y286" s="1" t="s">
        <v>420</v>
      </c>
      <c r="Z286" s="2" t="s">
        <v>745</v>
      </c>
      <c r="AA286" s="1"/>
      <c r="AB286" s="1"/>
      <c r="AC286" s="1"/>
      <c r="AD286" s="1"/>
      <c r="AE286" s="1"/>
      <c r="AF286" s="1"/>
      <c r="AG286" s="1"/>
      <c r="AH286" s="1"/>
      <c r="AI286" s="1"/>
      <c r="AJ286" s="1"/>
      <c r="AK286" s="1"/>
      <c r="AL286" s="1"/>
      <c r="AM286" s="1"/>
      <c r="AN286" s="1"/>
      <c r="AO286" s="1"/>
      <c r="AP286" s="1"/>
      <c r="AQ286" s="1"/>
      <c r="AR286" s="1"/>
      <c r="AS286" s="1"/>
      <c r="AT286" s="1"/>
      <c r="AU286" s="1"/>
      <c r="AV286" s="1">
        <f>SUM($AT286,Z286:$AA286)-SUM($AV$5:AV$5)*$J286-SUM($AV$6:AV$6)*$K286</f>
        <v>0</v>
      </c>
      <c r="AW286" s="1">
        <f>SUM($AT286,$AA286:AA286)-SUM($AV$5:AW$5)*$J286-SUM($AV$6:AW$6)*$K286</f>
        <v>0</v>
      </c>
      <c r="AX286" s="1">
        <f>SUM($AT286,$AA286:AB286)-SUM($AV$5:AX$5)*$J286-SUM($AV$6:AX$6)*$K286</f>
        <v>0</v>
      </c>
      <c r="AY286" s="1">
        <f>SUM($AT286,$AA286:AC286)-SUM($AV$5:AY$5)*$J286-SUM($AV$6:AY$6)*$K286</f>
        <v>0</v>
      </c>
      <c r="AZ286" s="1">
        <f>SUM($AT286,$AA286:AD286)-SUM($AV$5:AZ$5)*$J286-SUM($AV$6:AZ$6)*$K286</f>
        <v>-40</v>
      </c>
      <c r="BA286" s="1">
        <f>SUM($AT286,$AA286:AE286)-SUM($AV$5:BA$5)*$J286-SUM($AV$6:BA$6)*$K286</f>
        <v>-80</v>
      </c>
      <c r="BB286" s="1">
        <f>SUM($AT286,$AA286:AF286)-SUM($AV$5:BB$5)*$J286-SUM($AV$6:BB$6)*$K286</f>
        <v>-120</v>
      </c>
      <c r="BC286" s="1">
        <f>SUM($AT286,$AA286:AG286)-SUM($AV$5:BC$5)*$J286-SUM($AV$6:BC$6)*$K286</f>
        <v>-160</v>
      </c>
      <c r="BD286" s="1">
        <f>SUM($AT286,$AA286:AH286)-SUM($AV$5:BD$5)*$J286-SUM($AV$6:BD$6)*$K286</f>
        <v>-200</v>
      </c>
      <c r="BE286" s="1">
        <f>SUM($AT286,$AA286:AI286)-SUM($AV$5:BE$5)*$J286-SUM($AV$6:BE$6)*$K286</f>
        <v>-240</v>
      </c>
      <c r="BF286" s="1">
        <f>SUM($AT286,$AA286:AJ286)-SUM($AV$5:BF$5)*$J286-SUM($AV$6:BF$6)*$K286</f>
        <v>-280</v>
      </c>
      <c r="BG286" s="1">
        <f>SUM($AT286,$AA286:AK286)-SUM($AV$5:BG$5)*$J286-SUM($AV$6:BG$6)*$K286</f>
        <v>-320</v>
      </c>
      <c r="BH286" s="1">
        <f>SUM($AT286,$AA286:AL286)-SUM($AV$5:BH$5)*$J286-SUM($AV$6:BH$6)*$K286</f>
        <v>-360</v>
      </c>
      <c r="BI286" s="1">
        <f>SUM($AT286,$AA286:AM286)-SUM($AV$5:BI$5)*$J286-SUM($AV$6:BI$6)*$K286</f>
        <v>-400</v>
      </c>
      <c r="BJ286" s="1">
        <f>SUM($AT286,$AA286:AN286)-SUM($AV$5:BJ$5)*$J286-SUM($AV$6:BJ$6)*$K286</f>
        <v>-440</v>
      </c>
      <c r="BK286" s="1">
        <f>SUM($AT286,$AA286:AO286)-SUM($AV$5:BK$5)*$J286-SUM($AV$6:BK$6)*$K286</f>
        <v>-480</v>
      </c>
      <c r="BL286" s="1">
        <f>SUM($AT286,$AA286:AP286)-SUM($AV$5:BL$5)*$J286-SUM($AV$6:BL$6)*$K286</f>
        <v>-520</v>
      </c>
      <c r="BM286" s="1">
        <f>SUM($AT286,$AA286:AQ286)-SUM($AV$5:BM$5)*$J286-SUM($AV$6:BM$6)*$K286</f>
        <v>-560</v>
      </c>
      <c r="BN286" s="1">
        <f>SUM($AT286,$AA286:AR286)-SUM($AV$5:BN$5)*$J286-SUM($AV$6:BN$6)*$K286</f>
        <v>-582</v>
      </c>
    </row>
    <row r="287" spans="1:66">
      <c r="A287" s="1">
        <v>332</v>
      </c>
      <c r="B287" s="45" t="s">
        <v>901</v>
      </c>
      <c r="C287" s="1" t="s">
        <v>176</v>
      </c>
      <c r="D287" s="2">
        <v>400329964</v>
      </c>
      <c r="E287" s="3" t="s">
        <v>902</v>
      </c>
      <c r="F287" s="1"/>
      <c r="G287" s="1" t="s">
        <v>42</v>
      </c>
      <c r="H287" s="1">
        <v>2</v>
      </c>
      <c r="I287" s="1">
        <v>2</v>
      </c>
      <c r="J287" s="1">
        <v>2</v>
      </c>
      <c r="K287" s="1">
        <v>0</v>
      </c>
      <c r="L287" s="1">
        <v>0</v>
      </c>
      <c r="M287" s="1">
        <f t="shared" ref="M287:M350" si="12">SUMPRODUCT(J287:L287,$J$2:$L$2)</f>
        <v>1164</v>
      </c>
      <c r="N287" s="1">
        <f t="shared" ref="N287:N350" si="13">SUMPRODUCT(J287:L287,$J$2:$L$2)</f>
        <v>1164</v>
      </c>
      <c r="O287" s="2" t="s">
        <v>745</v>
      </c>
      <c r="P287" s="1"/>
      <c r="Q287" s="1">
        <v>3.98</v>
      </c>
      <c r="R287" s="1" t="s">
        <v>44</v>
      </c>
      <c r="S287" s="30" t="s">
        <v>359</v>
      </c>
      <c r="T287" s="31" t="s">
        <v>417</v>
      </c>
      <c r="U287" s="1"/>
      <c r="V287" s="1">
        <v>2500</v>
      </c>
      <c r="W287" s="1" t="s">
        <v>418</v>
      </c>
      <c r="X287" s="32" t="s">
        <v>419</v>
      </c>
      <c r="Y287" s="1" t="s">
        <v>420</v>
      </c>
      <c r="Z287" s="2" t="s">
        <v>745</v>
      </c>
      <c r="AA287" s="1"/>
      <c r="AB287" s="1"/>
      <c r="AC287" s="1"/>
      <c r="AD287" s="1"/>
      <c r="AE287" s="1"/>
      <c r="AF287" s="1"/>
      <c r="AG287" s="1"/>
      <c r="AH287" s="1"/>
      <c r="AI287" s="1"/>
      <c r="AJ287" s="1"/>
      <c r="AK287" s="1"/>
      <c r="AL287" s="1"/>
      <c r="AM287" s="1"/>
      <c r="AN287" s="1"/>
      <c r="AO287" s="1"/>
      <c r="AP287" s="1"/>
      <c r="AQ287" s="1"/>
      <c r="AR287" s="1"/>
      <c r="AS287" s="1"/>
      <c r="AT287" s="1"/>
      <c r="AU287" s="1"/>
      <c r="AV287" s="1">
        <f>SUM($AT287,Z287:$AA287)-SUM($AV$5:AV$5)*$J287-SUM($AV$6:AV$6)*$K287</f>
        <v>0</v>
      </c>
      <c r="AW287" s="1">
        <f>SUM($AT287,$AA287:AA287)-SUM($AV$5:AW$5)*$J287-SUM($AV$6:AW$6)*$K287</f>
        <v>0</v>
      </c>
      <c r="AX287" s="1">
        <f>SUM($AT287,$AA287:AB287)-SUM($AV$5:AX$5)*$J287-SUM($AV$6:AX$6)*$K287</f>
        <v>0</v>
      </c>
      <c r="AY287" s="1">
        <f>SUM($AT287,$AA287:AC287)-SUM($AV$5:AY$5)*$J287-SUM($AV$6:AY$6)*$K287</f>
        <v>0</v>
      </c>
      <c r="AZ287" s="1">
        <f>SUM($AT287,$AA287:AD287)-SUM($AV$5:AZ$5)*$J287-SUM($AV$6:AZ$6)*$K287</f>
        <v>-80</v>
      </c>
      <c r="BA287" s="1">
        <f>SUM($AT287,$AA287:AE287)-SUM($AV$5:BA$5)*$J287-SUM($AV$6:BA$6)*$K287</f>
        <v>-160</v>
      </c>
      <c r="BB287" s="1">
        <f>SUM($AT287,$AA287:AF287)-SUM($AV$5:BB$5)*$J287-SUM($AV$6:BB$6)*$K287</f>
        <v>-240</v>
      </c>
      <c r="BC287" s="1">
        <f>SUM($AT287,$AA287:AG287)-SUM($AV$5:BC$5)*$J287-SUM($AV$6:BC$6)*$K287</f>
        <v>-320</v>
      </c>
      <c r="BD287" s="1">
        <f>SUM($AT287,$AA287:AH287)-SUM($AV$5:BD$5)*$J287-SUM($AV$6:BD$6)*$K287</f>
        <v>-400</v>
      </c>
      <c r="BE287" s="1">
        <f>SUM($AT287,$AA287:AI287)-SUM($AV$5:BE$5)*$J287-SUM($AV$6:BE$6)*$K287</f>
        <v>-480</v>
      </c>
      <c r="BF287" s="1">
        <f>SUM($AT287,$AA287:AJ287)-SUM($AV$5:BF$5)*$J287-SUM($AV$6:BF$6)*$K287</f>
        <v>-560</v>
      </c>
      <c r="BG287" s="1">
        <f>SUM($AT287,$AA287:AK287)-SUM($AV$5:BG$5)*$J287-SUM($AV$6:BG$6)*$K287</f>
        <v>-640</v>
      </c>
      <c r="BH287" s="1">
        <f>SUM($AT287,$AA287:AL287)-SUM($AV$5:BH$5)*$J287-SUM($AV$6:BH$6)*$K287</f>
        <v>-720</v>
      </c>
      <c r="BI287" s="1">
        <f>SUM($AT287,$AA287:AM287)-SUM($AV$5:BI$5)*$J287-SUM($AV$6:BI$6)*$K287</f>
        <v>-800</v>
      </c>
      <c r="BJ287" s="1">
        <f>SUM($AT287,$AA287:AN287)-SUM($AV$5:BJ$5)*$J287-SUM($AV$6:BJ$6)*$K287</f>
        <v>-880</v>
      </c>
      <c r="BK287" s="1">
        <f>SUM($AT287,$AA287:AO287)-SUM($AV$5:BK$5)*$J287-SUM($AV$6:BK$6)*$K287</f>
        <v>-960</v>
      </c>
      <c r="BL287" s="1">
        <f>SUM($AT287,$AA287:AP287)-SUM($AV$5:BL$5)*$J287-SUM($AV$6:BL$6)*$K287</f>
        <v>-1040</v>
      </c>
      <c r="BM287" s="1">
        <f>SUM($AT287,$AA287:AQ287)-SUM($AV$5:BM$5)*$J287-SUM($AV$6:BM$6)*$K287</f>
        <v>-1120</v>
      </c>
      <c r="BN287" s="1">
        <f>SUM($AT287,$AA287:AR287)-SUM($AV$5:BN$5)*$J287-SUM($AV$6:BN$6)*$K287</f>
        <v>-1164</v>
      </c>
    </row>
    <row r="288" spans="1:66">
      <c r="A288" s="1">
        <v>333</v>
      </c>
      <c r="B288" s="28" t="s">
        <v>903</v>
      </c>
      <c r="C288" s="1" t="s">
        <v>40</v>
      </c>
      <c r="D288" s="2">
        <v>401882176</v>
      </c>
      <c r="E288" s="3" t="s">
        <v>904</v>
      </c>
      <c r="F288" s="1">
        <v>400601580</v>
      </c>
      <c r="G288" s="1" t="s">
        <v>42</v>
      </c>
      <c r="H288" s="1">
        <v>2</v>
      </c>
      <c r="I288" s="1">
        <v>28</v>
      </c>
      <c r="J288" s="1">
        <v>28</v>
      </c>
      <c r="K288" s="1">
        <v>0</v>
      </c>
      <c r="L288" s="1">
        <v>0</v>
      </c>
      <c r="M288" s="1">
        <f t="shared" si="12"/>
        <v>16296</v>
      </c>
      <c r="N288" s="1">
        <f t="shared" si="13"/>
        <v>16296</v>
      </c>
      <c r="O288" s="2" t="s">
        <v>905</v>
      </c>
      <c r="P288" s="1"/>
      <c r="Q288" s="1">
        <v>3.59</v>
      </c>
      <c r="R288" s="1" t="s">
        <v>44</v>
      </c>
      <c r="S288" s="30" t="s">
        <v>780</v>
      </c>
      <c r="T288" s="31" t="s">
        <v>906</v>
      </c>
      <c r="U288" s="1"/>
      <c r="V288" s="1">
        <v>500</v>
      </c>
      <c r="W288" s="1" t="s">
        <v>907</v>
      </c>
      <c r="X288" s="32" t="s">
        <v>908</v>
      </c>
      <c r="Y288" s="1" t="s">
        <v>909</v>
      </c>
      <c r="Z288" s="2" t="s">
        <v>905</v>
      </c>
      <c r="AA288" s="1"/>
      <c r="AB288" s="1"/>
      <c r="AC288" s="1"/>
      <c r="AD288" s="1"/>
      <c r="AE288" s="1"/>
      <c r="AF288" s="1"/>
      <c r="AG288" s="1"/>
      <c r="AH288" s="1"/>
      <c r="AI288" s="1"/>
      <c r="AJ288" s="1"/>
      <c r="AK288" s="1"/>
      <c r="AL288" s="1"/>
      <c r="AM288" s="1"/>
      <c r="AN288" s="1"/>
      <c r="AO288" s="1"/>
      <c r="AP288" s="1"/>
      <c r="AQ288" s="1"/>
      <c r="AR288" s="1"/>
      <c r="AS288" s="1"/>
      <c r="AT288" s="1"/>
      <c r="AU288" s="1"/>
      <c r="AV288" s="1">
        <f>SUM($AT288,Z288:$AA288)-SUM($AV$5:AV$5)*$J288-SUM($AV$6:AV$6)*$K288</f>
        <v>0</v>
      </c>
      <c r="AW288" s="1">
        <f>SUM($AT288,$AA288:AA288)-SUM($AV$5:AW$5)*$J288-SUM($AV$6:AW$6)*$K288</f>
        <v>0</v>
      </c>
      <c r="AX288" s="1">
        <f>SUM($AT288,$AA288:AB288)-SUM($AV$5:AX$5)*$J288-SUM($AV$6:AX$6)*$K288</f>
        <v>0</v>
      </c>
      <c r="AY288" s="1">
        <f>SUM($AT288,$AA288:AC288)-SUM($AV$5:AY$5)*$J288-SUM($AV$6:AY$6)*$K288</f>
        <v>0</v>
      </c>
      <c r="AZ288" s="1">
        <f>SUM($AT288,$AA288:AD288)-SUM($AV$5:AZ$5)*$J288-SUM($AV$6:AZ$6)*$K288</f>
        <v>-1120</v>
      </c>
      <c r="BA288" s="1">
        <f>SUM($AT288,$AA288:AE288)-SUM($AV$5:BA$5)*$J288-SUM($AV$6:BA$6)*$K288</f>
        <v>-2240</v>
      </c>
      <c r="BB288" s="1">
        <f>SUM($AT288,$AA288:AF288)-SUM($AV$5:BB$5)*$J288-SUM($AV$6:BB$6)*$K288</f>
        <v>-3360</v>
      </c>
      <c r="BC288" s="1">
        <f>SUM($AT288,$AA288:AG288)-SUM($AV$5:BC$5)*$J288-SUM($AV$6:BC$6)*$K288</f>
        <v>-4480</v>
      </c>
      <c r="BD288" s="1">
        <f>SUM($AT288,$AA288:AH288)-SUM($AV$5:BD$5)*$J288-SUM($AV$6:BD$6)*$K288</f>
        <v>-5600</v>
      </c>
      <c r="BE288" s="1">
        <f>SUM($AT288,$AA288:AI288)-SUM($AV$5:BE$5)*$J288-SUM($AV$6:BE$6)*$K288</f>
        <v>-6720</v>
      </c>
      <c r="BF288" s="1">
        <f>SUM($AT288,$AA288:AJ288)-SUM($AV$5:BF$5)*$J288-SUM($AV$6:BF$6)*$K288</f>
        <v>-7840</v>
      </c>
      <c r="BG288" s="1">
        <f>SUM($AT288,$AA288:AK288)-SUM($AV$5:BG$5)*$J288-SUM($AV$6:BG$6)*$K288</f>
        <v>-8960</v>
      </c>
      <c r="BH288" s="1">
        <f>SUM($AT288,$AA288:AL288)-SUM($AV$5:BH$5)*$J288-SUM($AV$6:BH$6)*$K288</f>
        <v>-10080</v>
      </c>
      <c r="BI288" s="1">
        <f>SUM($AT288,$AA288:AM288)-SUM($AV$5:BI$5)*$J288-SUM($AV$6:BI$6)*$K288</f>
        <v>-11200</v>
      </c>
      <c r="BJ288" s="1">
        <f>SUM($AT288,$AA288:AN288)-SUM($AV$5:BJ$5)*$J288-SUM($AV$6:BJ$6)*$K288</f>
        <v>-12320</v>
      </c>
      <c r="BK288" s="1">
        <f>SUM($AT288,$AA288:AO288)-SUM($AV$5:BK$5)*$J288-SUM($AV$6:BK$6)*$K288</f>
        <v>-13440</v>
      </c>
      <c r="BL288" s="1">
        <f>SUM($AT288,$AA288:AP288)-SUM($AV$5:BL$5)*$J288-SUM($AV$6:BL$6)*$K288</f>
        <v>-14560</v>
      </c>
      <c r="BM288" s="1">
        <f>SUM($AT288,$AA288:AQ288)-SUM($AV$5:BM$5)*$J288-SUM($AV$6:BM$6)*$K288</f>
        <v>-15680</v>
      </c>
      <c r="BN288" s="1">
        <f>SUM($AT288,$AA288:AR288)-SUM($AV$5:BN$5)*$J288-SUM($AV$6:BN$6)*$K288</f>
        <v>-16296</v>
      </c>
    </row>
    <row r="289" spans="1:66">
      <c r="A289" s="1">
        <v>334</v>
      </c>
      <c r="B289" s="28" t="s">
        <v>910</v>
      </c>
      <c r="C289" s="1" t="s">
        <v>40</v>
      </c>
      <c r="D289" s="2">
        <v>400119153</v>
      </c>
      <c r="E289" s="3" t="s">
        <v>911</v>
      </c>
      <c r="F289" s="1">
        <v>409335090</v>
      </c>
      <c r="G289" s="1" t="s">
        <v>42</v>
      </c>
      <c r="H289" s="1">
        <v>2</v>
      </c>
      <c r="I289" s="1">
        <v>2</v>
      </c>
      <c r="J289" s="1">
        <v>2</v>
      </c>
      <c r="K289" s="1">
        <v>0</v>
      </c>
      <c r="L289" s="1">
        <v>0</v>
      </c>
      <c r="M289" s="1">
        <f t="shared" si="12"/>
        <v>1164</v>
      </c>
      <c r="N289" s="1">
        <f t="shared" si="13"/>
        <v>1164</v>
      </c>
      <c r="O289" s="2" t="s">
        <v>765</v>
      </c>
      <c r="P289" s="1"/>
      <c r="Q289" s="1">
        <v>4.26</v>
      </c>
      <c r="R289" s="1" t="s">
        <v>44</v>
      </c>
      <c r="S289" s="30" t="s">
        <v>900</v>
      </c>
      <c r="T289" s="31" t="s">
        <v>417</v>
      </c>
      <c r="U289" s="1"/>
      <c r="V289" s="1">
        <v>100</v>
      </c>
      <c r="W289" s="1" t="s">
        <v>418</v>
      </c>
      <c r="X289" s="32" t="s">
        <v>419</v>
      </c>
      <c r="Y289" s="1" t="s">
        <v>420</v>
      </c>
      <c r="Z289" s="2" t="s">
        <v>765</v>
      </c>
      <c r="AA289" s="1"/>
      <c r="AB289" s="1"/>
      <c r="AC289" s="1"/>
      <c r="AD289" s="1"/>
      <c r="AE289" s="1"/>
      <c r="AF289" s="1"/>
      <c r="AG289" s="1"/>
      <c r="AH289" s="1"/>
      <c r="AI289" s="1"/>
      <c r="AJ289" s="1">
        <v>1200</v>
      </c>
      <c r="AK289" s="1"/>
      <c r="AL289" s="1"/>
      <c r="AM289" s="1"/>
      <c r="AN289" s="1"/>
      <c r="AO289" s="1"/>
      <c r="AP289" s="1"/>
      <c r="AQ289" s="1"/>
      <c r="AR289" s="1"/>
      <c r="AS289" s="1"/>
      <c r="AT289" s="1"/>
      <c r="AU289" s="1"/>
      <c r="AV289" s="1">
        <f>SUM($AT289,Z289:$AA289)-SUM($AV$5:AV$5)*$J289-SUM($AV$6:AV$6)*$K289</f>
        <v>0</v>
      </c>
      <c r="AW289" s="1">
        <f>SUM($AT289,$AA289:AA289)-SUM($AV$5:AW$5)*$J289-SUM($AV$6:AW$6)*$K289</f>
        <v>0</v>
      </c>
      <c r="AX289" s="1">
        <f>SUM($AT289,$AA289:AB289)-SUM($AV$5:AX$5)*$J289-SUM($AV$6:AX$6)*$K289</f>
        <v>0</v>
      </c>
      <c r="AY289" s="1">
        <f>SUM($AT289,$AA289:AC289)-SUM($AV$5:AY$5)*$J289-SUM($AV$6:AY$6)*$K289</f>
        <v>0</v>
      </c>
      <c r="AZ289" s="1">
        <f>SUM($AT289,$AA289:AD289)-SUM($AV$5:AZ$5)*$J289-SUM($AV$6:AZ$6)*$K289</f>
        <v>-80</v>
      </c>
      <c r="BA289" s="1">
        <f>SUM($AT289,$AA289:AE289)-SUM($AV$5:BA$5)*$J289-SUM($AV$6:BA$6)*$K289</f>
        <v>-160</v>
      </c>
      <c r="BB289" s="1">
        <f>SUM($AT289,$AA289:AF289)-SUM($AV$5:BB$5)*$J289-SUM($AV$6:BB$6)*$K289</f>
        <v>-240</v>
      </c>
      <c r="BC289" s="1">
        <f>SUM($AT289,$AA289:AG289)-SUM($AV$5:BC$5)*$J289-SUM($AV$6:BC$6)*$K289</f>
        <v>-320</v>
      </c>
      <c r="BD289" s="1">
        <f>SUM($AT289,$AA289:AH289)-SUM($AV$5:BD$5)*$J289-SUM($AV$6:BD$6)*$K289</f>
        <v>-400</v>
      </c>
      <c r="BE289" s="1">
        <f>SUM($AT289,$AA289:AI289)-SUM($AV$5:BE$5)*$J289-SUM($AV$6:BE$6)*$K289</f>
        <v>-480</v>
      </c>
      <c r="BF289" s="1">
        <f>SUM($AT289,$AA289:AJ289)-SUM($AV$5:BF$5)*$J289-SUM($AV$6:BF$6)*$K289</f>
        <v>640</v>
      </c>
      <c r="BG289" s="1">
        <f>SUM($AT289,$AA289:AK289)-SUM($AV$5:BG$5)*$J289-SUM($AV$6:BG$6)*$K289</f>
        <v>560</v>
      </c>
      <c r="BH289" s="1">
        <f>SUM($AT289,$AA289:AL289)-SUM($AV$5:BH$5)*$J289-SUM($AV$6:BH$6)*$K289</f>
        <v>480</v>
      </c>
      <c r="BI289" s="1">
        <f>SUM($AT289,$AA289:AM289)-SUM($AV$5:BI$5)*$J289-SUM($AV$6:BI$6)*$K289</f>
        <v>400</v>
      </c>
      <c r="BJ289" s="1">
        <f>SUM($AT289,$AA289:AN289)-SUM($AV$5:BJ$5)*$J289-SUM($AV$6:BJ$6)*$K289</f>
        <v>320</v>
      </c>
      <c r="BK289" s="1">
        <f>SUM($AT289,$AA289:AO289)-SUM($AV$5:BK$5)*$J289-SUM($AV$6:BK$6)*$K289</f>
        <v>240</v>
      </c>
      <c r="BL289" s="1">
        <f>SUM($AT289,$AA289:AP289)-SUM($AV$5:BL$5)*$J289-SUM($AV$6:BL$6)*$K289</f>
        <v>160</v>
      </c>
      <c r="BM289" s="1">
        <f>SUM($AT289,$AA289:AQ289)-SUM($AV$5:BM$5)*$J289-SUM($AV$6:BM$6)*$K289</f>
        <v>80</v>
      </c>
      <c r="BN289" s="1">
        <f>SUM($AT289,$AA289:AR289)-SUM($AV$5:BN$5)*$J289-SUM($AV$6:BN$6)*$K289</f>
        <v>36</v>
      </c>
    </row>
    <row r="290" spans="1:66">
      <c r="A290" s="1">
        <v>336</v>
      </c>
      <c r="B290" s="28" t="s">
        <v>912</v>
      </c>
      <c r="C290" s="1" t="s">
        <v>40</v>
      </c>
      <c r="D290" s="2">
        <v>401225118</v>
      </c>
      <c r="E290" s="3" t="s">
        <v>913</v>
      </c>
      <c r="F290" s="1"/>
      <c r="G290" s="1" t="s">
        <v>42</v>
      </c>
      <c r="H290" s="1">
        <v>2</v>
      </c>
      <c r="I290" s="1">
        <v>1</v>
      </c>
      <c r="J290" s="1">
        <v>1</v>
      </c>
      <c r="K290" s="1">
        <v>0</v>
      </c>
      <c r="L290" s="1">
        <v>0</v>
      </c>
      <c r="M290" s="1">
        <f t="shared" si="12"/>
        <v>582</v>
      </c>
      <c r="N290" s="1">
        <f t="shared" si="13"/>
        <v>582</v>
      </c>
      <c r="O290" s="2" t="s">
        <v>765</v>
      </c>
      <c r="P290" s="1"/>
      <c r="Q290" s="1">
        <v>3.45</v>
      </c>
      <c r="R290" s="1" t="s">
        <v>44</v>
      </c>
      <c r="S290" s="30" t="s">
        <v>900</v>
      </c>
      <c r="T290" s="31" t="s">
        <v>417</v>
      </c>
      <c r="U290" s="1"/>
      <c r="V290" s="1">
        <v>250</v>
      </c>
      <c r="W290" s="1" t="s">
        <v>418</v>
      </c>
      <c r="X290" s="32" t="s">
        <v>419</v>
      </c>
      <c r="Y290" s="1" t="s">
        <v>420</v>
      </c>
      <c r="Z290" s="2" t="s">
        <v>765</v>
      </c>
      <c r="AA290" s="1"/>
      <c r="AB290" s="1"/>
      <c r="AC290" s="1"/>
      <c r="AD290" s="1"/>
      <c r="AE290" s="1"/>
      <c r="AF290" s="1"/>
      <c r="AG290" s="1"/>
      <c r="AH290" s="1"/>
      <c r="AI290" s="1"/>
      <c r="AJ290" s="1"/>
      <c r="AK290" s="1"/>
      <c r="AL290" s="1"/>
      <c r="AM290" s="1"/>
      <c r="AN290" s="1"/>
      <c r="AO290" s="1"/>
      <c r="AP290" s="1"/>
      <c r="AQ290" s="1"/>
      <c r="AR290" s="1"/>
      <c r="AS290" s="1"/>
      <c r="AT290" s="1"/>
      <c r="AU290" s="1"/>
      <c r="AV290" s="1">
        <f>SUM($AT290,Z290:$AA290)-SUM($AV$5:AV$5)*$J290-SUM($AV$6:AV$6)*$K290</f>
        <v>0</v>
      </c>
      <c r="AW290" s="1">
        <f>SUM($AT290,$AA290:AA290)-SUM($AV$5:AW$5)*$J290-SUM($AV$6:AW$6)*$K290</f>
        <v>0</v>
      </c>
      <c r="AX290" s="1">
        <f>SUM($AT290,$AA290:AB290)-SUM($AV$5:AX$5)*$J290-SUM($AV$6:AX$6)*$K290</f>
        <v>0</v>
      </c>
      <c r="AY290" s="1">
        <f>SUM($AT290,$AA290:AC290)-SUM($AV$5:AY$5)*$J290-SUM($AV$6:AY$6)*$K290</f>
        <v>0</v>
      </c>
      <c r="AZ290" s="1">
        <f>SUM($AT290,$AA290:AD290)-SUM($AV$5:AZ$5)*$J290-SUM($AV$6:AZ$6)*$K290</f>
        <v>-40</v>
      </c>
      <c r="BA290" s="1">
        <f>SUM($AT290,$AA290:AE290)-SUM($AV$5:BA$5)*$J290-SUM($AV$6:BA$6)*$K290</f>
        <v>-80</v>
      </c>
      <c r="BB290" s="1">
        <f>SUM($AT290,$AA290:AF290)-SUM($AV$5:BB$5)*$J290-SUM($AV$6:BB$6)*$K290</f>
        <v>-120</v>
      </c>
      <c r="BC290" s="1">
        <f>SUM($AT290,$AA290:AG290)-SUM($AV$5:BC$5)*$J290-SUM($AV$6:BC$6)*$K290</f>
        <v>-160</v>
      </c>
      <c r="BD290" s="1">
        <f>SUM($AT290,$AA290:AH290)-SUM($AV$5:BD$5)*$J290-SUM($AV$6:BD$6)*$K290</f>
        <v>-200</v>
      </c>
      <c r="BE290" s="1">
        <f>SUM($AT290,$AA290:AI290)-SUM($AV$5:BE$5)*$J290-SUM($AV$6:BE$6)*$K290</f>
        <v>-240</v>
      </c>
      <c r="BF290" s="1">
        <f>SUM($AT290,$AA290:AJ290)-SUM($AV$5:BF$5)*$J290-SUM($AV$6:BF$6)*$K290</f>
        <v>-280</v>
      </c>
      <c r="BG290" s="1">
        <f>SUM($AT290,$AA290:AK290)-SUM($AV$5:BG$5)*$J290-SUM($AV$6:BG$6)*$K290</f>
        <v>-320</v>
      </c>
      <c r="BH290" s="1">
        <f>SUM($AT290,$AA290:AL290)-SUM($AV$5:BH$5)*$J290-SUM($AV$6:BH$6)*$K290</f>
        <v>-360</v>
      </c>
      <c r="BI290" s="1">
        <f>SUM($AT290,$AA290:AM290)-SUM($AV$5:BI$5)*$J290-SUM($AV$6:BI$6)*$K290</f>
        <v>-400</v>
      </c>
      <c r="BJ290" s="1">
        <f>SUM($AT290,$AA290:AN290)-SUM($AV$5:BJ$5)*$J290-SUM($AV$6:BJ$6)*$K290</f>
        <v>-440</v>
      </c>
      <c r="BK290" s="1">
        <f>SUM($AT290,$AA290:AO290)-SUM($AV$5:BK$5)*$J290-SUM($AV$6:BK$6)*$K290</f>
        <v>-480</v>
      </c>
      <c r="BL290" s="1">
        <f>SUM($AT290,$AA290:AP290)-SUM($AV$5:BL$5)*$J290-SUM($AV$6:BL$6)*$K290</f>
        <v>-520</v>
      </c>
      <c r="BM290" s="1">
        <f>SUM($AT290,$AA290:AQ290)-SUM($AV$5:BM$5)*$J290-SUM($AV$6:BM$6)*$K290</f>
        <v>-560</v>
      </c>
      <c r="BN290" s="1">
        <f>SUM($AT290,$AA290:AR290)-SUM($AV$5:BN$5)*$J290-SUM($AV$6:BN$6)*$K290</f>
        <v>-582</v>
      </c>
    </row>
    <row r="291" spans="1:66">
      <c r="A291" s="1">
        <v>400</v>
      </c>
      <c r="B291" s="28" t="s">
        <v>914</v>
      </c>
      <c r="C291" s="1" t="s">
        <v>40</v>
      </c>
      <c r="D291" s="2">
        <v>400455509</v>
      </c>
      <c r="E291" s="3" t="s">
        <v>915</v>
      </c>
      <c r="F291" s="1"/>
      <c r="G291" s="1" t="s">
        <v>42</v>
      </c>
      <c r="H291" s="1">
        <v>2</v>
      </c>
      <c r="I291" s="1">
        <v>1</v>
      </c>
      <c r="J291" s="1">
        <v>1</v>
      </c>
      <c r="K291" s="1">
        <v>0</v>
      </c>
      <c r="L291" s="1">
        <v>0</v>
      </c>
      <c r="M291" s="1">
        <f t="shared" si="12"/>
        <v>582</v>
      </c>
      <c r="N291" s="1">
        <f t="shared" si="13"/>
        <v>582</v>
      </c>
      <c r="O291" s="2" t="s">
        <v>826</v>
      </c>
      <c r="P291" s="1"/>
      <c r="Q291" s="1">
        <v>1.61</v>
      </c>
      <c r="R291" s="1" t="s">
        <v>44</v>
      </c>
      <c r="S291" s="30" t="s">
        <v>145</v>
      </c>
      <c r="T291" s="31" t="s">
        <v>826</v>
      </c>
      <c r="U291" s="1"/>
      <c r="V291" s="1">
        <v>1000</v>
      </c>
      <c r="W291" s="1" t="s">
        <v>827</v>
      </c>
      <c r="X291" s="32" t="s">
        <v>828</v>
      </c>
      <c r="Y291" s="1" t="s">
        <v>829</v>
      </c>
      <c r="Z291" s="2" t="s">
        <v>826</v>
      </c>
      <c r="AA291" s="1"/>
      <c r="AB291" s="1"/>
      <c r="AC291" s="1"/>
      <c r="AD291" s="1"/>
      <c r="AE291" s="1"/>
      <c r="AF291" s="1"/>
      <c r="AG291" s="1"/>
      <c r="AH291" s="1"/>
      <c r="AI291" s="1"/>
      <c r="AJ291" s="1"/>
      <c r="AK291" s="1"/>
      <c r="AL291" s="1"/>
      <c r="AM291" s="1"/>
      <c r="AN291" s="1"/>
      <c r="AO291" s="1"/>
      <c r="AP291" s="1"/>
      <c r="AQ291" s="1"/>
      <c r="AR291" s="1"/>
      <c r="AS291" s="1"/>
      <c r="AT291" s="1"/>
      <c r="AU291" s="1"/>
      <c r="AV291" s="1">
        <f>SUM($AT291,Z291:$AA291)-SUM($AV$5:AV$5)*$J291-SUM($AV$6:AV$6)*$K291</f>
        <v>0</v>
      </c>
      <c r="AW291" s="1">
        <f>SUM($AT291,$AA291:AA291)-SUM($AV$5:AW$5)*$J291-SUM($AV$6:AW$6)*$K291</f>
        <v>0</v>
      </c>
      <c r="AX291" s="1">
        <f>SUM($AT291,$AA291:AB291)-SUM($AV$5:AX$5)*$J291-SUM($AV$6:AX$6)*$K291</f>
        <v>0</v>
      </c>
      <c r="AY291" s="1">
        <f>SUM($AT291,$AA291:AC291)-SUM($AV$5:AY$5)*$J291-SUM($AV$6:AY$6)*$K291</f>
        <v>0</v>
      </c>
      <c r="AZ291" s="1">
        <f>SUM($AT291,$AA291:AD291)-SUM($AV$5:AZ$5)*$J291-SUM($AV$6:AZ$6)*$K291</f>
        <v>-40</v>
      </c>
      <c r="BA291" s="1">
        <f>SUM($AT291,$AA291:AE291)-SUM($AV$5:BA$5)*$J291-SUM($AV$6:BA$6)*$K291</f>
        <v>-80</v>
      </c>
      <c r="BB291" s="1">
        <f>SUM($AT291,$AA291:AF291)-SUM($AV$5:BB$5)*$J291-SUM($AV$6:BB$6)*$K291</f>
        <v>-120</v>
      </c>
      <c r="BC291" s="1">
        <f>SUM($AT291,$AA291:AG291)-SUM($AV$5:BC$5)*$J291-SUM($AV$6:BC$6)*$K291</f>
        <v>-160</v>
      </c>
      <c r="BD291" s="1">
        <f>SUM($AT291,$AA291:AH291)-SUM($AV$5:BD$5)*$J291-SUM($AV$6:BD$6)*$K291</f>
        <v>-200</v>
      </c>
      <c r="BE291" s="1">
        <f>SUM($AT291,$AA291:AI291)-SUM($AV$5:BE$5)*$J291-SUM($AV$6:BE$6)*$K291</f>
        <v>-240</v>
      </c>
      <c r="BF291" s="1">
        <f>SUM($AT291,$AA291:AJ291)-SUM($AV$5:BF$5)*$J291-SUM($AV$6:BF$6)*$K291</f>
        <v>-280</v>
      </c>
      <c r="BG291" s="1">
        <f>SUM($AT291,$AA291:AK291)-SUM($AV$5:BG$5)*$J291-SUM($AV$6:BG$6)*$K291</f>
        <v>-320</v>
      </c>
      <c r="BH291" s="1">
        <f>SUM($AT291,$AA291:AL291)-SUM($AV$5:BH$5)*$J291-SUM($AV$6:BH$6)*$K291</f>
        <v>-360</v>
      </c>
      <c r="BI291" s="1">
        <f>SUM($AT291,$AA291:AM291)-SUM($AV$5:BI$5)*$J291-SUM($AV$6:BI$6)*$K291</f>
        <v>-400</v>
      </c>
      <c r="BJ291" s="1">
        <f>SUM($AT291,$AA291:AN291)-SUM($AV$5:BJ$5)*$J291-SUM($AV$6:BJ$6)*$K291</f>
        <v>-440</v>
      </c>
      <c r="BK291" s="1">
        <f>SUM($AT291,$AA291:AO291)-SUM($AV$5:BK$5)*$J291-SUM($AV$6:BK$6)*$K291</f>
        <v>-480</v>
      </c>
      <c r="BL291" s="1">
        <f>SUM($AT291,$AA291:AP291)-SUM($AV$5:BL$5)*$J291-SUM($AV$6:BL$6)*$K291</f>
        <v>-520</v>
      </c>
      <c r="BM291" s="1">
        <f>SUM($AT291,$AA291:AQ291)-SUM($AV$5:BM$5)*$J291-SUM($AV$6:BM$6)*$K291</f>
        <v>-560</v>
      </c>
      <c r="BN291" s="1">
        <f>SUM($AT291,$AA291:AR291)-SUM($AV$5:BN$5)*$J291-SUM($AV$6:BN$6)*$K291</f>
        <v>-582</v>
      </c>
    </row>
    <row r="292" spans="1:66">
      <c r="A292" s="1">
        <v>337</v>
      </c>
      <c r="B292" s="28" t="s">
        <v>916</v>
      </c>
      <c r="C292" s="1" t="s">
        <v>40</v>
      </c>
      <c r="D292" s="2">
        <v>400391792</v>
      </c>
      <c r="E292" s="3" t="s">
        <v>917</v>
      </c>
      <c r="F292" s="1">
        <v>409377480</v>
      </c>
      <c r="G292" s="1" t="s">
        <v>42</v>
      </c>
      <c r="H292" s="1">
        <v>2</v>
      </c>
      <c r="I292" s="1">
        <v>8</v>
      </c>
      <c r="J292" s="1">
        <v>8</v>
      </c>
      <c r="K292" s="1">
        <v>0</v>
      </c>
      <c r="L292" s="1">
        <v>0</v>
      </c>
      <c r="M292" s="1">
        <f t="shared" si="12"/>
        <v>4656</v>
      </c>
      <c r="N292" s="1">
        <f t="shared" si="13"/>
        <v>4656</v>
      </c>
      <c r="O292" s="2" t="s">
        <v>765</v>
      </c>
      <c r="P292" s="1"/>
      <c r="Q292" s="1">
        <v>0.15</v>
      </c>
      <c r="R292" s="1" t="s">
        <v>44</v>
      </c>
      <c r="S292" s="30" t="s">
        <v>359</v>
      </c>
      <c r="T292" s="31" t="s">
        <v>417</v>
      </c>
      <c r="U292" s="1"/>
      <c r="V292" s="1">
        <v>2500</v>
      </c>
      <c r="W292" s="1" t="s">
        <v>418</v>
      </c>
      <c r="X292" s="32" t="s">
        <v>419</v>
      </c>
      <c r="Y292" s="1" t="s">
        <v>420</v>
      </c>
      <c r="Z292" s="2" t="s">
        <v>765</v>
      </c>
      <c r="AA292" s="1"/>
      <c r="AB292" s="1"/>
      <c r="AC292" s="1"/>
      <c r="AD292" s="1"/>
      <c r="AE292" s="1"/>
      <c r="AF292" s="1"/>
      <c r="AG292" s="1"/>
      <c r="AH292" s="1"/>
      <c r="AI292" s="1"/>
      <c r="AJ292" s="1"/>
      <c r="AK292" s="1"/>
      <c r="AL292" s="1"/>
      <c r="AM292" s="1"/>
      <c r="AN292" s="1"/>
      <c r="AO292" s="1"/>
      <c r="AP292" s="1"/>
      <c r="AQ292" s="1"/>
      <c r="AR292" s="1"/>
      <c r="AS292" s="1"/>
      <c r="AT292" s="1"/>
      <c r="AU292" s="1"/>
      <c r="AV292" s="1">
        <f>SUM($AT292,Z292:$AA292)-SUM($AV$5:AV$5)*$J292-SUM($AV$6:AV$6)*$K292</f>
        <v>0</v>
      </c>
      <c r="AW292" s="1">
        <f>SUM($AT292,$AA292:AA292)-SUM($AV$5:AW$5)*$J292-SUM($AV$6:AW$6)*$K292</f>
        <v>0</v>
      </c>
      <c r="AX292" s="1">
        <f>SUM($AT292,$AA292:AB292)-SUM($AV$5:AX$5)*$J292-SUM($AV$6:AX$6)*$K292</f>
        <v>0</v>
      </c>
      <c r="AY292" s="1">
        <f>SUM($AT292,$AA292:AC292)-SUM($AV$5:AY$5)*$J292-SUM($AV$6:AY$6)*$K292</f>
        <v>0</v>
      </c>
      <c r="AZ292" s="1">
        <f>SUM($AT292,$AA292:AD292)-SUM($AV$5:AZ$5)*$J292-SUM($AV$6:AZ$6)*$K292</f>
        <v>-320</v>
      </c>
      <c r="BA292" s="1">
        <f>SUM($AT292,$AA292:AE292)-SUM($AV$5:BA$5)*$J292-SUM($AV$6:BA$6)*$K292</f>
        <v>-640</v>
      </c>
      <c r="BB292" s="1">
        <f>SUM($AT292,$AA292:AF292)-SUM($AV$5:BB$5)*$J292-SUM($AV$6:BB$6)*$K292</f>
        <v>-960</v>
      </c>
      <c r="BC292" s="1">
        <f>SUM($AT292,$AA292:AG292)-SUM($AV$5:BC$5)*$J292-SUM($AV$6:BC$6)*$K292</f>
        <v>-1280</v>
      </c>
      <c r="BD292" s="1">
        <f>SUM($AT292,$AA292:AH292)-SUM($AV$5:BD$5)*$J292-SUM($AV$6:BD$6)*$K292</f>
        <v>-1600</v>
      </c>
      <c r="BE292" s="1">
        <f>SUM($AT292,$AA292:AI292)-SUM($AV$5:BE$5)*$J292-SUM($AV$6:BE$6)*$K292</f>
        <v>-1920</v>
      </c>
      <c r="BF292" s="1">
        <f>SUM($AT292,$AA292:AJ292)-SUM($AV$5:BF$5)*$J292-SUM($AV$6:BF$6)*$K292</f>
        <v>-2240</v>
      </c>
      <c r="BG292" s="1">
        <f>SUM($AT292,$AA292:AK292)-SUM($AV$5:BG$5)*$J292-SUM($AV$6:BG$6)*$K292</f>
        <v>-2560</v>
      </c>
      <c r="BH292" s="1">
        <f>SUM($AT292,$AA292:AL292)-SUM($AV$5:BH$5)*$J292-SUM($AV$6:BH$6)*$K292</f>
        <v>-2880</v>
      </c>
      <c r="BI292" s="1">
        <f>SUM($AT292,$AA292:AM292)-SUM($AV$5:BI$5)*$J292-SUM($AV$6:BI$6)*$K292</f>
        <v>-3200</v>
      </c>
      <c r="BJ292" s="1">
        <f>SUM($AT292,$AA292:AN292)-SUM($AV$5:BJ$5)*$J292-SUM($AV$6:BJ$6)*$K292</f>
        <v>-3520</v>
      </c>
      <c r="BK292" s="1">
        <f>SUM($AT292,$AA292:AO292)-SUM($AV$5:BK$5)*$J292-SUM($AV$6:BK$6)*$K292</f>
        <v>-3840</v>
      </c>
      <c r="BL292" s="1">
        <f>SUM($AT292,$AA292:AP292)-SUM($AV$5:BL$5)*$J292-SUM($AV$6:BL$6)*$K292</f>
        <v>-4160</v>
      </c>
      <c r="BM292" s="1">
        <f>SUM($AT292,$AA292:AQ292)-SUM($AV$5:BM$5)*$J292-SUM($AV$6:BM$6)*$K292</f>
        <v>-4480</v>
      </c>
      <c r="BN292" s="1">
        <f>SUM($AT292,$AA292:AR292)-SUM($AV$5:BN$5)*$J292-SUM($AV$6:BN$6)*$K292</f>
        <v>-4656</v>
      </c>
    </row>
    <row r="293" spans="1:66">
      <c r="A293" s="1">
        <v>338</v>
      </c>
      <c r="B293" s="28" t="s">
        <v>918</v>
      </c>
      <c r="C293" s="1" t="s">
        <v>40</v>
      </c>
      <c r="D293" s="2">
        <v>400149265</v>
      </c>
      <c r="E293" s="3" t="s">
        <v>919</v>
      </c>
      <c r="F293" s="1"/>
      <c r="G293" s="1" t="s">
        <v>42</v>
      </c>
      <c r="H293" s="1">
        <v>2</v>
      </c>
      <c r="I293" s="1">
        <v>154</v>
      </c>
      <c r="J293" s="1">
        <v>154</v>
      </c>
      <c r="K293" s="1">
        <v>0</v>
      </c>
      <c r="L293" s="1">
        <v>0</v>
      </c>
      <c r="M293" s="1">
        <f t="shared" si="12"/>
        <v>89628</v>
      </c>
      <c r="N293" s="1">
        <f t="shared" si="13"/>
        <v>89628</v>
      </c>
      <c r="O293" s="2" t="s">
        <v>788</v>
      </c>
      <c r="P293" s="1"/>
      <c r="Q293" s="1">
        <v>4.3999999999999997E-2</v>
      </c>
      <c r="R293" s="1" t="s">
        <v>44</v>
      </c>
      <c r="S293" s="30" t="s">
        <v>920</v>
      </c>
      <c r="T293" s="31" t="s">
        <v>417</v>
      </c>
      <c r="U293" s="1"/>
      <c r="V293" s="1">
        <v>4000</v>
      </c>
      <c r="W293" s="1" t="s">
        <v>418</v>
      </c>
      <c r="X293" s="32" t="s">
        <v>419</v>
      </c>
      <c r="Y293" s="1" t="s">
        <v>420</v>
      </c>
      <c r="Z293" s="2" t="s">
        <v>788</v>
      </c>
      <c r="AA293" s="1"/>
      <c r="AB293" s="1"/>
      <c r="AC293" s="1"/>
      <c r="AD293" s="1"/>
      <c r="AE293" s="1"/>
      <c r="AF293" s="1"/>
      <c r="AG293" s="1"/>
      <c r="AH293" s="1"/>
      <c r="AI293" s="1"/>
      <c r="AJ293" s="1"/>
      <c r="AK293" s="1"/>
      <c r="AL293" s="1"/>
      <c r="AM293" s="1"/>
      <c r="AN293" s="1"/>
      <c r="AO293" s="1"/>
      <c r="AP293" s="1"/>
      <c r="AQ293" s="1"/>
      <c r="AR293" s="1"/>
      <c r="AS293" s="1"/>
      <c r="AT293" s="1"/>
      <c r="AU293" s="1"/>
      <c r="AV293" s="1">
        <f>SUM($AT293,Z293:$AA293)-SUM($AV$5:AV$5)*$J293-SUM($AV$6:AV$6)*$K293</f>
        <v>0</v>
      </c>
      <c r="AW293" s="1">
        <f>SUM($AT293,$AA293:AA293)-SUM($AV$5:AW$5)*$J293-SUM($AV$6:AW$6)*$K293</f>
        <v>0</v>
      </c>
      <c r="AX293" s="1">
        <f>SUM($AT293,$AA293:AB293)-SUM($AV$5:AX$5)*$J293-SUM($AV$6:AX$6)*$K293</f>
        <v>0</v>
      </c>
      <c r="AY293" s="1">
        <f>SUM($AT293,$AA293:AC293)-SUM($AV$5:AY$5)*$J293-SUM($AV$6:AY$6)*$K293</f>
        <v>0</v>
      </c>
      <c r="AZ293" s="1">
        <f>SUM($AT293,$AA293:AD293)-SUM($AV$5:AZ$5)*$J293-SUM($AV$6:AZ$6)*$K293</f>
        <v>-6160</v>
      </c>
      <c r="BA293" s="1">
        <f>SUM($AT293,$AA293:AE293)-SUM($AV$5:BA$5)*$J293-SUM($AV$6:BA$6)*$K293</f>
        <v>-12320</v>
      </c>
      <c r="BB293" s="1">
        <f>SUM($AT293,$AA293:AF293)-SUM($AV$5:BB$5)*$J293-SUM($AV$6:BB$6)*$K293</f>
        <v>-18480</v>
      </c>
      <c r="BC293" s="1">
        <f>SUM($AT293,$AA293:AG293)-SUM($AV$5:BC$5)*$J293-SUM($AV$6:BC$6)*$K293</f>
        <v>-24640</v>
      </c>
      <c r="BD293" s="1">
        <f>SUM($AT293,$AA293:AH293)-SUM($AV$5:BD$5)*$J293-SUM($AV$6:BD$6)*$K293</f>
        <v>-30800</v>
      </c>
      <c r="BE293" s="1">
        <f>SUM($AT293,$AA293:AI293)-SUM($AV$5:BE$5)*$J293-SUM($AV$6:BE$6)*$K293</f>
        <v>-36960</v>
      </c>
      <c r="BF293" s="1">
        <f>SUM($AT293,$AA293:AJ293)-SUM($AV$5:BF$5)*$J293-SUM($AV$6:BF$6)*$K293</f>
        <v>-43120</v>
      </c>
      <c r="BG293" s="1">
        <f>SUM($AT293,$AA293:AK293)-SUM($AV$5:BG$5)*$J293-SUM($AV$6:BG$6)*$K293</f>
        <v>-49280</v>
      </c>
      <c r="BH293" s="1">
        <f>SUM($AT293,$AA293:AL293)-SUM($AV$5:BH$5)*$J293-SUM($AV$6:BH$6)*$K293</f>
        <v>-55440</v>
      </c>
      <c r="BI293" s="1">
        <f>SUM($AT293,$AA293:AM293)-SUM($AV$5:BI$5)*$J293-SUM($AV$6:BI$6)*$K293</f>
        <v>-61600</v>
      </c>
      <c r="BJ293" s="1">
        <f>SUM($AT293,$AA293:AN293)-SUM($AV$5:BJ$5)*$J293-SUM($AV$6:BJ$6)*$K293</f>
        <v>-67760</v>
      </c>
      <c r="BK293" s="1">
        <f>SUM($AT293,$AA293:AO293)-SUM($AV$5:BK$5)*$J293-SUM($AV$6:BK$6)*$K293</f>
        <v>-73920</v>
      </c>
      <c r="BL293" s="1">
        <f>SUM($AT293,$AA293:AP293)-SUM($AV$5:BL$5)*$J293-SUM($AV$6:BL$6)*$K293</f>
        <v>-80080</v>
      </c>
      <c r="BM293" s="1">
        <f>SUM($AT293,$AA293:AQ293)-SUM($AV$5:BM$5)*$J293-SUM($AV$6:BM$6)*$K293</f>
        <v>-86240</v>
      </c>
      <c r="BN293" s="1">
        <f>SUM($AT293,$AA293:AR293)-SUM($AV$5:BN$5)*$J293-SUM($AV$6:BN$6)*$K293</f>
        <v>-89628</v>
      </c>
    </row>
    <row r="294" spans="1:66">
      <c r="A294" s="1">
        <v>339</v>
      </c>
      <c r="B294" s="28" t="s">
        <v>921</v>
      </c>
      <c r="C294" s="1" t="s">
        <v>40</v>
      </c>
      <c r="D294" s="2">
        <v>400656257</v>
      </c>
      <c r="E294" s="3" t="s">
        <v>922</v>
      </c>
      <c r="F294" s="1"/>
      <c r="G294" s="1" t="s">
        <v>42</v>
      </c>
      <c r="H294" s="1">
        <v>2</v>
      </c>
      <c r="I294" s="1">
        <v>1</v>
      </c>
      <c r="J294" s="1">
        <v>1</v>
      </c>
      <c r="K294" s="1">
        <v>0</v>
      </c>
      <c r="L294" s="1">
        <v>0</v>
      </c>
      <c r="M294" s="1">
        <f t="shared" si="12"/>
        <v>582</v>
      </c>
      <c r="N294" s="1">
        <f t="shared" si="13"/>
        <v>582</v>
      </c>
      <c r="O294" s="2" t="s">
        <v>368</v>
      </c>
      <c r="P294" s="1"/>
      <c r="Q294" s="1">
        <v>0.75</v>
      </c>
      <c r="R294" s="1" t="s">
        <v>44</v>
      </c>
      <c r="S294" s="30" t="s">
        <v>285</v>
      </c>
      <c r="T294" s="31" t="s">
        <v>369</v>
      </c>
      <c r="U294" s="1"/>
      <c r="V294" s="1">
        <v>95</v>
      </c>
      <c r="W294" s="1" t="s">
        <v>370</v>
      </c>
      <c r="X294" s="32" t="s">
        <v>371</v>
      </c>
      <c r="Y294" s="1" t="s">
        <v>372</v>
      </c>
      <c r="Z294" s="2" t="s">
        <v>368</v>
      </c>
      <c r="AA294" s="1"/>
      <c r="AB294" s="1"/>
      <c r="AC294" s="1"/>
      <c r="AD294" s="1"/>
      <c r="AE294" s="1"/>
      <c r="AF294" s="1"/>
      <c r="AG294" s="1"/>
      <c r="AH294" s="1"/>
      <c r="AI294" s="1"/>
      <c r="AJ294" s="1"/>
      <c r="AK294" s="1"/>
      <c r="AL294" s="1"/>
      <c r="AM294" s="1"/>
      <c r="AN294" s="1"/>
      <c r="AO294" s="1"/>
      <c r="AP294" s="1"/>
      <c r="AQ294" s="1"/>
      <c r="AR294" s="1"/>
      <c r="AS294" s="1"/>
      <c r="AT294" s="1"/>
      <c r="AU294" s="1"/>
      <c r="AV294" s="1">
        <f>SUM($AT294,Z294:$AA294)-SUM($AV$5:AV$5)*$J294-SUM($AV$6:AV$6)*$K294</f>
        <v>0</v>
      </c>
      <c r="AW294" s="1">
        <f>SUM($AT294,$AA294:AA294)-SUM($AV$5:AW$5)*$J294-SUM($AV$6:AW$6)*$K294</f>
        <v>0</v>
      </c>
      <c r="AX294" s="1">
        <f>SUM($AT294,$AA294:AB294)-SUM($AV$5:AX$5)*$J294-SUM($AV$6:AX$6)*$K294</f>
        <v>0</v>
      </c>
      <c r="AY294" s="1">
        <f>SUM($AT294,$AA294:AC294)-SUM($AV$5:AY$5)*$J294-SUM($AV$6:AY$6)*$K294</f>
        <v>0</v>
      </c>
      <c r="AZ294" s="1">
        <f>SUM($AT294,$AA294:AD294)-SUM($AV$5:AZ$5)*$J294-SUM($AV$6:AZ$6)*$K294</f>
        <v>-40</v>
      </c>
      <c r="BA294" s="1">
        <f>SUM($AT294,$AA294:AE294)-SUM($AV$5:BA$5)*$J294-SUM($AV$6:BA$6)*$K294</f>
        <v>-80</v>
      </c>
      <c r="BB294" s="1">
        <f>SUM($AT294,$AA294:AF294)-SUM($AV$5:BB$5)*$J294-SUM($AV$6:BB$6)*$K294</f>
        <v>-120</v>
      </c>
      <c r="BC294" s="1">
        <f>SUM($AT294,$AA294:AG294)-SUM($AV$5:BC$5)*$J294-SUM($AV$6:BC$6)*$K294</f>
        <v>-160</v>
      </c>
      <c r="BD294" s="1">
        <f>SUM($AT294,$AA294:AH294)-SUM($AV$5:BD$5)*$J294-SUM($AV$6:BD$6)*$K294</f>
        <v>-200</v>
      </c>
      <c r="BE294" s="1">
        <f>SUM($AT294,$AA294:AI294)-SUM($AV$5:BE$5)*$J294-SUM($AV$6:BE$6)*$K294</f>
        <v>-240</v>
      </c>
      <c r="BF294" s="1">
        <f>SUM($AT294,$AA294:AJ294)-SUM($AV$5:BF$5)*$J294-SUM($AV$6:BF$6)*$K294</f>
        <v>-280</v>
      </c>
      <c r="BG294" s="1">
        <f>SUM($AT294,$AA294:AK294)-SUM($AV$5:BG$5)*$J294-SUM($AV$6:BG$6)*$K294</f>
        <v>-320</v>
      </c>
      <c r="BH294" s="1">
        <f>SUM($AT294,$AA294:AL294)-SUM($AV$5:BH$5)*$J294-SUM($AV$6:BH$6)*$K294</f>
        <v>-360</v>
      </c>
      <c r="BI294" s="1">
        <f>SUM($AT294,$AA294:AM294)-SUM($AV$5:BI$5)*$J294-SUM($AV$6:BI$6)*$K294</f>
        <v>-400</v>
      </c>
      <c r="BJ294" s="1">
        <f>SUM($AT294,$AA294:AN294)-SUM($AV$5:BJ$5)*$J294-SUM($AV$6:BJ$6)*$K294</f>
        <v>-440</v>
      </c>
      <c r="BK294" s="1">
        <f>SUM($AT294,$AA294:AO294)-SUM($AV$5:BK$5)*$J294-SUM($AV$6:BK$6)*$K294</f>
        <v>-480</v>
      </c>
      <c r="BL294" s="1">
        <f>SUM($AT294,$AA294:AP294)-SUM($AV$5:BL$5)*$J294-SUM($AV$6:BL$6)*$K294</f>
        <v>-520</v>
      </c>
      <c r="BM294" s="1">
        <f>SUM($AT294,$AA294:AQ294)-SUM($AV$5:BM$5)*$J294-SUM($AV$6:BM$6)*$K294</f>
        <v>-560</v>
      </c>
      <c r="BN294" s="1">
        <f>SUM($AT294,$AA294:AR294)-SUM($AV$5:BN$5)*$J294-SUM($AV$6:BN$6)*$K294</f>
        <v>-582</v>
      </c>
    </row>
    <row r="295" spans="1:66">
      <c r="A295" s="1">
        <v>340</v>
      </c>
      <c r="B295" s="28" t="s">
        <v>923</v>
      </c>
      <c r="C295" s="1" t="s">
        <v>40</v>
      </c>
      <c r="D295" s="2">
        <v>411132942</v>
      </c>
      <c r="E295" s="3" t="s">
        <v>924</v>
      </c>
      <c r="F295" s="1"/>
      <c r="G295" s="1" t="s">
        <v>42</v>
      </c>
      <c r="H295" s="1">
        <v>1</v>
      </c>
      <c r="I295" s="1">
        <v>17</v>
      </c>
      <c r="J295" s="1">
        <v>17</v>
      </c>
      <c r="K295" s="1">
        <v>0</v>
      </c>
      <c r="L295" s="1">
        <v>0</v>
      </c>
      <c r="M295" s="1">
        <f t="shared" si="12"/>
        <v>9894</v>
      </c>
      <c r="N295" s="1">
        <f t="shared" si="13"/>
        <v>9894</v>
      </c>
      <c r="O295" s="2" t="s">
        <v>368</v>
      </c>
      <c r="P295" s="1"/>
      <c r="Q295" s="1">
        <v>0.75</v>
      </c>
      <c r="R295" s="1" t="s">
        <v>44</v>
      </c>
      <c r="S295" s="30" t="s">
        <v>54</v>
      </c>
      <c r="T295" s="31" t="s">
        <v>369</v>
      </c>
      <c r="U295" s="1"/>
      <c r="V295" s="1">
        <v>2500</v>
      </c>
      <c r="W295" s="1" t="s">
        <v>370</v>
      </c>
      <c r="X295" s="32" t="s">
        <v>371</v>
      </c>
      <c r="Y295" s="1" t="s">
        <v>372</v>
      </c>
      <c r="Z295" s="2" t="s">
        <v>368</v>
      </c>
      <c r="AA295" s="1"/>
      <c r="AB295" s="1"/>
      <c r="AC295" s="1"/>
      <c r="AD295" s="1"/>
      <c r="AE295" s="1"/>
      <c r="AF295" s="1"/>
      <c r="AG295" s="1"/>
      <c r="AH295" s="1"/>
      <c r="AI295" s="1"/>
      <c r="AJ295" s="1"/>
      <c r="AK295" s="1"/>
      <c r="AL295" s="1"/>
      <c r="AM295" s="1"/>
      <c r="AN295" s="1"/>
      <c r="AO295" s="1"/>
      <c r="AP295" s="1"/>
      <c r="AQ295" s="1"/>
      <c r="AR295" s="1"/>
      <c r="AS295" s="1"/>
      <c r="AT295" s="1"/>
      <c r="AU295" s="1"/>
      <c r="AV295" s="1">
        <f>SUM($AT295,Z295:$AA295)-SUM($AV$5:AV$5)*$J295-SUM($AV$6:AV$6)*$K295</f>
        <v>0</v>
      </c>
      <c r="AW295" s="1">
        <f>SUM($AT295,$AA295:AA295)-SUM($AV$5:AW$5)*$J295-SUM($AV$6:AW$6)*$K295</f>
        <v>0</v>
      </c>
      <c r="AX295" s="1">
        <f>SUM($AT295,$AA295:AB295)-SUM($AV$5:AX$5)*$J295-SUM($AV$6:AX$6)*$K295</f>
        <v>0</v>
      </c>
      <c r="AY295" s="1">
        <f>SUM($AT295,$AA295:AC295)-SUM($AV$5:AY$5)*$J295-SUM($AV$6:AY$6)*$K295</f>
        <v>0</v>
      </c>
      <c r="AZ295" s="1">
        <f>SUM($AT295,$AA295:AD295)-SUM($AV$5:AZ$5)*$J295-SUM($AV$6:AZ$6)*$K295</f>
        <v>-680</v>
      </c>
      <c r="BA295" s="1">
        <f>SUM($AT295,$AA295:AE295)-SUM($AV$5:BA$5)*$J295-SUM($AV$6:BA$6)*$K295</f>
        <v>-1360</v>
      </c>
      <c r="BB295" s="1">
        <f>SUM($AT295,$AA295:AF295)-SUM($AV$5:BB$5)*$J295-SUM($AV$6:BB$6)*$K295</f>
        <v>-2040</v>
      </c>
      <c r="BC295" s="1">
        <f>SUM($AT295,$AA295:AG295)-SUM($AV$5:BC$5)*$J295-SUM($AV$6:BC$6)*$K295</f>
        <v>-2720</v>
      </c>
      <c r="BD295" s="1">
        <f>SUM($AT295,$AA295:AH295)-SUM($AV$5:BD$5)*$J295-SUM($AV$6:BD$6)*$K295</f>
        <v>-3400</v>
      </c>
      <c r="BE295" s="1">
        <f>SUM($AT295,$AA295:AI295)-SUM($AV$5:BE$5)*$J295-SUM($AV$6:BE$6)*$K295</f>
        <v>-4080</v>
      </c>
      <c r="BF295" s="1">
        <f>SUM($AT295,$AA295:AJ295)-SUM($AV$5:BF$5)*$J295-SUM($AV$6:BF$6)*$K295</f>
        <v>-4760</v>
      </c>
      <c r="BG295" s="1">
        <f>SUM($AT295,$AA295:AK295)-SUM($AV$5:BG$5)*$J295-SUM($AV$6:BG$6)*$K295</f>
        <v>-5440</v>
      </c>
      <c r="BH295" s="1">
        <f>SUM($AT295,$AA295:AL295)-SUM($AV$5:BH$5)*$J295-SUM($AV$6:BH$6)*$K295</f>
        <v>-6120</v>
      </c>
      <c r="BI295" s="1">
        <f>SUM($AT295,$AA295:AM295)-SUM($AV$5:BI$5)*$J295-SUM($AV$6:BI$6)*$K295</f>
        <v>-6800</v>
      </c>
      <c r="BJ295" s="1">
        <f>SUM($AT295,$AA295:AN295)-SUM($AV$5:BJ$5)*$J295-SUM($AV$6:BJ$6)*$K295</f>
        <v>-7480</v>
      </c>
      <c r="BK295" s="1">
        <f>SUM($AT295,$AA295:AO295)-SUM($AV$5:BK$5)*$J295-SUM($AV$6:BK$6)*$K295</f>
        <v>-8160</v>
      </c>
      <c r="BL295" s="1">
        <f>SUM($AT295,$AA295:AP295)-SUM($AV$5:BL$5)*$J295-SUM($AV$6:BL$6)*$K295</f>
        <v>-8840</v>
      </c>
      <c r="BM295" s="1">
        <f>SUM($AT295,$AA295:AQ295)-SUM($AV$5:BM$5)*$J295-SUM($AV$6:BM$6)*$K295</f>
        <v>-9520</v>
      </c>
      <c r="BN295" s="1">
        <f>SUM($AT295,$AA295:AR295)-SUM($AV$5:BN$5)*$J295-SUM($AV$6:BN$6)*$K295</f>
        <v>-9894</v>
      </c>
    </row>
    <row r="296" spans="1:66">
      <c r="A296" s="1">
        <v>341</v>
      </c>
      <c r="B296" s="28" t="s">
        <v>925</v>
      </c>
      <c r="C296" s="1" t="s">
        <v>40</v>
      </c>
      <c r="D296" s="2">
        <v>411123553</v>
      </c>
      <c r="E296" s="3" t="s">
        <v>926</v>
      </c>
      <c r="F296" s="1"/>
      <c r="G296" s="1" t="s">
        <v>42</v>
      </c>
      <c r="H296" s="1">
        <v>1</v>
      </c>
      <c r="I296" s="1">
        <v>16</v>
      </c>
      <c r="J296" s="1">
        <v>16</v>
      </c>
      <c r="K296" s="1">
        <v>0</v>
      </c>
      <c r="L296" s="1">
        <v>0</v>
      </c>
      <c r="M296" s="1">
        <f t="shared" si="12"/>
        <v>9312</v>
      </c>
      <c r="N296" s="1">
        <f t="shared" si="13"/>
        <v>9312</v>
      </c>
      <c r="O296" s="2" t="s">
        <v>368</v>
      </c>
      <c r="P296" s="1"/>
      <c r="Q296" s="1">
        <v>0.75</v>
      </c>
      <c r="R296" s="1" t="s">
        <v>44</v>
      </c>
      <c r="S296" s="30" t="s">
        <v>927</v>
      </c>
      <c r="T296" s="31" t="s">
        <v>369</v>
      </c>
      <c r="U296" s="1"/>
      <c r="V296" s="1">
        <v>2500</v>
      </c>
      <c r="W296" s="1" t="s">
        <v>370</v>
      </c>
      <c r="X296" s="32" t="s">
        <v>371</v>
      </c>
      <c r="Y296" s="1" t="s">
        <v>372</v>
      </c>
      <c r="Z296" s="2" t="s">
        <v>368</v>
      </c>
      <c r="AA296" s="1"/>
      <c r="AB296" s="1"/>
      <c r="AC296" s="1"/>
      <c r="AD296" s="1"/>
      <c r="AE296" s="1"/>
      <c r="AF296" s="1"/>
      <c r="AG296" s="1"/>
      <c r="AH296" s="1"/>
      <c r="AI296" s="1"/>
      <c r="AJ296" s="1"/>
      <c r="AK296" s="1"/>
      <c r="AL296" s="1"/>
      <c r="AM296" s="1"/>
      <c r="AN296" s="1"/>
      <c r="AO296" s="1"/>
      <c r="AP296" s="1"/>
      <c r="AQ296" s="1"/>
      <c r="AR296" s="1"/>
      <c r="AS296" s="1"/>
      <c r="AT296" s="1"/>
      <c r="AU296" s="1"/>
      <c r="AV296" s="1">
        <f>SUM($AT296,Z296:$AA296)-SUM($AV$5:AV$5)*$J296-SUM($AV$6:AV$6)*$K296</f>
        <v>0</v>
      </c>
      <c r="AW296" s="1">
        <f>SUM($AT296,$AA296:AA296)-SUM($AV$5:AW$5)*$J296-SUM($AV$6:AW$6)*$K296</f>
        <v>0</v>
      </c>
      <c r="AX296" s="1">
        <f>SUM($AT296,$AA296:AB296)-SUM($AV$5:AX$5)*$J296-SUM($AV$6:AX$6)*$K296</f>
        <v>0</v>
      </c>
      <c r="AY296" s="1">
        <f>SUM($AT296,$AA296:AC296)-SUM($AV$5:AY$5)*$J296-SUM($AV$6:AY$6)*$K296</f>
        <v>0</v>
      </c>
      <c r="AZ296" s="1">
        <f>SUM($AT296,$AA296:AD296)-SUM($AV$5:AZ$5)*$J296-SUM($AV$6:AZ$6)*$K296</f>
        <v>-640</v>
      </c>
      <c r="BA296" s="1">
        <f>SUM($AT296,$AA296:AE296)-SUM($AV$5:BA$5)*$J296-SUM($AV$6:BA$6)*$K296</f>
        <v>-1280</v>
      </c>
      <c r="BB296" s="1">
        <f>SUM($AT296,$AA296:AF296)-SUM($AV$5:BB$5)*$J296-SUM($AV$6:BB$6)*$K296</f>
        <v>-1920</v>
      </c>
      <c r="BC296" s="1">
        <f>SUM($AT296,$AA296:AG296)-SUM($AV$5:BC$5)*$J296-SUM($AV$6:BC$6)*$K296</f>
        <v>-2560</v>
      </c>
      <c r="BD296" s="1">
        <f>SUM($AT296,$AA296:AH296)-SUM($AV$5:BD$5)*$J296-SUM($AV$6:BD$6)*$K296</f>
        <v>-3200</v>
      </c>
      <c r="BE296" s="1">
        <f>SUM($AT296,$AA296:AI296)-SUM($AV$5:BE$5)*$J296-SUM($AV$6:BE$6)*$K296</f>
        <v>-3840</v>
      </c>
      <c r="BF296" s="1">
        <f>SUM($AT296,$AA296:AJ296)-SUM($AV$5:BF$5)*$J296-SUM($AV$6:BF$6)*$K296</f>
        <v>-4480</v>
      </c>
      <c r="BG296" s="1">
        <f>SUM($AT296,$AA296:AK296)-SUM($AV$5:BG$5)*$J296-SUM($AV$6:BG$6)*$K296</f>
        <v>-5120</v>
      </c>
      <c r="BH296" s="1">
        <f>SUM($AT296,$AA296:AL296)-SUM($AV$5:BH$5)*$J296-SUM($AV$6:BH$6)*$K296</f>
        <v>-5760</v>
      </c>
      <c r="BI296" s="1">
        <f>SUM($AT296,$AA296:AM296)-SUM($AV$5:BI$5)*$J296-SUM($AV$6:BI$6)*$K296</f>
        <v>-6400</v>
      </c>
      <c r="BJ296" s="1">
        <f>SUM($AT296,$AA296:AN296)-SUM($AV$5:BJ$5)*$J296-SUM($AV$6:BJ$6)*$K296</f>
        <v>-7040</v>
      </c>
      <c r="BK296" s="1">
        <f>SUM($AT296,$AA296:AO296)-SUM($AV$5:BK$5)*$J296-SUM($AV$6:BK$6)*$K296</f>
        <v>-7680</v>
      </c>
      <c r="BL296" s="1">
        <f>SUM($AT296,$AA296:AP296)-SUM($AV$5:BL$5)*$J296-SUM($AV$6:BL$6)*$K296</f>
        <v>-8320</v>
      </c>
      <c r="BM296" s="1">
        <f>SUM($AT296,$AA296:AQ296)-SUM($AV$5:BM$5)*$J296-SUM($AV$6:BM$6)*$K296</f>
        <v>-8960</v>
      </c>
      <c r="BN296" s="1">
        <f>SUM($AT296,$AA296:AR296)-SUM($AV$5:BN$5)*$J296-SUM($AV$6:BN$6)*$K296</f>
        <v>-9312</v>
      </c>
    </row>
    <row r="297" spans="1:66">
      <c r="A297" s="1">
        <v>342</v>
      </c>
      <c r="B297" s="28" t="s">
        <v>928</v>
      </c>
      <c r="C297" s="1" t="s">
        <v>40</v>
      </c>
      <c r="D297" s="2">
        <v>400068581</v>
      </c>
      <c r="E297" s="3" t="s">
        <v>929</v>
      </c>
      <c r="F297" s="1">
        <v>400856511</v>
      </c>
      <c r="G297" s="1" t="s">
        <v>42</v>
      </c>
      <c r="H297" s="1">
        <v>2</v>
      </c>
      <c r="I297" s="1">
        <v>26</v>
      </c>
      <c r="J297" s="1">
        <v>26</v>
      </c>
      <c r="K297" s="1">
        <v>0</v>
      </c>
      <c r="L297" s="1">
        <v>0</v>
      </c>
      <c r="M297" s="1">
        <f t="shared" si="12"/>
        <v>15132</v>
      </c>
      <c r="N297" s="1">
        <f t="shared" si="13"/>
        <v>15132</v>
      </c>
      <c r="O297" s="2" t="s">
        <v>765</v>
      </c>
      <c r="P297" s="1"/>
      <c r="Q297" s="1">
        <v>1.2999999999999999E-2</v>
      </c>
      <c r="R297" s="1" t="s">
        <v>44</v>
      </c>
      <c r="S297" s="30" t="s">
        <v>930</v>
      </c>
      <c r="T297" s="31" t="s">
        <v>417</v>
      </c>
      <c r="U297" s="1"/>
      <c r="V297" s="1">
        <v>3000</v>
      </c>
      <c r="W297" s="1" t="s">
        <v>418</v>
      </c>
      <c r="X297" s="32" t="s">
        <v>419</v>
      </c>
      <c r="Y297" s="1" t="s">
        <v>420</v>
      </c>
      <c r="Z297" s="2" t="s">
        <v>765</v>
      </c>
      <c r="AA297" s="1"/>
      <c r="AB297" s="1"/>
      <c r="AC297" s="1"/>
      <c r="AD297" s="1"/>
      <c r="AE297" s="1"/>
      <c r="AF297" s="1"/>
      <c r="AG297" s="1"/>
      <c r="AH297" s="1"/>
      <c r="AI297" s="1"/>
      <c r="AJ297" s="1"/>
      <c r="AK297" s="1"/>
      <c r="AL297" s="1"/>
      <c r="AM297" s="1"/>
      <c r="AN297" s="1"/>
      <c r="AO297" s="1"/>
      <c r="AP297" s="1"/>
      <c r="AQ297" s="1"/>
      <c r="AR297" s="1"/>
      <c r="AS297" s="1"/>
      <c r="AT297" s="1"/>
      <c r="AU297" s="1"/>
      <c r="AV297" s="1">
        <f>SUM($AT297,Z297:$AA297)-SUM($AV$5:AV$5)*$J297-SUM($AV$6:AV$6)*$K297</f>
        <v>0</v>
      </c>
      <c r="AW297" s="1">
        <f>SUM($AT297,$AA297:AA297)-SUM($AV$5:AW$5)*$J297-SUM($AV$6:AW$6)*$K297</f>
        <v>0</v>
      </c>
      <c r="AX297" s="1">
        <f>SUM($AT297,$AA297:AB297)-SUM($AV$5:AX$5)*$J297-SUM($AV$6:AX$6)*$K297</f>
        <v>0</v>
      </c>
      <c r="AY297" s="1">
        <f>SUM($AT297,$AA297:AC297)-SUM($AV$5:AY$5)*$J297-SUM($AV$6:AY$6)*$K297</f>
        <v>0</v>
      </c>
      <c r="AZ297" s="1">
        <f>SUM($AT297,$AA297:AD297)-SUM($AV$5:AZ$5)*$J297-SUM($AV$6:AZ$6)*$K297</f>
        <v>-1040</v>
      </c>
      <c r="BA297" s="1">
        <f>SUM($AT297,$AA297:AE297)-SUM($AV$5:BA$5)*$J297-SUM($AV$6:BA$6)*$K297</f>
        <v>-2080</v>
      </c>
      <c r="BB297" s="1">
        <f>SUM($AT297,$AA297:AF297)-SUM($AV$5:BB$5)*$J297-SUM($AV$6:BB$6)*$K297</f>
        <v>-3120</v>
      </c>
      <c r="BC297" s="1">
        <f>SUM($AT297,$AA297:AG297)-SUM($AV$5:BC$5)*$J297-SUM($AV$6:BC$6)*$K297</f>
        <v>-4160</v>
      </c>
      <c r="BD297" s="1">
        <f>SUM($AT297,$AA297:AH297)-SUM($AV$5:BD$5)*$J297-SUM($AV$6:BD$6)*$K297</f>
        <v>-5200</v>
      </c>
      <c r="BE297" s="1">
        <f>SUM($AT297,$AA297:AI297)-SUM($AV$5:BE$5)*$J297-SUM($AV$6:BE$6)*$K297</f>
        <v>-6240</v>
      </c>
      <c r="BF297" s="1">
        <f>SUM($AT297,$AA297:AJ297)-SUM($AV$5:BF$5)*$J297-SUM($AV$6:BF$6)*$K297</f>
        <v>-7280</v>
      </c>
      <c r="BG297" s="1">
        <f>SUM($AT297,$AA297:AK297)-SUM($AV$5:BG$5)*$J297-SUM($AV$6:BG$6)*$K297</f>
        <v>-8320</v>
      </c>
      <c r="BH297" s="1">
        <f>SUM($AT297,$AA297:AL297)-SUM($AV$5:BH$5)*$J297-SUM($AV$6:BH$6)*$K297</f>
        <v>-9360</v>
      </c>
      <c r="BI297" s="1">
        <f>SUM($AT297,$AA297:AM297)-SUM($AV$5:BI$5)*$J297-SUM($AV$6:BI$6)*$K297</f>
        <v>-10400</v>
      </c>
      <c r="BJ297" s="1">
        <f>SUM($AT297,$AA297:AN297)-SUM($AV$5:BJ$5)*$J297-SUM($AV$6:BJ$6)*$K297</f>
        <v>-11440</v>
      </c>
      <c r="BK297" s="1">
        <f>SUM($AT297,$AA297:AO297)-SUM($AV$5:BK$5)*$J297-SUM($AV$6:BK$6)*$K297</f>
        <v>-12480</v>
      </c>
      <c r="BL297" s="1">
        <f>SUM($AT297,$AA297:AP297)-SUM($AV$5:BL$5)*$J297-SUM($AV$6:BL$6)*$K297</f>
        <v>-13520</v>
      </c>
      <c r="BM297" s="1">
        <f>SUM($AT297,$AA297:AQ297)-SUM($AV$5:BM$5)*$J297-SUM($AV$6:BM$6)*$K297</f>
        <v>-14560</v>
      </c>
      <c r="BN297" s="1">
        <f>SUM($AT297,$AA297:AR297)-SUM($AV$5:BN$5)*$J297-SUM($AV$6:BN$6)*$K297</f>
        <v>-15132</v>
      </c>
    </row>
    <row r="298" spans="1:66">
      <c r="A298" s="1">
        <v>343</v>
      </c>
      <c r="B298" s="28" t="s">
        <v>931</v>
      </c>
      <c r="C298" s="1" t="s">
        <v>40</v>
      </c>
      <c r="D298" s="2">
        <v>403558537</v>
      </c>
      <c r="E298" s="3" t="s">
        <v>932</v>
      </c>
      <c r="F298" s="1"/>
      <c r="G298" s="1" t="s">
        <v>42</v>
      </c>
      <c r="H298" s="1">
        <v>2</v>
      </c>
      <c r="I298" s="1">
        <v>14</v>
      </c>
      <c r="J298" s="1">
        <v>14</v>
      </c>
      <c r="K298" s="1">
        <v>0</v>
      </c>
      <c r="L298" s="1">
        <v>0</v>
      </c>
      <c r="M298" s="1">
        <f t="shared" si="12"/>
        <v>8148</v>
      </c>
      <c r="N298" s="1">
        <f t="shared" si="13"/>
        <v>8148</v>
      </c>
      <c r="O298" s="2" t="s">
        <v>383</v>
      </c>
      <c r="P298" s="1"/>
      <c r="Q298" s="1">
        <v>0.12</v>
      </c>
      <c r="R298" s="1" t="s">
        <v>44</v>
      </c>
      <c r="S298" s="30" t="s">
        <v>386</v>
      </c>
      <c r="T298" s="31" t="s">
        <v>369</v>
      </c>
      <c r="U298" s="1"/>
      <c r="V298" s="1">
        <v>3000</v>
      </c>
      <c r="W298" s="1" t="s">
        <v>370</v>
      </c>
      <c r="X298" s="32" t="s">
        <v>371</v>
      </c>
      <c r="Y298" s="1" t="s">
        <v>372</v>
      </c>
      <c r="Z298" s="2" t="s">
        <v>383</v>
      </c>
      <c r="AA298" s="1"/>
      <c r="AB298" s="1"/>
      <c r="AC298" s="1"/>
      <c r="AD298" s="1"/>
      <c r="AE298" s="1"/>
      <c r="AF298" s="1"/>
      <c r="AG298" s="1"/>
      <c r="AH298" s="1"/>
      <c r="AI298" s="1"/>
      <c r="AJ298" s="1"/>
      <c r="AK298" s="1"/>
      <c r="AL298" s="1"/>
      <c r="AM298" s="1"/>
      <c r="AN298" s="1"/>
      <c r="AO298" s="1"/>
      <c r="AP298" s="1"/>
      <c r="AQ298" s="1"/>
      <c r="AR298" s="1"/>
      <c r="AS298" s="1"/>
      <c r="AT298" s="1"/>
      <c r="AU298" s="1"/>
      <c r="AV298" s="1">
        <f>SUM($AT298,Z298:$AA298)-SUM($AV$5:AV$5)*$J298-SUM($AV$6:AV$6)*$K298</f>
        <v>0</v>
      </c>
      <c r="AW298" s="1">
        <f>SUM($AT298,$AA298:AA298)-SUM($AV$5:AW$5)*$J298-SUM($AV$6:AW$6)*$K298</f>
        <v>0</v>
      </c>
      <c r="AX298" s="1">
        <f>SUM($AT298,$AA298:AB298)-SUM($AV$5:AX$5)*$J298-SUM($AV$6:AX$6)*$K298</f>
        <v>0</v>
      </c>
      <c r="AY298" s="1">
        <f>SUM($AT298,$AA298:AC298)-SUM($AV$5:AY$5)*$J298-SUM($AV$6:AY$6)*$K298</f>
        <v>0</v>
      </c>
      <c r="AZ298" s="1">
        <f>SUM($AT298,$AA298:AD298)-SUM($AV$5:AZ$5)*$J298-SUM($AV$6:AZ$6)*$K298</f>
        <v>-560</v>
      </c>
      <c r="BA298" s="1">
        <f>SUM($AT298,$AA298:AE298)-SUM($AV$5:BA$5)*$J298-SUM($AV$6:BA$6)*$K298</f>
        <v>-1120</v>
      </c>
      <c r="BB298" s="1">
        <f>SUM($AT298,$AA298:AF298)-SUM($AV$5:BB$5)*$J298-SUM($AV$6:BB$6)*$K298</f>
        <v>-1680</v>
      </c>
      <c r="BC298" s="1">
        <f>SUM($AT298,$AA298:AG298)-SUM($AV$5:BC$5)*$J298-SUM($AV$6:BC$6)*$K298</f>
        <v>-2240</v>
      </c>
      <c r="BD298" s="1">
        <f>SUM($AT298,$AA298:AH298)-SUM($AV$5:BD$5)*$J298-SUM($AV$6:BD$6)*$K298</f>
        <v>-2800</v>
      </c>
      <c r="BE298" s="1">
        <f>SUM($AT298,$AA298:AI298)-SUM($AV$5:BE$5)*$J298-SUM($AV$6:BE$6)*$K298</f>
        <v>-3360</v>
      </c>
      <c r="BF298" s="1">
        <f>SUM($AT298,$AA298:AJ298)-SUM($AV$5:BF$5)*$J298-SUM($AV$6:BF$6)*$K298</f>
        <v>-3920</v>
      </c>
      <c r="BG298" s="1">
        <f>SUM($AT298,$AA298:AK298)-SUM($AV$5:BG$5)*$J298-SUM($AV$6:BG$6)*$K298</f>
        <v>-4480</v>
      </c>
      <c r="BH298" s="1">
        <f>SUM($AT298,$AA298:AL298)-SUM($AV$5:BH$5)*$J298-SUM($AV$6:BH$6)*$K298</f>
        <v>-5040</v>
      </c>
      <c r="BI298" s="1">
        <f>SUM($AT298,$AA298:AM298)-SUM($AV$5:BI$5)*$J298-SUM($AV$6:BI$6)*$K298</f>
        <v>-5600</v>
      </c>
      <c r="BJ298" s="1">
        <f>SUM($AT298,$AA298:AN298)-SUM($AV$5:BJ$5)*$J298-SUM($AV$6:BJ$6)*$K298</f>
        <v>-6160</v>
      </c>
      <c r="BK298" s="1">
        <f>SUM($AT298,$AA298:AO298)-SUM($AV$5:BK$5)*$J298-SUM($AV$6:BK$6)*$K298</f>
        <v>-6720</v>
      </c>
      <c r="BL298" s="1">
        <f>SUM($AT298,$AA298:AP298)-SUM($AV$5:BL$5)*$J298-SUM($AV$6:BL$6)*$K298</f>
        <v>-7280</v>
      </c>
      <c r="BM298" s="1">
        <f>SUM($AT298,$AA298:AQ298)-SUM($AV$5:BM$5)*$J298-SUM($AV$6:BM$6)*$K298</f>
        <v>-7840</v>
      </c>
      <c r="BN298" s="1">
        <f>SUM($AT298,$AA298:AR298)-SUM($AV$5:BN$5)*$J298-SUM($AV$6:BN$6)*$K298</f>
        <v>-8148</v>
      </c>
    </row>
    <row r="299" spans="1:66">
      <c r="A299" s="1">
        <v>345</v>
      </c>
      <c r="B299" s="28" t="s">
        <v>933</v>
      </c>
      <c r="C299" s="1" t="s">
        <v>40</v>
      </c>
      <c r="D299" s="2" t="s">
        <v>934</v>
      </c>
      <c r="E299" s="3" t="s">
        <v>935</v>
      </c>
      <c r="F299" s="1"/>
      <c r="G299" s="1" t="s">
        <v>42</v>
      </c>
      <c r="H299" s="1">
        <v>2</v>
      </c>
      <c r="I299" s="1">
        <v>6</v>
      </c>
      <c r="J299" s="1">
        <v>6</v>
      </c>
      <c r="K299" s="1">
        <v>0</v>
      </c>
      <c r="L299" s="1">
        <v>0</v>
      </c>
      <c r="M299" s="1">
        <f t="shared" si="12"/>
        <v>3492</v>
      </c>
      <c r="N299" s="1">
        <f t="shared" si="13"/>
        <v>3492</v>
      </c>
      <c r="O299" s="2" t="s">
        <v>765</v>
      </c>
      <c r="P299" s="1"/>
      <c r="Q299" s="1">
        <v>3.5000000000000003E-2</v>
      </c>
      <c r="R299" s="1" t="s">
        <v>44</v>
      </c>
      <c r="S299" s="30" t="s">
        <v>293</v>
      </c>
      <c r="T299" s="31" t="s">
        <v>417</v>
      </c>
      <c r="U299" s="1"/>
      <c r="V299" s="1">
        <v>3000</v>
      </c>
      <c r="W299" s="1" t="s">
        <v>418</v>
      </c>
      <c r="X299" s="32" t="s">
        <v>419</v>
      </c>
      <c r="Y299" s="1" t="s">
        <v>420</v>
      </c>
      <c r="Z299" s="2" t="s">
        <v>765</v>
      </c>
      <c r="AA299" s="1"/>
      <c r="AB299" s="1"/>
      <c r="AC299" s="1">
        <v>6000</v>
      </c>
      <c r="AD299" s="1"/>
      <c r="AE299" s="1"/>
      <c r="AF299" s="1"/>
      <c r="AG299" s="1"/>
      <c r="AH299" s="1"/>
      <c r="AI299" s="1"/>
      <c r="AJ299" s="1"/>
      <c r="AK299" s="1"/>
      <c r="AL299" s="1"/>
      <c r="AM299" s="1"/>
      <c r="AN299" s="1"/>
      <c r="AO299" s="1"/>
      <c r="AP299" s="1"/>
      <c r="AQ299" s="1"/>
      <c r="AR299" s="1"/>
      <c r="AS299" s="1"/>
      <c r="AT299" s="1"/>
      <c r="AU299" s="1"/>
      <c r="AV299" s="1">
        <f>SUM($AT299,Z299:$AA299)-SUM($AV$5:AV$5)*$J299-SUM($AV$6:AV$6)*$K299</f>
        <v>0</v>
      </c>
      <c r="AW299" s="1">
        <f>SUM($AT299,$AA299:AA299)-SUM($AV$5:AW$5)*$J299-SUM($AV$6:AW$6)*$K299</f>
        <v>0</v>
      </c>
      <c r="AX299" s="1">
        <f>SUM($AT299,$AA299:AB299)-SUM($AV$5:AX$5)*$J299-SUM($AV$6:AX$6)*$K299</f>
        <v>0</v>
      </c>
      <c r="AY299" s="1">
        <f>SUM($AT299,$AA299:AC299)-SUM($AV$5:AY$5)*$J299-SUM($AV$6:AY$6)*$K299</f>
        <v>6000</v>
      </c>
      <c r="AZ299" s="1">
        <f>SUM($AT299,$AA299:AD299)-SUM($AV$5:AZ$5)*$J299-SUM($AV$6:AZ$6)*$K299</f>
        <v>5760</v>
      </c>
      <c r="BA299" s="1">
        <f>SUM($AT299,$AA299:AE299)-SUM($AV$5:BA$5)*$J299-SUM($AV$6:BA$6)*$K299</f>
        <v>5520</v>
      </c>
      <c r="BB299" s="1">
        <f>SUM($AT299,$AA299:AF299)-SUM($AV$5:BB$5)*$J299-SUM($AV$6:BB$6)*$K299</f>
        <v>5280</v>
      </c>
      <c r="BC299" s="1">
        <f>SUM($AT299,$AA299:AG299)-SUM($AV$5:BC$5)*$J299-SUM($AV$6:BC$6)*$K299</f>
        <v>5040</v>
      </c>
      <c r="BD299" s="1">
        <f>SUM($AT299,$AA299:AH299)-SUM($AV$5:BD$5)*$J299-SUM($AV$6:BD$6)*$K299</f>
        <v>4800</v>
      </c>
      <c r="BE299" s="1">
        <f>SUM($AT299,$AA299:AI299)-SUM($AV$5:BE$5)*$J299-SUM($AV$6:BE$6)*$K299</f>
        <v>4560</v>
      </c>
      <c r="BF299" s="1">
        <f>SUM($AT299,$AA299:AJ299)-SUM($AV$5:BF$5)*$J299-SUM($AV$6:BF$6)*$K299</f>
        <v>4320</v>
      </c>
      <c r="BG299" s="1">
        <f>SUM($AT299,$AA299:AK299)-SUM($AV$5:BG$5)*$J299-SUM($AV$6:BG$6)*$K299</f>
        <v>4080</v>
      </c>
      <c r="BH299" s="1">
        <f>SUM($AT299,$AA299:AL299)-SUM($AV$5:BH$5)*$J299-SUM($AV$6:BH$6)*$K299</f>
        <v>3840</v>
      </c>
      <c r="BI299" s="1">
        <f>SUM($AT299,$AA299:AM299)-SUM($AV$5:BI$5)*$J299-SUM($AV$6:BI$6)*$K299</f>
        <v>3600</v>
      </c>
      <c r="BJ299" s="1">
        <f>SUM($AT299,$AA299:AN299)-SUM($AV$5:BJ$5)*$J299-SUM($AV$6:BJ$6)*$K299</f>
        <v>3360</v>
      </c>
      <c r="BK299" s="1">
        <f>SUM($AT299,$AA299:AO299)-SUM($AV$5:BK$5)*$J299-SUM($AV$6:BK$6)*$K299</f>
        <v>3120</v>
      </c>
      <c r="BL299" s="1">
        <f>SUM($AT299,$AA299:AP299)-SUM($AV$5:BL$5)*$J299-SUM($AV$6:BL$6)*$K299</f>
        <v>2880</v>
      </c>
      <c r="BM299" s="1">
        <f>SUM($AT299,$AA299:AQ299)-SUM($AV$5:BM$5)*$J299-SUM($AV$6:BM$6)*$K299</f>
        <v>2640</v>
      </c>
      <c r="BN299" s="1">
        <f>SUM($AT299,$AA299:AR299)-SUM($AV$5:BN$5)*$J299-SUM($AV$6:BN$6)*$K299</f>
        <v>2508</v>
      </c>
    </row>
    <row r="300" spans="1:66">
      <c r="A300" s="1">
        <v>346</v>
      </c>
      <c r="B300" s="28" t="s">
        <v>936</v>
      </c>
      <c r="C300" s="1" t="s">
        <v>40</v>
      </c>
      <c r="D300" s="2">
        <v>400280614</v>
      </c>
      <c r="E300" s="3" t="s">
        <v>937</v>
      </c>
      <c r="F300" s="1">
        <v>400481611</v>
      </c>
      <c r="G300" s="1" t="s">
        <v>42</v>
      </c>
      <c r="H300" s="1">
        <v>2</v>
      </c>
      <c r="I300" s="1">
        <v>2</v>
      </c>
      <c r="J300" s="1">
        <v>2</v>
      </c>
      <c r="K300" s="1">
        <v>0</v>
      </c>
      <c r="L300" s="1">
        <v>0</v>
      </c>
      <c r="M300" s="1">
        <f t="shared" si="12"/>
        <v>1164</v>
      </c>
      <c r="N300" s="1">
        <f t="shared" si="13"/>
        <v>1164</v>
      </c>
      <c r="O300" s="2" t="s">
        <v>765</v>
      </c>
      <c r="P300" s="1"/>
      <c r="Q300" s="1">
        <v>9.4000000000000004E-3</v>
      </c>
      <c r="R300" s="1" t="s">
        <v>44</v>
      </c>
      <c r="S300" s="30" t="s">
        <v>91</v>
      </c>
      <c r="T300" s="31" t="s">
        <v>417</v>
      </c>
      <c r="U300" s="1"/>
      <c r="V300" s="1">
        <v>3000</v>
      </c>
      <c r="W300" s="1" t="s">
        <v>418</v>
      </c>
      <c r="X300" s="32" t="s">
        <v>419</v>
      </c>
      <c r="Y300" s="1" t="s">
        <v>420</v>
      </c>
      <c r="Z300" s="2" t="s">
        <v>765</v>
      </c>
      <c r="AA300" s="1"/>
      <c r="AB300" s="1"/>
      <c r="AC300" s="1"/>
      <c r="AD300" s="1"/>
      <c r="AE300" s="1"/>
      <c r="AF300" s="1"/>
      <c r="AG300" s="1"/>
      <c r="AH300" s="1"/>
      <c r="AI300" s="1"/>
      <c r="AJ300" s="1"/>
      <c r="AK300" s="1"/>
      <c r="AL300" s="1"/>
      <c r="AM300" s="1"/>
      <c r="AN300" s="1"/>
      <c r="AO300" s="1"/>
      <c r="AP300" s="1"/>
      <c r="AQ300" s="1"/>
      <c r="AR300" s="1"/>
      <c r="AS300" s="1"/>
      <c r="AT300" s="1"/>
      <c r="AU300" s="1"/>
      <c r="AV300" s="1">
        <f>SUM($AT300,Z300:$AA300)-SUM($AV$5:AV$5)*$J300-SUM($AV$6:AV$6)*$K300</f>
        <v>0</v>
      </c>
      <c r="AW300" s="1">
        <f>SUM($AT300,$AA300:AA300)-SUM($AV$5:AW$5)*$J300-SUM($AV$6:AW$6)*$K300</f>
        <v>0</v>
      </c>
      <c r="AX300" s="1">
        <f>SUM($AT300,$AA300:AB300)-SUM($AV$5:AX$5)*$J300-SUM($AV$6:AX$6)*$K300</f>
        <v>0</v>
      </c>
      <c r="AY300" s="1">
        <f>SUM($AT300,$AA300:AC300)-SUM($AV$5:AY$5)*$J300-SUM($AV$6:AY$6)*$K300</f>
        <v>0</v>
      </c>
      <c r="AZ300" s="1">
        <f>SUM($AT300,$AA300:AD300)-SUM($AV$5:AZ$5)*$J300-SUM($AV$6:AZ$6)*$K300</f>
        <v>-80</v>
      </c>
      <c r="BA300" s="1">
        <f>SUM($AT300,$AA300:AE300)-SUM($AV$5:BA$5)*$J300-SUM($AV$6:BA$6)*$K300</f>
        <v>-160</v>
      </c>
      <c r="BB300" s="1">
        <f>SUM($AT300,$AA300:AF300)-SUM($AV$5:BB$5)*$J300-SUM($AV$6:BB$6)*$K300</f>
        <v>-240</v>
      </c>
      <c r="BC300" s="1">
        <f>SUM($AT300,$AA300:AG300)-SUM($AV$5:BC$5)*$J300-SUM($AV$6:BC$6)*$K300</f>
        <v>-320</v>
      </c>
      <c r="BD300" s="1">
        <f>SUM($AT300,$AA300:AH300)-SUM($AV$5:BD$5)*$J300-SUM($AV$6:BD$6)*$K300</f>
        <v>-400</v>
      </c>
      <c r="BE300" s="1">
        <f>SUM($AT300,$AA300:AI300)-SUM($AV$5:BE$5)*$J300-SUM($AV$6:BE$6)*$K300</f>
        <v>-480</v>
      </c>
      <c r="BF300" s="1">
        <f>SUM($AT300,$AA300:AJ300)-SUM($AV$5:BF$5)*$J300-SUM($AV$6:BF$6)*$K300</f>
        <v>-560</v>
      </c>
      <c r="BG300" s="1">
        <f>SUM($AT300,$AA300:AK300)-SUM($AV$5:BG$5)*$J300-SUM($AV$6:BG$6)*$K300</f>
        <v>-640</v>
      </c>
      <c r="BH300" s="1">
        <f>SUM($AT300,$AA300:AL300)-SUM($AV$5:BH$5)*$J300-SUM($AV$6:BH$6)*$K300</f>
        <v>-720</v>
      </c>
      <c r="BI300" s="1">
        <f>SUM($AT300,$AA300:AM300)-SUM($AV$5:BI$5)*$J300-SUM($AV$6:BI$6)*$K300</f>
        <v>-800</v>
      </c>
      <c r="BJ300" s="1">
        <f>SUM($AT300,$AA300:AN300)-SUM($AV$5:BJ$5)*$J300-SUM($AV$6:BJ$6)*$K300</f>
        <v>-880</v>
      </c>
      <c r="BK300" s="1">
        <f>SUM($AT300,$AA300:AO300)-SUM($AV$5:BK$5)*$J300-SUM($AV$6:BK$6)*$K300</f>
        <v>-960</v>
      </c>
      <c r="BL300" s="1">
        <f>SUM($AT300,$AA300:AP300)-SUM($AV$5:BL$5)*$J300-SUM($AV$6:BL$6)*$K300</f>
        <v>-1040</v>
      </c>
      <c r="BM300" s="1">
        <f>SUM($AT300,$AA300:AQ300)-SUM($AV$5:BM$5)*$J300-SUM($AV$6:BM$6)*$K300</f>
        <v>-1120</v>
      </c>
      <c r="BN300" s="1">
        <f>SUM($AT300,$AA300:AR300)-SUM($AV$5:BN$5)*$J300-SUM($AV$6:BN$6)*$K300</f>
        <v>-1164</v>
      </c>
    </row>
    <row r="301" spans="1:66">
      <c r="A301" s="1">
        <v>347</v>
      </c>
      <c r="B301" s="28" t="s">
        <v>938</v>
      </c>
      <c r="C301" s="1" t="s">
        <v>40</v>
      </c>
      <c r="D301" s="2">
        <v>401347652</v>
      </c>
      <c r="E301" s="3" t="s">
        <v>939</v>
      </c>
      <c r="F301" s="1">
        <v>401355640</v>
      </c>
      <c r="G301" s="1" t="s">
        <v>42</v>
      </c>
      <c r="H301" s="1">
        <v>2</v>
      </c>
      <c r="I301" s="1">
        <v>48</v>
      </c>
      <c r="J301" s="1">
        <v>48</v>
      </c>
      <c r="K301" s="1">
        <v>0</v>
      </c>
      <c r="L301" s="1">
        <v>0</v>
      </c>
      <c r="M301" s="1">
        <f t="shared" si="12"/>
        <v>27936</v>
      </c>
      <c r="N301" s="1">
        <f t="shared" si="13"/>
        <v>27936</v>
      </c>
      <c r="O301" s="2" t="s">
        <v>940</v>
      </c>
      <c r="P301" s="1"/>
      <c r="Q301" s="1">
        <v>3.48</v>
      </c>
      <c r="R301" s="1" t="s">
        <v>44</v>
      </c>
      <c r="S301" s="30" t="s">
        <v>941</v>
      </c>
      <c r="T301" s="31" t="s">
        <v>369</v>
      </c>
      <c r="U301" s="1"/>
      <c r="V301" s="1">
        <v>1000</v>
      </c>
      <c r="W301" s="1" t="s">
        <v>370</v>
      </c>
      <c r="X301" s="32" t="s">
        <v>371</v>
      </c>
      <c r="Y301" s="1" t="s">
        <v>372</v>
      </c>
      <c r="Z301" s="2" t="s">
        <v>940</v>
      </c>
      <c r="AA301" s="1"/>
      <c r="AB301" s="1"/>
      <c r="AC301" s="1"/>
      <c r="AD301" s="1"/>
      <c r="AE301" s="1"/>
      <c r="AF301" s="1"/>
      <c r="AG301" s="1"/>
      <c r="AH301" s="1"/>
      <c r="AI301" s="1"/>
      <c r="AJ301" s="1"/>
      <c r="AK301" s="1"/>
      <c r="AL301" s="1"/>
      <c r="AM301" s="1"/>
      <c r="AN301" s="1"/>
      <c r="AO301" s="1"/>
      <c r="AP301" s="1"/>
      <c r="AQ301" s="1"/>
      <c r="AR301" s="1"/>
      <c r="AS301" s="1"/>
      <c r="AT301" s="1"/>
      <c r="AU301" s="1"/>
      <c r="AV301" s="1">
        <f>SUM($AT301,Z301:$AA301)-SUM($AV$5:AV$5)*$J301-SUM($AV$6:AV$6)*$K301</f>
        <v>0</v>
      </c>
      <c r="AW301" s="1">
        <f>SUM($AT301,$AA301:AA301)-SUM($AV$5:AW$5)*$J301-SUM($AV$6:AW$6)*$K301</f>
        <v>0</v>
      </c>
      <c r="AX301" s="1">
        <f>SUM($AT301,$AA301:AB301)-SUM($AV$5:AX$5)*$J301-SUM($AV$6:AX$6)*$K301</f>
        <v>0</v>
      </c>
      <c r="AY301" s="1">
        <f>SUM($AT301,$AA301:AC301)-SUM($AV$5:AY$5)*$J301-SUM($AV$6:AY$6)*$K301</f>
        <v>0</v>
      </c>
      <c r="AZ301" s="1">
        <f>SUM($AT301,$AA301:AD301)-SUM($AV$5:AZ$5)*$J301-SUM($AV$6:AZ$6)*$K301</f>
        <v>-1920</v>
      </c>
      <c r="BA301" s="1">
        <f>SUM($AT301,$AA301:AE301)-SUM($AV$5:BA$5)*$J301-SUM($AV$6:BA$6)*$K301</f>
        <v>-3840</v>
      </c>
      <c r="BB301" s="1">
        <f>SUM($AT301,$AA301:AF301)-SUM($AV$5:BB$5)*$J301-SUM($AV$6:BB$6)*$K301</f>
        <v>-5760</v>
      </c>
      <c r="BC301" s="1">
        <f>SUM($AT301,$AA301:AG301)-SUM($AV$5:BC$5)*$J301-SUM($AV$6:BC$6)*$K301</f>
        <v>-7680</v>
      </c>
      <c r="BD301" s="1">
        <f>SUM($AT301,$AA301:AH301)-SUM($AV$5:BD$5)*$J301-SUM($AV$6:BD$6)*$K301</f>
        <v>-9600</v>
      </c>
      <c r="BE301" s="1">
        <f>SUM($AT301,$AA301:AI301)-SUM($AV$5:BE$5)*$J301-SUM($AV$6:BE$6)*$K301</f>
        <v>-11520</v>
      </c>
      <c r="BF301" s="1">
        <f>SUM($AT301,$AA301:AJ301)-SUM($AV$5:BF$5)*$J301-SUM($AV$6:BF$6)*$K301</f>
        <v>-13440</v>
      </c>
      <c r="BG301" s="1">
        <f>SUM($AT301,$AA301:AK301)-SUM($AV$5:BG$5)*$J301-SUM($AV$6:BG$6)*$K301</f>
        <v>-15360</v>
      </c>
      <c r="BH301" s="1">
        <f>SUM($AT301,$AA301:AL301)-SUM($AV$5:BH$5)*$J301-SUM($AV$6:BH$6)*$K301</f>
        <v>-17280</v>
      </c>
      <c r="BI301" s="1">
        <f>SUM($AT301,$AA301:AM301)-SUM($AV$5:BI$5)*$J301-SUM($AV$6:BI$6)*$K301</f>
        <v>-19200</v>
      </c>
      <c r="BJ301" s="1">
        <f>SUM($AT301,$AA301:AN301)-SUM($AV$5:BJ$5)*$J301-SUM($AV$6:BJ$6)*$K301</f>
        <v>-21120</v>
      </c>
      <c r="BK301" s="1">
        <f>SUM($AT301,$AA301:AO301)-SUM($AV$5:BK$5)*$J301-SUM($AV$6:BK$6)*$K301</f>
        <v>-23040</v>
      </c>
      <c r="BL301" s="1">
        <f>SUM($AT301,$AA301:AP301)-SUM($AV$5:BL$5)*$J301-SUM($AV$6:BL$6)*$K301</f>
        <v>-24960</v>
      </c>
      <c r="BM301" s="1">
        <f>SUM($AT301,$AA301:AQ301)-SUM($AV$5:BM$5)*$J301-SUM($AV$6:BM$6)*$K301</f>
        <v>-26880</v>
      </c>
      <c r="BN301" s="1">
        <f>SUM($AT301,$AA301:AR301)-SUM($AV$5:BN$5)*$J301-SUM($AV$6:BN$6)*$K301</f>
        <v>-27936</v>
      </c>
    </row>
    <row r="302" spans="1:66">
      <c r="A302" s="1">
        <v>359</v>
      </c>
      <c r="B302" s="45" t="s">
        <v>942</v>
      </c>
      <c r="C302" s="1" t="s">
        <v>40</v>
      </c>
      <c r="D302" s="2">
        <v>414347058</v>
      </c>
      <c r="E302" s="3" t="s">
        <v>943</v>
      </c>
      <c r="F302" s="1"/>
      <c r="G302" s="1" t="s">
        <v>42</v>
      </c>
      <c r="H302" s="1">
        <v>1</v>
      </c>
      <c r="I302" s="1">
        <v>1</v>
      </c>
      <c r="J302" s="1">
        <v>1</v>
      </c>
      <c r="K302" s="1">
        <v>0</v>
      </c>
      <c r="L302" s="1">
        <v>0</v>
      </c>
      <c r="M302" s="1">
        <f t="shared" si="12"/>
        <v>582</v>
      </c>
      <c r="N302" s="1">
        <f t="shared" si="13"/>
        <v>582</v>
      </c>
      <c r="O302" s="2" t="s">
        <v>944</v>
      </c>
      <c r="P302" s="1"/>
      <c r="Q302" s="1">
        <v>4.4000000000000004</v>
      </c>
      <c r="R302" s="1" t="s">
        <v>44</v>
      </c>
      <c r="S302" s="30" t="s">
        <v>945</v>
      </c>
      <c r="T302" s="31" t="s">
        <v>417</v>
      </c>
      <c r="U302" s="1"/>
      <c r="V302" s="1">
        <v>1440</v>
      </c>
      <c r="W302" s="1" t="s">
        <v>418</v>
      </c>
      <c r="X302" s="32" t="s">
        <v>419</v>
      </c>
      <c r="Y302" s="1" t="s">
        <v>420</v>
      </c>
      <c r="Z302" s="2" t="s">
        <v>944</v>
      </c>
      <c r="AA302" s="1"/>
      <c r="AB302" s="1"/>
      <c r="AC302" s="1"/>
      <c r="AD302" s="1"/>
      <c r="AE302" s="1"/>
      <c r="AF302" s="1"/>
      <c r="AG302" s="1"/>
      <c r="AH302" s="1"/>
      <c r="AI302" s="1"/>
      <c r="AJ302" s="1"/>
      <c r="AK302" s="1"/>
      <c r="AL302" s="1"/>
      <c r="AM302" s="1"/>
      <c r="AN302" s="1"/>
      <c r="AO302" s="1"/>
      <c r="AP302" s="1"/>
      <c r="AQ302" s="1"/>
      <c r="AR302" s="1"/>
      <c r="AS302" s="1"/>
      <c r="AT302" s="1"/>
      <c r="AU302" s="1"/>
      <c r="AV302" s="1">
        <f>SUM($AT302,Z302:$AA302)-SUM($AV$5:AV$5)*$J302-SUM($AV$6:AV$6)*$K302</f>
        <v>0</v>
      </c>
      <c r="AW302" s="1">
        <f>SUM($AT302,$AA302:AA302)-SUM($AV$5:AW$5)*$J302-SUM($AV$6:AW$6)*$K302</f>
        <v>0</v>
      </c>
      <c r="AX302" s="1">
        <f>SUM($AT302,$AA302:AB302)-SUM($AV$5:AX$5)*$J302-SUM($AV$6:AX$6)*$K302</f>
        <v>0</v>
      </c>
      <c r="AY302" s="1">
        <f>SUM($AT302,$AA302:AC302)-SUM($AV$5:AY$5)*$J302-SUM($AV$6:AY$6)*$K302</f>
        <v>0</v>
      </c>
      <c r="AZ302" s="1">
        <f>SUM($AT302,$AA302:AD302)-SUM($AV$5:AZ$5)*$J302-SUM($AV$6:AZ$6)*$K302</f>
        <v>-40</v>
      </c>
      <c r="BA302" s="1">
        <f>SUM($AT302,$AA302:AE302)-SUM($AV$5:BA$5)*$J302-SUM($AV$6:BA$6)*$K302</f>
        <v>-80</v>
      </c>
      <c r="BB302" s="1">
        <f>SUM($AT302,$AA302:AF302)-SUM($AV$5:BB$5)*$J302-SUM($AV$6:BB$6)*$K302</f>
        <v>-120</v>
      </c>
      <c r="BC302" s="1">
        <f>SUM($AT302,$AA302:AG302)-SUM($AV$5:BC$5)*$J302-SUM($AV$6:BC$6)*$K302</f>
        <v>-160</v>
      </c>
      <c r="BD302" s="1">
        <f>SUM($AT302,$AA302:AH302)-SUM($AV$5:BD$5)*$J302-SUM($AV$6:BD$6)*$K302</f>
        <v>-200</v>
      </c>
      <c r="BE302" s="1">
        <f>SUM($AT302,$AA302:AI302)-SUM($AV$5:BE$5)*$J302-SUM($AV$6:BE$6)*$K302</f>
        <v>-240</v>
      </c>
      <c r="BF302" s="1">
        <f>SUM($AT302,$AA302:AJ302)-SUM($AV$5:BF$5)*$J302-SUM($AV$6:BF$6)*$K302</f>
        <v>-280</v>
      </c>
      <c r="BG302" s="1">
        <f>SUM($AT302,$AA302:AK302)-SUM($AV$5:BG$5)*$J302-SUM($AV$6:BG$6)*$K302</f>
        <v>-320</v>
      </c>
      <c r="BH302" s="1">
        <f>SUM($AT302,$AA302:AL302)-SUM($AV$5:BH$5)*$J302-SUM($AV$6:BH$6)*$K302</f>
        <v>-360</v>
      </c>
      <c r="BI302" s="1">
        <f>SUM($AT302,$AA302:AM302)-SUM($AV$5:BI$5)*$J302-SUM($AV$6:BI$6)*$K302</f>
        <v>-400</v>
      </c>
      <c r="BJ302" s="1">
        <f>SUM($AT302,$AA302:AN302)-SUM($AV$5:BJ$5)*$J302-SUM($AV$6:BJ$6)*$K302</f>
        <v>-440</v>
      </c>
      <c r="BK302" s="1">
        <f>SUM($AT302,$AA302:AO302)-SUM($AV$5:BK$5)*$J302-SUM($AV$6:BK$6)*$K302</f>
        <v>-480</v>
      </c>
      <c r="BL302" s="1">
        <f>SUM($AT302,$AA302:AP302)-SUM($AV$5:BL$5)*$J302-SUM($AV$6:BL$6)*$K302</f>
        <v>-520</v>
      </c>
      <c r="BM302" s="1">
        <f>SUM($AT302,$AA302:AQ302)-SUM($AV$5:BM$5)*$J302-SUM($AV$6:BM$6)*$K302</f>
        <v>-560</v>
      </c>
      <c r="BN302" s="1">
        <f>SUM($AT302,$AA302:AR302)-SUM($AV$5:BN$5)*$J302-SUM($AV$6:BN$6)*$K302</f>
        <v>-582</v>
      </c>
    </row>
    <row r="303" spans="1:66">
      <c r="A303" s="1">
        <v>432</v>
      </c>
      <c r="B303" s="45" t="s">
        <v>946</v>
      </c>
      <c r="C303" s="1" t="s">
        <v>40</v>
      </c>
      <c r="D303" s="2">
        <v>402249034</v>
      </c>
      <c r="E303" s="3" t="s">
        <v>947</v>
      </c>
      <c r="F303" s="1">
        <v>402251923</v>
      </c>
      <c r="G303" s="1" t="s">
        <v>42</v>
      </c>
      <c r="H303" s="1">
        <v>2</v>
      </c>
      <c r="I303" s="1">
        <v>4</v>
      </c>
      <c r="J303" s="1">
        <v>0</v>
      </c>
      <c r="K303" s="1">
        <v>0</v>
      </c>
      <c r="L303" s="1">
        <v>4</v>
      </c>
      <c r="M303" s="1">
        <f t="shared" si="12"/>
        <v>1104</v>
      </c>
      <c r="N303" s="1">
        <f t="shared" si="13"/>
        <v>1104</v>
      </c>
      <c r="O303" s="2" t="s">
        <v>826</v>
      </c>
      <c r="P303" s="1"/>
      <c r="Q303" s="1">
        <v>25.65</v>
      </c>
      <c r="R303" s="1" t="s">
        <v>44</v>
      </c>
      <c r="S303" s="30" t="s">
        <v>145</v>
      </c>
      <c r="T303" s="31" t="s">
        <v>826</v>
      </c>
      <c r="U303" s="1"/>
      <c r="V303" s="1">
        <v>500</v>
      </c>
      <c r="W303" s="1" t="s">
        <v>827</v>
      </c>
      <c r="X303" s="33" t="s">
        <v>828</v>
      </c>
      <c r="Y303" s="1" t="s">
        <v>829</v>
      </c>
      <c r="Z303" s="2" t="s">
        <v>826</v>
      </c>
      <c r="AA303" s="1"/>
      <c r="AB303" s="1"/>
      <c r="AC303" s="1"/>
      <c r="AD303" s="1"/>
      <c r="AE303" s="1"/>
      <c r="AF303" s="1"/>
      <c r="AG303" s="1"/>
      <c r="AH303" s="1"/>
      <c r="AI303" s="1"/>
      <c r="AJ303" s="1"/>
      <c r="AK303" s="1"/>
      <c r="AL303" s="1"/>
      <c r="AM303" s="1"/>
      <c r="AN303" s="1"/>
      <c r="AO303" s="1"/>
      <c r="AP303" s="1"/>
      <c r="AQ303" s="1"/>
      <c r="AR303" s="1"/>
      <c r="AS303" s="1"/>
      <c r="AT303" s="1"/>
      <c r="AU303" s="1"/>
      <c r="AV303" s="1">
        <f>SUM($AT303,Z303:$AA303)-SUM($AV$5:AV$5)*$J303-SUM($AV$6:AV$6)*$K303</f>
        <v>0</v>
      </c>
      <c r="AW303" s="1">
        <f>SUM($AT303,$AA303:AA303)-SUM($AV$5:AW$5)*$J303-SUM($AV$6:AW$6)*$K303</f>
        <v>0</v>
      </c>
      <c r="AX303" s="1">
        <f>SUM($AT303,$AA303:AB303)-SUM($AV$5:AX$5)*$J303-SUM($AV$6:AX$6)*$K303</f>
        <v>0</v>
      </c>
      <c r="AY303" s="1">
        <f>SUM($AT303,$AA303:AC303)-SUM($AV$5:AY$5)*$J303-SUM($AV$6:AY$6)*$K303</f>
        <v>0</v>
      </c>
      <c r="AZ303" s="1">
        <f>SUM($AT303,$AA303:AD303)-SUM($AV$5:AZ$5)*$J303-SUM($AV$6:AZ$6)*$K303</f>
        <v>0</v>
      </c>
      <c r="BA303" s="1">
        <f>SUM($AT303,$AA303:AE303)-SUM($AV$5:BA$5)*$J303-SUM($AV$6:BA$6)*$K303</f>
        <v>0</v>
      </c>
      <c r="BB303" s="1">
        <f>SUM($AT303,$AA303:AF303)-SUM($AV$5:BB$5)*$J303-SUM($AV$6:BB$6)*$K303</f>
        <v>0</v>
      </c>
      <c r="BC303" s="1">
        <f>SUM($AT303,$AA303:AG303)-SUM($AV$5:BC$5)*$J303-SUM($AV$6:BC$6)*$K303</f>
        <v>0</v>
      </c>
      <c r="BD303" s="1">
        <f>SUM($AT303,$AA303:AH303)-SUM($AV$5:BD$5)*$J303-SUM($AV$6:BD$6)*$K303</f>
        <v>0</v>
      </c>
      <c r="BE303" s="1">
        <f>SUM($AT303,$AA303:AI303)-SUM($AV$5:BE$5)*$J303-SUM($AV$6:BE$6)*$K303</f>
        <v>0</v>
      </c>
      <c r="BF303" s="1">
        <f>SUM($AT303,$AA303:AJ303)-SUM($AV$5:BF$5)*$J303-SUM($AV$6:BF$6)*$K303</f>
        <v>0</v>
      </c>
      <c r="BG303" s="1">
        <f>SUM($AT303,$AA303:AK303)-SUM($AV$5:BG$5)*$J303-SUM($AV$6:BG$6)*$K303</f>
        <v>0</v>
      </c>
      <c r="BH303" s="1">
        <f>SUM($AT303,$AA303:AL303)-SUM($AV$5:BH$5)*$J303-SUM($AV$6:BH$6)*$K303</f>
        <v>0</v>
      </c>
      <c r="BI303" s="1">
        <f>SUM($AT303,$AA303:AM303)-SUM($AV$5:BI$5)*$J303-SUM($AV$6:BI$6)*$K303</f>
        <v>0</v>
      </c>
      <c r="BJ303" s="1">
        <f>SUM($AT303,$AA303:AN303)-SUM($AV$5:BJ$5)*$J303-SUM($AV$6:BJ$6)*$K303</f>
        <v>0</v>
      </c>
      <c r="BK303" s="1">
        <f>SUM($AT303,$AA303:AO303)-SUM($AV$5:BK$5)*$J303-SUM($AV$6:BK$6)*$K303</f>
        <v>0</v>
      </c>
      <c r="BL303" s="1">
        <f>SUM($AT303,$AA303:AP303)-SUM($AV$5:BL$5)*$J303-SUM($AV$6:BL$6)*$K303</f>
        <v>0</v>
      </c>
      <c r="BM303" s="1">
        <f>SUM($AT303,$AA303:AQ303)-SUM($AV$5:BM$5)*$J303-SUM($AV$6:BM$6)*$K303</f>
        <v>0</v>
      </c>
      <c r="BN303" s="1">
        <f>SUM($AT303,$AA303:AR303)-SUM($AV$5:BN$5)*$J303-SUM($AV$6:BN$6)*$K303</f>
        <v>0</v>
      </c>
    </row>
    <row r="304" spans="1:66">
      <c r="A304" s="1">
        <v>360</v>
      </c>
      <c r="B304" s="45" t="s">
        <v>948</v>
      </c>
      <c r="C304" s="1" t="s">
        <v>40</v>
      </c>
      <c r="D304" s="2" t="s">
        <v>949</v>
      </c>
      <c r="E304" s="3" t="s">
        <v>950</v>
      </c>
      <c r="F304" s="1"/>
      <c r="G304" s="1" t="s">
        <v>42</v>
      </c>
      <c r="H304" s="1">
        <v>2</v>
      </c>
      <c r="I304" s="1">
        <v>4</v>
      </c>
      <c r="J304" s="1">
        <v>4</v>
      </c>
      <c r="K304" s="1">
        <v>0</v>
      </c>
      <c r="L304" s="1">
        <v>0</v>
      </c>
      <c r="M304" s="1">
        <f t="shared" si="12"/>
        <v>2328</v>
      </c>
      <c r="N304" s="1">
        <f t="shared" si="13"/>
        <v>2328</v>
      </c>
      <c r="O304" s="2" t="s">
        <v>951</v>
      </c>
      <c r="P304" s="1"/>
      <c r="Q304" s="1">
        <v>9.51</v>
      </c>
      <c r="R304" s="1" t="s">
        <v>44</v>
      </c>
      <c r="S304" s="30"/>
      <c r="T304" s="31" t="s">
        <v>952</v>
      </c>
      <c r="U304" s="1"/>
      <c r="V304" s="1">
        <v>1000</v>
      </c>
      <c r="W304" s="1" t="s">
        <v>953</v>
      </c>
      <c r="X304" s="32" t="s">
        <v>954</v>
      </c>
      <c r="Y304" s="1" t="s">
        <v>955</v>
      </c>
      <c r="Z304" s="2" t="s">
        <v>951</v>
      </c>
      <c r="AA304" s="1"/>
      <c r="AB304" s="1"/>
      <c r="AC304" s="1"/>
      <c r="AD304" s="1"/>
      <c r="AE304" s="1"/>
      <c r="AF304" s="1"/>
      <c r="AG304" s="1"/>
      <c r="AH304" s="1"/>
      <c r="AI304" s="1"/>
      <c r="AJ304" s="1"/>
      <c r="AK304" s="1"/>
      <c r="AL304" s="1"/>
      <c r="AM304" s="1"/>
      <c r="AN304" s="1"/>
      <c r="AO304" s="1"/>
      <c r="AP304" s="1"/>
      <c r="AQ304" s="1"/>
      <c r="AR304" s="1"/>
      <c r="AS304" s="1"/>
      <c r="AT304" s="1"/>
      <c r="AU304" s="1"/>
      <c r="AV304" s="1">
        <f>SUM($AT304,Z304:$AA304)-SUM($AV$5:AV$5)*$J304-SUM($AV$6:AV$6)*$K304</f>
        <v>0</v>
      </c>
      <c r="AW304" s="1">
        <f>SUM($AT304,$AA304:AA304)-SUM($AV$5:AW$5)*$J304-SUM($AV$6:AW$6)*$K304</f>
        <v>0</v>
      </c>
      <c r="AX304" s="1">
        <f>SUM($AT304,$AA304:AB304)-SUM($AV$5:AX$5)*$J304-SUM($AV$6:AX$6)*$K304</f>
        <v>0</v>
      </c>
      <c r="AY304" s="1">
        <f>SUM($AT304,$AA304:AC304)-SUM($AV$5:AY$5)*$J304-SUM($AV$6:AY$6)*$K304</f>
        <v>0</v>
      </c>
      <c r="AZ304" s="1">
        <f>SUM($AT304,$AA304:AD304)-SUM($AV$5:AZ$5)*$J304-SUM($AV$6:AZ$6)*$K304</f>
        <v>-160</v>
      </c>
      <c r="BA304" s="1">
        <f>SUM($AT304,$AA304:AE304)-SUM($AV$5:BA$5)*$J304-SUM($AV$6:BA$6)*$K304</f>
        <v>-320</v>
      </c>
      <c r="BB304" s="1">
        <f>SUM($AT304,$AA304:AF304)-SUM($AV$5:BB$5)*$J304-SUM($AV$6:BB$6)*$K304</f>
        <v>-480</v>
      </c>
      <c r="BC304" s="1">
        <f>SUM($AT304,$AA304:AG304)-SUM($AV$5:BC$5)*$J304-SUM($AV$6:BC$6)*$K304</f>
        <v>-640</v>
      </c>
      <c r="BD304" s="1">
        <f>SUM($AT304,$AA304:AH304)-SUM($AV$5:BD$5)*$J304-SUM($AV$6:BD$6)*$K304</f>
        <v>-800</v>
      </c>
      <c r="BE304" s="1">
        <f>SUM($AT304,$AA304:AI304)-SUM($AV$5:BE$5)*$J304-SUM($AV$6:BE$6)*$K304</f>
        <v>-960</v>
      </c>
      <c r="BF304" s="1">
        <f>SUM($AT304,$AA304:AJ304)-SUM($AV$5:BF$5)*$J304-SUM($AV$6:BF$6)*$K304</f>
        <v>-1120</v>
      </c>
      <c r="BG304" s="1">
        <f>SUM($AT304,$AA304:AK304)-SUM($AV$5:BG$5)*$J304-SUM($AV$6:BG$6)*$K304</f>
        <v>-1280</v>
      </c>
      <c r="BH304" s="1">
        <f>SUM($AT304,$AA304:AL304)-SUM($AV$5:BH$5)*$J304-SUM($AV$6:BH$6)*$K304</f>
        <v>-1440</v>
      </c>
      <c r="BI304" s="1">
        <f>SUM($AT304,$AA304:AM304)-SUM($AV$5:BI$5)*$J304-SUM($AV$6:BI$6)*$K304</f>
        <v>-1600</v>
      </c>
      <c r="BJ304" s="1">
        <f>SUM($AT304,$AA304:AN304)-SUM($AV$5:BJ$5)*$J304-SUM($AV$6:BJ$6)*$K304</f>
        <v>-1760</v>
      </c>
      <c r="BK304" s="1">
        <f>SUM($AT304,$AA304:AO304)-SUM($AV$5:BK$5)*$J304-SUM($AV$6:BK$6)*$K304</f>
        <v>-1920</v>
      </c>
      <c r="BL304" s="1">
        <f>SUM($AT304,$AA304:AP304)-SUM($AV$5:BL$5)*$J304-SUM($AV$6:BL$6)*$K304</f>
        <v>-2080</v>
      </c>
      <c r="BM304" s="1">
        <f>SUM($AT304,$AA304:AQ304)-SUM($AV$5:BM$5)*$J304-SUM($AV$6:BM$6)*$K304</f>
        <v>-2240</v>
      </c>
      <c r="BN304" s="1">
        <f>SUM($AT304,$AA304:AR304)-SUM($AV$5:BN$5)*$J304-SUM($AV$6:BN$6)*$K304</f>
        <v>-2328</v>
      </c>
    </row>
    <row r="305" spans="1:66">
      <c r="A305" s="1">
        <v>362</v>
      </c>
      <c r="B305" s="28" t="s">
        <v>956</v>
      </c>
      <c r="C305" s="1" t="s">
        <v>40</v>
      </c>
      <c r="D305" s="2">
        <v>400807358</v>
      </c>
      <c r="E305" s="3" t="s">
        <v>957</v>
      </c>
      <c r="F305" s="1"/>
      <c r="G305" s="1" t="s">
        <v>42</v>
      </c>
      <c r="H305" s="1">
        <v>2</v>
      </c>
      <c r="I305" s="1">
        <v>2</v>
      </c>
      <c r="J305" s="1">
        <v>2</v>
      </c>
      <c r="K305" s="1">
        <v>0</v>
      </c>
      <c r="L305" s="1">
        <v>0</v>
      </c>
      <c r="M305" s="1">
        <f t="shared" si="12"/>
        <v>1164</v>
      </c>
      <c r="N305" s="1">
        <f t="shared" si="13"/>
        <v>1164</v>
      </c>
      <c r="O305" s="2" t="s">
        <v>958</v>
      </c>
      <c r="P305" s="1"/>
      <c r="Q305" s="1">
        <v>9.4000000000000004E-3</v>
      </c>
      <c r="R305" s="1" t="s">
        <v>44</v>
      </c>
      <c r="S305" s="30" t="s">
        <v>324</v>
      </c>
      <c r="T305" s="31" t="s">
        <v>417</v>
      </c>
      <c r="U305" s="1"/>
      <c r="V305" s="1">
        <v>2500</v>
      </c>
      <c r="W305" s="1" t="s">
        <v>418</v>
      </c>
      <c r="X305" s="32" t="s">
        <v>419</v>
      </c>
      <c r="Y305" s="1" t="s">
        <v>420</v>
      </c>
      <c r="Z305" s="2" t="s">
        <v>958</v>
      </c>
      <c r="AA305" s="1"/>
      <c r="AB305" s="1"/>
      <c r="AC305" s="1"/>
      <c r="AD305" s="1"/>
      <c r="AE305" s="1"/>
      <c r="AF305" s="1"/>
      <c r="AG305" s="1"/>
      <c r="AH305" s="1"/>
      <c r="AI305" s="1"/>
      <c r="AJ305" s="1"/>
      <c r="AK305" s="1"/>
      <c r="AL305" s="1"/>
      <c r="AM305" s="1"/>
      <c r="AN305" s="1"/>
      <c r="AO305" s="1"/>
      <c r="AP305" s="1"/>
      <c r="AQ305" s="1"/>
      <c r="AR305" s="1"/>
      <c r="AS305" s="1"/>
      <c r="AT305" s="1"/>
      <c r="AU305" s="1"/>
      <c r="AV305" s="1">
        <f>SUM($AT305,Z305:$AA305)-SUM($AV$5:AV$5)*$J305-SUM($AV$6:AV$6)*$K305</f>
        <v>0</v>
      </c>
      <c r="AW305" s="1">
        <f>SUM($AT305,$AA305:AA305)-SUM($AV$5:AW$5)*$J305-SUM($AV$6:AW$6)*$K305</f>
        <v>0</v>
      </c>
      <c r="AX305" s="1">
        <f>SUM($AT305,$AA305:AB305)-SUM($AV$5:AX$5)*$J305-SUM($AV$6:AX$6)*$K305</f>
        <v>0</v>
      </c>
      <c r="AY305" s="1">
        <f>SUM($AT305,$AA305:AC305)-SUM($AV$5:AY$5)*$J305-SUM($AV$6:AY$6)*$K305</f>
        <v>0</v>
      </c>
      <c r="AZ305" s="1">
        <f>SUM($AT305,$AA305:AD305)-SUM($AV$5:AZ$5)*$J305-SUM($AV$6:AZ$6)*$K305</f>
        <v>-80</v>
      </c>
      <c r="BA305" s="1">
        <f>SUM($AT305,$AA305:AE305)-SUM($AV$5:BA$5)*$J305-SUM($AV$6:BA$6)*$K305</f>
        <v>-160</v>
      </c>
      <c r="BB305" s="1">
        <f>SUM($AT305,$AA305:AF305)-SUM($AV$5:BB$5)*$J305-SUM($AV$6:BB$6)*$K305</f>
        <v>-240</v>
      </c>
      <c r="BC305" s="1">
        <f>SUM($AT305,$AA305:AG305)-SUM($AV$5:BC$5)*$J305-SUM($AV$6:BC$6)*$K305</f>
        <v>-320</v>
      </c>
      <c r="BD305" s="1">
        <f>SUM($AT305,$AA305:AH305)-SUM($AV$5:BD$5)*$J305-SUM($AV$6:BD$6)*$K305</f>
        <v>-400</v>
      </c>
      <c r="BE305" s="1">
        <f>SUM($AT305,$AA305:AI305)-SUM($AV$5:BE$5)*$J305-SUM($AV$6:BE$6)*$K305</f>
        <v>-480</v>
      </c>
      <c r="BF305" s="1">
        <f>SUM($AT305,$AA305:AJ305)-SUM($AV$5:BF$5)*$J305-SUM($AV$6:BF$6)*$K305</f>
        <v>-560</v>
      </c>
      <c r="BG305" s="1">
        <f>SUM($AT305,$AA305:AK305)-SUM($AV$5:BG$5)*$J305-SUM($AV$6:BG$6)*$K305</f>
        <v>-640</v>
      </c>
      <c r="BH305" s="1">
        <f>SUM($AT305,$AA305:AL305)-SUM($AV$5:BH$5)*$J305-SUM($AV$6:BH$6)*$K305</f>
        <v>-720</v>
      </c>
      <c r="BI305" s="1">
        <f>SUM($AT305,$AA305:AM305)-SUM($AV$5:BI$5)*$J305-SUM($AV$6:BI$6)*$K305</f>
        <v>-800</v>
      </c>
      <c r="BJ305" s="1">
        <f>SUM($AT305,$AA305:AN305)-SUM($AV$5:BJ$5)*$J305-SUM($AV$6:BJ$6)*$K305</f>
        <v>-880</v>
      </c>
      <c r="BK305" s="1">
        <f>SUM($AT305,$AA305:AO305)-SUM($AV$5:BK$5)*$J305-SUM($AV$6:BK$6)*$K305</f>
        <v>-960</v>
      </c>
      <c r="BL305" s="1">
        <f>SUM($AT305,$AA305:AP305)-SUM($AV$5:BL$5)*$J305-SUM($AV$6:BL$6)*$K305</f>
        <v>-1040</v>
      </c>
      <c r="BM305" s="1">
        <f>SUM($AT305,$AA305:AQ305)-SUM($AV$5:BM$5)*$J305-SUM($AV$6:BM$6)*$K305</f>
        <v>-1120</v>
      </c>
      <c r="BN305" s="1">
        <f>SUM($AT305,$AA305:AR305)-SUM($AV$5:BN$5)*$J305-SUM($AV$6:BN$6)*$K305</f>
        <v>-1164</v>
      </c>
    </row>
    <row r="306" spans="1:66">
      <c r="A306" s="1">
        <v>363</v>
      </c>
      <c r="B306" s="28" t="s">
        <v>959</v>
      </c>
      <c r="C306" s="1" t="s">
        <v>40</v>
      </c>
      <c r="D306" s="2">
        <v>400991029</v>
      </c>
      <c r="E306" s="3" t="s">
        <v>960</v>
      </c>
      <c r="F306" s="1">
        <v>400992074</v>
      </c>
      <c r="G306" s="1" t="s">
        <v>42</v>
      </c>
      <c r="H306" s="1">
        <v>2</v>
      </c>
      <c r="I306" s="1">
        <v>1</v>
      </c>
      <c r="J306" s="1">
        <v>1</v>
      </c>
      <c r="K306" s="1">
        <v>0</v>
      </c>
      <c r="L306" s="1">
        <v>0</v>
      </c>
      <c r="M306" s="1">
        <f t="shared" si="12"/>
        <v>582</v>
      </c>
      <c r="N306" s="1">
        <f t="shared" si="13"/>
        <v>582</v>
      </c>
      <c r="O306" s="2" t="s">
        <v>170</v>
      </c>
      <c r="P306" s="1"/>
      <c r="Q306" s="1">
        <v>2.2400000000000002</v>
      </c>
      <c r="R306" s="1" t="s">
        <v>44</v>
      </c>
      <c r="S306" s="30" t="s">
        <v>961</v>
      </c>
      <c r="T306" s="31" t="s">
        <v>273</v>
      </c>
      <c r="U306" s="1">
        <v>1</v>
      </c>
      <c r="V306" s="1">
        <v>1</v>
      </c>
      <c r="W306" s="1" t="s">
        <v>274</v>
      </c>
      <c r="X306" s="32" t="s">
        <v>275</v>
      </c>
      <c r="Y306" s="1" t="s">
        <v>276</v>
      </c>
      <c r="Z306" s="2" t="s">
        <v>170</v>
      </c>
      <c r="AA306" s="1"/>
      <c r="AB306" s="1"/>
      <c r="AC306" s="1"/>
      <c r="AD306" s="1"/>
      <c r="AE306" s="1"/>
      <c r="AF306" s="1"/>
      <c r="AG306" s="1"/>
      <c r="AH306" s="1"/>
      <c r="AI306" s="1"/>
      <c r="AJ306" s="1"/>
      <c r="AK306" s="1"/>
      <c r="AL306" s="1"/>
      <c r="AM306" s="1"/>
      <c r="AN306" s="1"/>
      <c r="AO306" s="1"/>
      <c r="AP306" s="1"/>
      <c r="AQ306" s="1"/>
      <c r="AR306" s="1"/>
      <c r="AS306" s="1"/>
      <c r="AT306" s="1"/>
      <c r="AU306" s="1"/>
      <c r="AV306" s="1">
        <f>SUM($AT306,Z306:$AA306)-SUM($AV$5:AV$5)*$J306-SUM($AV$6:AV$6)*$K306</f>
        <v>0</v>
      </c>
      <c r="AW306" s="1">
        <f>SUM($AT306,$AA306:AA306)-SUM($AV$5:AW$5)*$J306-SUM($AV$6:AW$6)*$K306</f>
        <v>0</v>
      </c>
      <c r="AX306" s="1">
        <f>SUM($AT306,$AA306:AB306)-SUM($AV$5:AX$5)*$J306-SUM($AV$6:AX$6)*$K306</f>
        <v>0</v>
      </c>
      <c r="AY306" s="1">
        <f>SUM($AT306,$AA306:AC306)-SUM($AV$5:AY$5)*$J306-SUM($AV$6:AY$6)*$K306</f>
        <v>0</v>
      </c>
      <c r="AZ306" s="1">
        <f>SUM($AT306,$AA306:AD306)-SUM($AV$5:AZ$5)*$J306-SUM($AV$6:AZ$6)*$K306</f>
        <v>-40</v>
      </c>
      <c r="BA306" s="1">
        <f>SUM($AT306,$AA306:AE306)-SUM($AV$5:BA$5)*$J306-SUM($AV$6:BA$6)*$K306</f>
        <v>-80</v>
      </c>
      <c r="BB306" s="1">
        <f>SUM($AT306,$AA306:AF306)-SUM($AV$5:BB$5)*$J306-SUM($AV$6:BB$6)*$K306</f>
        <v>-120</v>
      </c>
      <c r="BC306" s="1">
        <f>SUM($AT306,$AA306:AG306)-SUM($AV$5:BC$5)*$J306-SUM($AV$6:BC$6)*$K306</f>
        <v>-160</v>
      </c>
      <c r="BD306" s="1">
        <f>SUM($AT306,$AA306:AH306)-SUM($AV$5:BD$5)*$J306-SUM($AV$6:BD$6)*$K306</f>
        <v>-200</v>
      </c>
      <c r="BE306" s="1">
        <f>SUM($AT306,$AA306:AI306)-SUM($AV$5:BE$5)*$J306-SUM($AV$6:BE$6)*$K306</f>
        <v>-240</v>
      </c>
      <c r="BF306" s="1">
        <f>SUM($AT306,$AA306:AJ306)-SUM($AV$5:BF$5)*$J306-SUM($AV$6:BF$6)*$K306</f>
        <v>-280</v>
      </c>
      <c r="BG306" s="1">
        <f>SUM($AT306,$AA306:AK306)-SUM($AV$5:BG$5)*$J306-SUM($AV$6:BG$6)*$K306</f>
        <v>-320</v>
      </c>
      <c r="BH306" s="1">
        <f>SUM($AT306,$AA306:AL306)-SUM($AV$5:BH$5)*$J306-SUM($AV$6:BH$6)*$K306</f>
        <v>-360</v>
      </c>
      <c r="BI306" s="1">
        <f>SUM($AT306,$AA306:AM306)-SUM($AV$5:BI$5)*$J306-SUM($AV$6:BI$6)*$K306</f>
        <v>-400</v>
      </c>
      <c r="BJ306" s="1">
        <f>SUM($AT306,$AA306:AN306)-SUM($AV$5:BJ$5)*$J306-SUM($AV$6:BJ$6)*$K306</f>
        <v>-440</v>
      </c>
      <c r="BK306" s="1">
        <f>SUM($AT306,$AA306:AO306)-SUM($AV$5:BK$5)*$J306-SUM($AV$6:BK$6)*$K306</f>
        <v>-480</v>
      </c>
      <c r="BL306" s="1">
        <f>SUM($AT306,$AA306:AP306)-SUM($AV$5:BL$5)*$J306-SUM($AV$6:BL$6)*$K306</f>
        <v>-520</v>
      </c>
      <c r="BM306" s="1">
        <f>SUM($AT306,$AA306:AQ306)-SUM($AV$5:BM$5)*$J306-SUM($AV$6:BM$6)*$K306</f>
        <v>-560</v>
      </c>
      <c r="BN306" s="1">
        <f>SUM($AT306,$AA306:AR306)-SUM($AV$5:BN$5)*$J306-SUM($AV$6:BN$6)*$K306</f>
        <v>-582</v>
      </c>
    </row>
    <row r="307" spans="1:66">
      <c r="A307" s="1">
        <v>369</v>
      </c>
      <c r="B307" s="28" t="s">
        <v>962</v>
      </c>
      <c r="C307" s="1" t="s">
        <v>40</v>
      </c>
      <c r="D307" s="2">
        <v>407338242</v>
      </c>
      <c r="E307" s="3" t="s">
        <v>963</v>
      </c>
      <c r="F307" s="1">
        <v>407372067</v>
      </c>
      <c r="G307" s="1" t="s">
        <v>42</v>
      </c>
      <c r="H307" s="1">
        <v>2</v>
      </c>
      <c r="I307" s="1">
        <v>16</v>
      </c>
      <c r="J307" s="1">
        <v>16</v>
      </c>
      <c r="K307" s="1">
        <v>0</v>
      </c>
      <c r="L307" s="1">
        <v>0</v>
      </c>
      <c r="M307" s="1">
        <f t="shared" si="12"/>
        <v>9312</v>
      </c>
      <c r="N307" s="1">
        <f t="shared" si="13"/>
        <v>9312</v>
      </c>
      <c r="O307" s="2" t="s">
        <v>765</v>
      </c>
      <c r="P307" s="1"/>
      <c r="Q307" s="31">
        <v>0.12</v>
      </c>
      <c r="R307" s="1" t="s">
        <v>292</v>
      </c>
      <c r="S307" s="30" t="s">
        <v>780</v>
      </c>
      <c r="T307" s="31" t="s">
        <v>294</v>
      </c>
      <c r="U307" s="1">
        <v>5000</v>
      </c>
      <c r="V307" s="1">
        <v>5000</v>
      </c>
      <c r="W307" s="1" t="s">
        <v>295</v>
      </c>
      <c r="X307" s="32" t="s">
        <v>296</v>
      </c>
      <c r="Y307" s="1" t="s">
        <v>297</v>
      </c>
      <c r="Z307" s="2" t="s">
        <v>765</v>
      </c>
      <c r="AA307" s="1"/>
      <c r="AB307" s="1"/>
      <c r="AC307" s="1"/>
      <c r="AD307" s="1"/>
      <c r="AE307" s="1"/>
      <c r="AF307" s="1"/>
      <c r="AG307" s="1"/>
      <c r="AH307" s="1"/>
      <c r="AI307" s="1"/>
      <c r="AJ307" s="1"/>
      <c r="AK307" s="1"/>
      <c r="AL307" s="1"/>
      <c r="AM307" s="1"/>
      <c r="AN307" s="1"/>
      <c r="AO307" s="1"/>
      <c r="AP307" s="1"/>
      <c r="AQ307" s="1"/>
      <c r="AR307" s="1"/>
      <c r="AS307" s="1"/>
      <c r="AT307" s="1"/>
      <c r="AU307" s="1"/>
      <c r="AV307" s="1">
        <f>SUM($AT307,Z307:$AA307)-SUM($AV$5:AV$5)*$J307-SUM($AV$6:AV$6)*$K307</f>
        <v>0</v>
      </c>
      <c r="AW307" s="1">
        <f>SUM($AT307,$AA307:AA307)-SUM($AV$5:AW$5)*$J307-SUM($AV$6:AW$6)*$K307</f>
        <v>0</v>
      </c>
      <c r="AX307" s="1">
        <f>SUM($AT307,$AA307:AB307)-SUM($AV$5:AX$5)*$J307-SUM($AV$6:AX$6)*$K307</f>
        <v>0</v>
      </c>
      <c r="AY307" s="1">
        <f>SUM($AT307,$AA307:AC307)-SUM($AV$5:AY$5)*$J307-SUM($AV$6:AY$6)*$K307</f>
        <v>0</v>
      </c>
      <c r="AZ307" s="1">
        <f>SUM($AT307,$AA307:AD307)-SUM($AV$5:AZ$5)*$J307-SUM($AV$6:AZ$6)*$K307</f>
        <v>-640</v>
      </c>
      <c r="BA307" s="1">
        <f>SUM($AT307,$AA307:AE307)-SUM($AV$5:BA$5)*$J307-SUM($AV$6:BA$6)*$K307</f>
        <v>-1280</v>
      </c>
      <c r="BB307" s="1">
        <f>SUM($AT307,$AA307:AF307)-SUM($AV$5:BB$5)*$J307-SUM($AV$6:BB$6)*$K307</f>
        <v>-1920</v>
      </c>
      <c r="BC307" s="1">
        <f>SUM($AT307,$AA307:AG307)-SUM($AV$5:BC$5)*$J307-SUM($AV$6:BC$6)*$K307</f>
        <v>-2560</v>
      </c>
      <c r="BD307" s="1">
        <f>SUM($AT307,$AA307:AH307)-SUM($AV$5:BD$5)*$J307-SUM($AV$6:BD$6)*$K307</f>
        <v>-3200</v>
      </c>
      <c r="BE307" s="1">
        <f>SUM($AT307,$AA307:AI307)-SUM($AV$5:BE$5)*$J307-SUM($AV$6:BE$6)*$K307</f>
        <v>-3840</v>
      </c>
      <c r="BF307" s="1">
        <f>SUM($AT307,$AA307:AJ307)-SUM($AV$5:BF$5)*$J307-SUM($AV$6:BF$6)*$K307</f>
        <v>-4480</v>
      </c>
      <c r="BG307" s="1">
        <f>SUM($AT307,$AA307:AK307)-SUM($AV$5:BG$5)*$J307-SUM($AV$6:BG$6)*$K307</f>
        <v>-5120</v>
      </c>
      <c r="BH307" s="1">
        <f>SUM($AT307,$AA307:AL307)-SUM($AV$5:BH$5)*$J307-SUM($AV$6:BH$6)*$K307</f>
        <v>-5760</v>
      </c>
      <c r="BI307" s="1">
        <f>SUM($AT307,$AA307:AM307)-SUM($AV$5:BI$5)*$J307-SUM($AV$6:BI$6)*$K307</f>
        <v>-6400</v>
      </c>
      <c r="BJ307" s="1">
        <f>SUM($AT307,$AA307:AN307)-SUM($AV$5:BJ$5)*$J307-SUM($AV$6:BJ$6)*$K307</f>
        <v>-7040</v>
      </c>
      <c r="BK307" s="1">
        <f>SUM($AT307,$AA307:AO307)-SUM($AV$5:BK$5)*$J307-SUM($AV$6:BK$6)*$K307</f>
        <v>-7680</v>
      </c>
      <c r="BL307" s="1">
        <f>SUM($AT307,$AA307:AP307)-SUM($AV$5:BL$5)*$J307-SUM($AV$6:BL$6)*$K307</f>
        <v>-8320</v>
      </c>
      <c r="BM307" s="1">
        <f>SUM($AT307,$AA307:AQ307)-SUM($AV$5:BM$5)*$J307-SUM($AV$6:BM$6)*$K307</f>
        <v>-8960</v>
      </c>
      <c r="BN307" s="1">
        <f>SUM($AT307,$AA307:AR307)-SUM($AV$5:BN$5)*$J307-SUM($AV$6:BN$6)*$K307</f>
        <v>-9312</v>
      </c>
    </row>
    <row r="308" spans="1:66">
      <c r="A308" s="1">
        <v>318</v>
      </c>
      <c r="B308" s="28" t="s">
        <v>964</v>
      </c>
      <c r="C308" s="1" t="s">
        <v>176</v>
      </c>
      <c r="D308" s="2">
        <v>401466056</v>
      </c>
      <c r="E308" s="3" t="s">
        <v>965</v>
      </c>
      <c r="F308" s="1"/>
      <c r="G308" s="1" t="s">
        <v>42</v>
      </c>
      <c r="H308" s="1">
        <v>2</v>
      </c>
      <c r="I308" s="1">
        <v>4</v>
      </c>
      <c r="J308" s="1">
        <v>0</v>
      </c>
      <c r="K308" s="1">
        <v>0</v>
      </c>
      <c r="L308" s="1">
        <v>4</v>
      </c>
      <c r="M308" s="1">
        <f t="shared" si="12"/>
        <v>1104</v>
      </c>
      <c r="N308" s="1">
        <f t="shared" si="13"/>
        <v>1104</v>
      </c>
      <c r="O308" s="2" t="s">
        <v>323</v>
      </c>
      <c r="P308" s="1"/>
      <c r="Q308" s="1">
        <v>1.35</v>
      </c>
      <c r="R308" s="1" t="s">
        <v>44</v>
      </c>
      <c r="S308" s="30" t="s">
        <v>324</v>
      </c>
      <c r="T308" s="31" t="s">
        <v>323</v>
      </c>
      <c r="U308" s="1"/>
      <c r="V308" s="1">
        <v>500</v>
      </c>
      <c r="W308" s="1" t="s">
        <v>868</v>
      </c>
      <c r="X308" s="33" t="s">
        <v>869</v>
      </c>
      <c r="Y308" s="1" t="s">
        <v>327</v>
      </c>
      <c r="Z308" s="2" t="s">
        <v>323</v>
      </c>
      <c r="AA308" s="1"/>
      <c r="AB308" s="1"/>
      <c r="AC308" s="1"/>
      <c r="AD308" s="1"/>
      <c r="AE308" s="1"/>
      <c r="AF308" s="1"/>
      <c r="AG308" s="1"/>
      <c r="AH308" s="1"/>
      <c r="AI308" s="1"/>
      <c r="AJ308" s="1"/>
      <c r="AK308" s="1"/>
      <c r="AL308" s="1"/>
      <c r="AM308" s="1"/>
      <c r="AN308" s="1"/>
      <c r="AO308" s="1"/>
      <c r="AP308" s="1"/>
      <c r="AQ308" s="1"/>
      <c r="AR308" s="1"/>
      <c r="AS308" s="1"/>
      <c r="AT308" s="1"/>
      <c r="AU308" s="1"/>
      <c r="AV308" s="1">
        <f>SUM($AT308,Z308:$AA308)-SUM($AV$5:AV$5)*$J308-SUM($AV$6:AV$6)*$K308</f>
        <v>0</v>
      </c>
      <c r="AW308" s="1">
        <f>SUM($AT308,$AA308:AA308)-SUM($AV$5:AW$5)*$J308-SUM($AV$6:AW$6)*$K308</f>
        <v>0</v>
      </c>
      <c r="AX308" s="1">
        <f>SUM($AT308,$AA308:AB308)-SUM($AV$5:AX$5)*$J308-SUM($AV$6:AX$6)*$K308</f>
        <v>0</v>
      </c>
      <c r="AY308" s="1">
        <f>SUM($AT308,$AA308:AC308)-SUM($AV$5:AY$5)*$J308-SUM($AV$6:AY$6)*$K308</f>
        <v>0</v>
      </c>
      <c r="AZ308" s="1">
        <f>SUM($AT308,$AA308:AD308)-SUM($AV$5:AZ$5)*$J308-SUM($AV$6:AZ$6)*$K308</f>
        <v>0</v>
      </c>
      <c r="BA308" s="1">
        <f>SUM($AT308,$AA308:AE308)-SUM($AV$5:BA$5)*$J308-SUM($AV$6:BA$6)*$K308</f>
        <v>0</v>
      </c>
      <c r="BB308" s="1">
        <f>SUM($AT308,$AA308:AF308)-SUM($AV$5:BB$5)*$J308-SUM($AV$6:BB$6)*$K308</f>
        <v>0</v>
      </c>
      <c r="BC308" s="1">
        <f>SUM($AT308,$AA308:AG308)-SUM($AV$5:BC$5)*$J308-SUM($AV$6:BC$6)*$K308</f>
        <v>0</v>
      </c>
      <c r="BD308" s="1">
        <f>SUM($AT308,$AA308:AH308)-SUM($AV$5:BD$5)*$J308-SUM($AV$6:BD$6)*$K308</f>
        <v>0</v>
      </c>
      <c r="BE308" s="1">
        <f>SUM($AT308,$AA308:AI308)-SUM($AV$5:BE$5)*$J308-SUM($AV$6:BE$6)*$K308</f>
        <v>0</v>
      </c>
      <c r="BF308" s="1">
        <f>SUM($AT308,$AA308:AJ308)-SUM($AV$5:BF$5)*$J308-SUM($AV$6:BF$6)*$K308</f>
        <v>0</v>
      </c>
      <c r="BG308" s="1">
        <f>SUM($AT308,$AA308:AK308)-SUM($AV$5:BG$5)*$J308-SUM($AV$6:BG$6)*$K308</f>
        <v>0</v>
      </c>
      <c r="BH308" s="1">
        <f>SUM($AT308,$AA308:AL308)-SUM($AV$5:BH$5)*$J308-SUM($AV$6:BH$6)*$K308</f>
        <v>0</v>
      </c>
      <c r="BI308" s="1">
        <f>SUM($AT308,$AA308:AM308)-SUM($AV$5:BI$5)*$J308-SUM($AV$6:BI$6)*$K308</f>
        <v>0</v>
      </c>
      <c r="BJ308" s="1">
        <f>SUM($AT308,$AA308:AN308)-SUM($AV$5:BJ$5)*$J308-SUM($AV$6:BJ$6)*$K308</f>
        <v>0</v>
      </c>
      <c r="BK308" s="1">
        <f>SUM($AT308,$AA308:AO308)-SUM($AV$5:BK$5)*$J308-SUM($AV$6:BK$6)*$K308</f>
        <v>0</v>
      </c>
      <c r="BL308" s="1">
        <f>SUM($AT308,$AA308:AP308)-SUM($AV$5:BL$5)*$J308-SUM($AV$6:BL$6)*$K308</f>
        <v>0</v>
      </c>
      <c r="BM308" s="1">
        <f>SUM($AT308,$AA308:AQ308)-SUM($AV$5:BM$5)*$J308-SUM($AV$6:BM$6)*$K308</f>
        <v>0</v>
      </c>
      <c r="BN308" s="1">
        <f>SUM($AT308,$AA308:AR308)-SUM($AV$5:BN$5)*$J308-SUM($AV$6:BN$6)*$K308</f>
        <v>0</v>
      </c>
    </row>
    <row r="309" spans="1:66">
      <c r="A309" s="1">
        <v>371</v>
      </c>
      <c r="B309" s="28" t="s">
        <v>966</v>
      </c>
      <c r="C309" s="1" t="s">
        <v>40</v>
      </c>
      <c r="D309" s="2" t="s">
        <v>967</v>
      </c>
      <c r="E309" s="3" t="s">
        <v>968</v>
      </c>
      <c r="F309" s="1">
        <v>423854998</v>
      </c>
      <c r="G309" s="1" t="s">
        <v>42</v>
      </c>
      <c r="H309" s="1">
        <v>2</v>
      </c>
      <c r="I309" s="1">
        <v>16</v>
      </c>
      <c r="J309" s="1">
        <v>16</v>
      </c>
      <c r="K309" s="1">
        <v>0</v>
      </c>
      <c r="L309" s="1">
        <v>0</v>
      </c>
      <c r="M309" s="1">
        <f t="shared" si="12"/>
        <v>9312</v>
      </c>
      <c r="N309" s="1">
        <f t="shared" si="13"/>
        <v>9312</v>
      </c>
      <c r="O309" s="2" t="s">
        <v>765</v>
      </c>
      <c r="P309" s="1"/>
      <c r="Q309" s="1">
        <v>3.5999999999999997E-2</v>
      </c>
      <c r="R309" s="1" t="s">
        <v>44</v>
      </c>
      <c r="S309" s="30" t="s">
        <v>762</v>
      </c>
      <c r="T309" s="31" t="s">
        <v>417</v>
      </c>
      <c r="U309" s="1"/>
      <c r="V309" s="1">
        <v>3000</v>
      </c>
      <c r="W309" s="1" t="s">
        <v>418</v>
      </c>
      <c r="X309" s="32" t="s">
        <v>419</v>
      </c>
      <c r="Y309" s="1" t="s">
        <v>420</v>
      </c>
      <c r="Z309" s="2" t="s">
        <v>969</v>
      </c>
      <c r="AA309" s="1"/>
      <c r="AB309" s="1"/>
      <c r="AC309" s="1">
        <v>12000</v>
      </c>
      <c r="AD309" s="1"/>
      <c r="AE309" s="1"/>
      <c r="AF309" s="1"/>
      <c r="AG309" s="1"/>
      <c r="AH309" s="1"/>
      <c r="AI309" s="1"/>
      <c r="AJ309" s="1"/>
      <c r="AK309" s="1"/>
      <c r="AL309" s="1"/>
      <c r="AM309" s="1"/>
      <c r="AN309" s="1"/>
      <c r="AO309" s="1"/>
      <c r="AP309" s="1"/>
      <c r="AQ309" s="1"/>
      <c r="AR309" s="1"/>
      <c r="AS309" s="1"/>
      <c r="AT309" s="1"/>
      <c r="AU309" s="1"/>
      <c r="AV309" s="1">
        <f>SUM($AT309,Z309:$AA309)-SUM($AV$5:AV$5)*$J309-SUM($AV$6:AV$6)*$K309</f>
        <v>0</v>
      </c>
      <c r="AW309" s="1">
        <f>SUM($AT309,$AA309:AA309)-SUM($AV$5:AW$5)*$J309-SUM($AV$6:AW$6)*$K309</f>
        <v>0</v>
      </c>
      <c r="AX309" s="1">
        <f>SUM($AT309,$AA309:AB309)-SUM($AV$5:AX$5)*$J309-SUM($AV$6:AX$6)*$K309</f>
        <v>0</v>
      </c>
      <c r="AY309" s="1">
        <f>SUM($AT309,$AA309:AC309)-SUM($AV$5:AY$5)*$J309-SUM($AV$6:AY$6)*$K309</f>
        <v>12000</v>
      </c>
      <c r="AZ309" s="1">
        <f>SUM($AT309,$AA309:AD309)-SUM($AV$5:AZ$5)*$J309-SUM($AV$6:AZ$6)*$K309</f>
        <v>11360</v>
      </c>
      <c r="BA309" s="1">
        <f>SUM($AT309,$AA309:AE309)-SUM($AV$5:BA$5)*$J309-SUM($AV$6:BA$6)*$K309</f>
        <v>10720</v>
      </c>
      <c r="BB309" s="1">
        <f>SUM($AT309,$AA309:AF309)-SUM($AV$5:BB$5)*$J309-SUM($AV$6:BB$6)*$K309</f>
        <v>10080</v>
      </c>
      <c r="BC309" s="1">
        <f>SUM($AT309,$AA309:AG309)-SUM($AV$5:BC$5)*$J309-SUM($AV$6:BC$6)*$K309</f>
        <v>9440</v>
      </c>
      <c r="BD309" s="1">
        <f>SUM($AT309,$AA309:AH309)-SUM($AV$5:BD$5)*$J309-SUM($AV$6:BD$6)*$K309</f>
        <v>8800</v>
      </c>
      <c r="BE309" s="1">
        <f>SUM($AT309,$AA309:AI309)-SUM($AV$5:BE$5)*$J309-SUM($AV$6:BE$6)*$K309</f>
        <v>8160</v>
      </c>
      <c r="BF309" s="1">
        <f>SUM($AT309,$AA309:AJ309)-SUM($AV$5:BF$5)*$J309-SUM($AV$6:BF$6)*$K309</f>
        <v>7520</v>
      </c>
      <c r="BG309" s="1">
        <f>SUM($AT309,$AA309:AK309)-SUM($AV$5:BG$5)*$J309-SUM($AV$6:BG$6)*$K309</f>
        <v>6880</v>
      </c>
      <c r="BH309" s="1">
        <f>SUM($AT309,$AA309:AL309)-SUM($AV$5:BH$5)*$J309-SUM($AV$6:BH$6)*$K309</f>
        <v>6240</v>
      </c>
      <c r="BI309" s="1">
        <f>SUM($AT309,$AA309:AM309)-SUM($AV$5:BI$5)*$J309-SUM($AV$6:BI$6)*$K309</f>
        <v>5600</v>
      </c>
      <c r="BJ309" s="1">
        <f>SUM($AT309,$AA309:AN309)-SUM($AV$5:BJ$5)*$J309-SUM($AV$6:BJ$6)*$K309</f>
        <v>4960</v>
      </c>
      <c r="BK309" s="1">
        <f>SUM($AT309,$AA309:AO309)-SUM($AV$5:BK$5)*$J309-SUM($AV$6:BK$6)*$K309</f>
        <v>4320</v>
      </c>
      <c r="BL309" s="1">
        <f>SUM($AT309,$AA309:AP309)-SUM($AV$5:BL$5)*$J309-SUM($AV$6:BL$6)*$K309</f>
        <v>3680</v>
      </c>
      <c r="BM309" s="1">
        <f>SUM($AT309,$AA309:AQ309)-SUM($AV$5:BM$5)*$J309-SUM($AV$6:BM$6)*$K309</f>
        <v>3040</v>
      </c>
      <c r="BN309" s="1">
        <f>SUM($AT309,$AA309:AR309)-SUM($AV$5:BN$5)*$J309-SUM($AV$6:BN$6)*$K309</f>
        <v>2688</v>
      </c>
    </row>
    <row r="310" spans="1:66">
      <c r="A310" s="1">
        <v>372</v>
      </c>
      <c r="B310" s="28" t="s">
        <v>970</v>
      </c>
      <c r="C310" s="1" t="s">
        <v>40</v>
      </c>
      <c r="D310" s="2">
        <v>406576634</v>
      </c>
      <c r="E310" s="3" t="s">
        <v>971</v>
      </c>
      <c r="F310" s="1">
        <v>406577980</v>
      </c>
      <c r="G310" s="1" t="s">
        <v>42</v>
      </c>
      <c r="H310" s="1">
        <v>2</v>
      </c>
      <c r="I310" s="1">
        <v>8</v>
      </c>
      <c r="J310" s="1">
        <v>8</v>
      </c>
      <c r="K310" s="1">
        <v>0</v>
      </c>
      <c r="L310" s="1">
        <v>0</v>
      </c>
      <c r="M310" s="1">
        <f t="shared" si="12"/>
        <v>4656</v>
      </c>
      <c r="N310" s="1">
        <f t="shared" si="13"/>
        <v>4656</v>
      </c>
      <c r="O310" s="2" t="s">
        <v>765</v>
      </c>
      <c r="P310" s="1"/>
      <c r="Q310" s="31">
        <v>7.0000000000000007E-2</v>
      </c>
      <c r="R310" s="1" t="s">
        <v>292</v>
      </c>
      <c r="S310" s="30" t="s">
        <v>794</v>
      </c>
      <c r="T310" s="31" t="s">
        <v>294</v>
      </c>
      <c r="U310" s="1">
        <v>3000</v>
      </c>
      <c r="V310" s="1">
        <v>3000</v>
      </c>
      <c r="W310" s="1" t="s">
        <v>295</v>
      </c>
      <c r="X310" s="32" t="s">
        <v>296</v>
      </c>
      <c r="Y310" s="1" t="s">
        <v>297</v>
      </c>
      <c r="Z310" s="2" t="s">
        <v>765</v>
      </c>
      <c r="AA310" s="1"/>
      <c r="AB310" s="1"/>
      <c r="AC310" s="1"/>
      <c r="AD310" s="1"/>
      <c r="AE310" s="1"/>
      <c r="AF310" s="1"/>
      <c r="AG310" s="1"/>
      <c r="AH310" s="1"/>
      <c r="AI310" s="1"/>
      <c r="AJ310" s="1"/>
      <c r="AK310" s="1"/>
      <c r="AL310" s="1"/>
      <c r="AM310" s="1"/>
      <c r="AN310" s="1"/>
      <c r="AO310" s="1"/>
      <c r="AP310" s="1"/>
      <c r="AQ310" s="1"/>
      <c r="AR310" s="1"/>
      <c r="AS310" s="1"/>
      <c r="AT310" s="1"/>
      <c r="AU310" s="1"/>
      <c r="AV310" s="1">
        <f>SUM($AT310,Z310:$AA310)-SUM($AV$5:AV$5)*$J310-SUM($AV$6:AV$6)*$K310</f>
        <v>0</v>
      </c>
      <c r="AW310" s="1">
        <f>SUM($AT310,$AA310:AA310)-SUM($AV$5:AW$5)*$J310-SUM($AV$6:AW$6)*$K310</f>
        <v>0</v>
      </c>
      <c r="AX310" s="1">
        <f>SUM($AT310,$AA310:AB310)-SUM($AV$5:AX$5)*$J310-SUM($AV$6:AX$6)*$K310</f>
        <v>0</v>
      </c>
      <c r="AY310" s="1">
        <f>SUM($AT310,$AA310:AC310)-SUM($AV$5:AY$5)*$J310-SUM($AV$6:AY$6)*$K310</f>
        <v>0</v>
      </c>
      <c r="AZ310" s="1">
        <f>SUM($AT310,$AA310:AD310)-SUM($AV$5:AZ$5)*$J310-SUM($AV$6:AZ$6)*$K310</f>
        <v>-320</v>
      </c>
      <c r="BA310" s="1">
        <f>SUM($AT310,$AA310:AE310)-SUM($AV$5:BA$5)*$J310-SUM($AV$6:BA$6)*$K310</f>
        <v>-640</v>
      </c>
      <c r="BB310" s="1">
        <f>SUM($AT310,$AA310:AF310)-SUM($AV$5:BB$5)*$J310-SUM($AV$6:BB$6)*$K310</f>
        <v>-960</v>
      </c>
      <c r="BC310" s="1">
        <f>SUM($AT310,$AA310:AG310)-SUM($AV$5:BC$5)*$J310-SUM($AV$6:BC$6)*$K310</f>
        <v>-1280</v>
      </c>
      <c r="BD310" s="1">
        <f>SUM($AT310,$AA310:AH310)-SUM($AV$5:BD$5)*$J310-SUM($AV$6:BD$6)*$K310</f>
        <v>-1600</v>
      </c>
      <c r="BE310" s="1">
        <f>SUM($AT310,$AA310:AI310)-SUM($AV$5:BE$5)*$J310-SUM($AV$6:BE$6)*$K310</f>
        <v>-1920</v>
      </c>
      <c r="BF310" s="1">
        <f>SUM($AT310,$AA310:AJ310)-SUM($AV$5:BF$5)*$J310-SUM($AV$6:BF$6)*$K310</f>
        <v>-2240</v>
      </c>
      <c r="BG310" s="1">
        <f>SUM($AT310,$AA310:AK310)-SUM($AV$5:BG$5)*$J310-SUM($AV$6:BG$6)*$K310</f>
        <v>-2560</v>
      </c>
      <c r="BH310" s="1">
        <f>SUM($AT310,$AA310:AL310)-SUM($AV$5:BH$5)*$J310-SUM($AV$6:BH$6)*$K310</f>
        <v>-2880</v>
      </c>
      <c r="BI310" s="1">
        <f>SUM($AT310,$AA310:AM310)-SUM($AV$5:BI$5)*$J310-SUM($AV$6:BI$6)*$K310</f>
        <v>-3200</v>
      </c>
      <c r="BJ310" s="1">
        <f>SUM($AT310,$AA310:AN310)-SUM($AV$5:BJ$5)*$J310-SUM($AV$6:BJ$6)*$K310</f>
        <v>-3520</v>
      </c>
      <c r="BK310" s="1">
        <f>SUM($AT310,$AA310:AO310)-SUM($AV$5:BK$5)*$J310-SUM($AV$6:BK$6)*$K310</f>
        <v>-3840</v>
      </c>
      <c r="BL310" s="1">
        <f>SUM($AT310,$AA310:AP310)-SUM($AV$5:BL$5)*$J310-SUM($AV$6:BL$6)*$K310</f>
        <v>-4160</v>
      </c>
      <c r="BM310" s="1">
        <f>SUM($AT310,$AA310:AQ310)-SUM($AV$5:BM$5)*$J310-SUM($AV$6:BM$6)*$K310</f>
        <v>-4480</v>
      </c>
      <c r="BN310" s="1">
        <f>SUM($AT310,$AA310:AR310)-SUM($AV$5:BN$5)*$J310-SUM($AV$6:BN$6)*$K310</f>
        <v>-4656</v>
      </c>
    </row>
    <row r="311" spans="1:66">
      <c r="A311" s="1">
        <v>376</v>
      </c>
      <c r="B311" s="28" t="s">
        <v>972</v>
      </c>
      <c r="C311" s="1" t="s">
        <v>176</v>
      </c>
      <c r="D311" s="2">
        <v>407374932</v>
      </c>
      <c r="E311" s="3" t="s">
        <v>973</v>
      </c>
      <c r="F311" s="1">
        <v>407383893</v>
      </c>
      <c r="G311" s="1" t="s">
        <v>42</v>
      </c>
      <c r="H311" s="1">
        <v>2</v>
      </c>
      <c r="I311" s="1">
        <v>2</v>
      </c>
      <c r="J311" s="1">
        <v>2</v>
      </c>
      <c r="K311" s="1">
        <v>0</v>
      </c>
      <c r="L311" s="1">
        <v>0</v>
      </c>
      <c r="M311" s="1">
        <f t="shared" si="12"/>
        <v>1164</v>
      </c>
      <c r="N311" s="1">
        <f t="shared" si="13"/>
        <v>1164</v>
      </c>
      <c r="O311" s="2" t="s">
        <v>765</v>
      </c>
      <c r="P311" s="1"/>
      <c r="Q311" s="31">
        <v>0.14000000000000001</v>
      </c>
      <c r="R311" s="1" t="s">
        <v>292</v>
      </c>
      <c r="S311" s="30" t="s">
        <v>794</v>
      </c>
      <c r="T311" s="31" t="s">
        <v>294</v>
      </c>
      <c r="U311" s="1">
        <v>3000</v>
      </c>
      <c r="V311" s="1">
        <v>3000</v>
      </c>
      <c r="W311" s="1" t="s">
        <v>295</v>
      </c>
      <c r="X311" s="32" t="s">
        <v>296</v>
      </c>
      <c r="Y311" s="1" t="s">
        <v>297</v>
      </c>
      <c r="Z311" s="2" t="s">
        <v>765</v>
      </c>
      <c r="AA311" s="1"/>
      <c r="AB311" s="1"/>
      <c r="AC311" s="1"/>
      <c r="AD311" s="1"/>
      <c r="AE311" s="1"/>
      <c r="AF311" s="1"/>
      <c r="AG311" s="1"/>
      <c r="AH311" s="1"/>
      <c r="AI311" s="1"/>
      <c r="AJ311" s="1"/>
      <c r="AK311" s="1"/>
      <c r="AL311" s="1"/>
      <c r="AM311" s="1"/>
      <c r="AN311" s="1"/>
      <c r="AO311" s="1"/>
      <c r="AP311" s="1"/>
      <c r="AQ311" s="1"/>
      <c r="AR311" s="1"/>
      <c r="AS311" s="1"/>
      <c r="AT311" s="1"/>
      <c r="AU311" s="1"/>
      <c r="AV311" s="1">
        <f>SUM($AT311,Z311:$AA311)-SUM($AV$5:AV$5)*$J311-SUM($AV$6:AV$6)*$K311</f>
        <v>0</v>
      </c>
      <c r="AW311" s="1">
        <f>SUM($AT311,$AA311:AA311)-SUM($AV$5:AW$5)*$J311-SUM($AV$6:AW$6)*$K311</f>
        <v>0</v>
      </c>
      <c r="AX311" s="1">
        <f>SUM($AT311,$AA311:AB311)-SUM($AV$5:AX$5)*$J311-SUM($AV$6:AX$6)*$K311</f>
        <v>0</v>
      </c>
      <c r="AY311" s="1">
        <f>SUM($AT311,$AA311:AC311)-SUM($AV$5:AY$5)*$J311-SUM($AV$6:AY$6)*$K311</f>
        <v>0</v>
      </c>
      <c r="AZ311" s="1">
        <f>SUM($AT311,$AA311:AD311)-SUM($AV$5:AZ$5)*$J311-SUM($AV$6:AZ$6)*$K311</f>
        <v>-80</v>
      </c>
      <c r="BA311" s="1">
        <f>SUM($AT311,$AA311:AE311)-SUM($AV$5:BA$5)*$J311-SUM($AV$6:BA$6)*$K311</f>
        <v>-160</v>
      </c>
      <c r="BB311" s="1">
        <f>SUM($AT311,$AA311:AF311)-SUM($AV$5:BB$5)*$J311-SUM($AV$6:BB$6)*$K311</f>
        <v>-240</v>
      </c>
      <c r="BC311" s="1">
        <f>SUM($AT311,$AA311:AG311)-SUM($AV$5:BC$5)*$J311-SUM($AV$6:BC$6)*$K311</f>
        <v>-320</v>
      </c>
      <c r="BD311" s="1">
        <f>SUM($AT311,$AA311:AH311)-SUM($AV$5:BD$5)*$J311-SUM($AV$6:BD$6)*$K311</f>
        <v>-400</v>
      </c>
      <c r="BE311" s="1">
        <f>SUM($AT311,$AA311:AI311)-SUM($AV$5:BE$5)*$J311-SUM($AV$6:BE$6)*$K311</f>
        <v>-480</v>
      </c>
      <c r="BF311" s="1">
        <f>SUM($AT311,$AA311:AJ311)-SUM($AV$5:BF$5)*$J311-SUM($AV$6:BF$6)*$K311</f>
        <v>-560</v>
      </c>
      <c r="BG311" s="1">
        <f>SUM($AT311,$AA311:AK311)-SUM($AV$5:BG$5)*$J311-SUM($AV$6:BG$6)*$K311</f>
        <v>-640</v>
      </c>
      <c r="BH311" s="1">
        <f>SUM($AT311,$AA311:AL311)-SUM($AV$5:BH$5)*$J311-SUM($AV$6:BH$6)*$K311</f>
        <v>-720</v>
      </c>
      <c r="BI311" s="1">
        <f>SUM($AT311,$AA311:AM311)-SUM($AV$5:BI$5)*$J311-SUM($AV$6:BI$6)*$K311</f>
        <v>-800</v>
      </c>
      <c r="BJ311" s="1">
        <f>SUM($AT311,$AA311:AN311)-SUM($AV$5:BJ$5)*$J311-SUM($AV$6:BJ$6)*$K311</f>
        <v>-880</v>
      </c>
      <c r="BK311" s="1">
        <f>SUM($AT311,$AA311:AO311)-SUM($AV$5:BK$5)*$J311-SUM($AV$6:BK$6)*$K311</f>
        <v>-960</v>
      </c>
      <c r="BL311" s="1">
        <f>SUM($AT311,$AA311:AP311)-SUM($AV$5:BL$5)*$J311-SUM($AV$6:BL$6)*$K311</f>
        <v>-1040</v>
      </c>
      <c r="BM311" s="1">
        <f>SUM($AT311,$AA311:AQ311)-SUM($AV$5:BM$5)*$J311-SUM($AV$6:BM$6)*$K311</f>
        <v>-1120</v>
      </c>
      <c r="BN311" s="1">
        <f>SUM($AT311,$AA311:AR311)-SUM($AV$5:BN$5)*$J311-SUM($AV$6:BN$6)*$K311</f>
        <v>-1164</v>
      </c>
    </row>
    <row r="312" spans="1:66">
      <c r="A312" s="1">
        <v>322</v>
      </c>
      <c r="B312" s="28" t="s">
        <v>974</v>
      </c>
      <c r="C312" s="1" t="s">
        <v>40</v>
      </c>
      <c r="D312" s="2">
        <v>401681605</v>
      </c>
      <c r="E312" s="3" t="s">
        <v>975</v>
      </c>
      <c r="F312" s="1"/>
      <c r="G312" s="1" t="s">
        <v>42</v>
      </c>
      <c r="H312" s="1">
        <v>2</v>
      </c>
      <c r="I312" s="1">
        <v>4</v>
      </c>
      <c r="J312" s="1">
        <v>0</v>
      </c>
      <c r="K312" s="1">
        <v>0</v>
      </c>
      <c r="L312" s="1">
        <v>4</v>
      </c>
      <c r="M312" s="1">
        <f t="shared" si="12"/>
        <v>1104</v>
      </c>
      <c r="N312" s="1">
        <f t="shared" si="13"/>
        <v>1104</v>
      </c>
      <c r="O312" s="2" t="s">
        <v>323</v>
      </c>
      <c r="P312" s="1"/>
      <c r="Q312" s="1">
        <v>1.74</v>
      </c>
      <c r="R312" s="1" t="s">
        <v>44</v>
      </c>
      <c r="S312" s="30" t="s">
        <v>324</v>
      </c>
      <c r="T312" s="31" t="s">
        <v>323</v>
      </c>
      <c r="U312" s="1">
        <v>2500</v>
      </c>
      <c r="V312" s="1">
        <v>2500</v>
      </c>
      <c r="W312" s="1" t="s">
        <v>868</v>
      </c>
      <c r="X312" s="33" t="s">
        <v>869</v>
      </c>
      <c r="Y312" s="1" t="s">
        <v>327</v>
      </c>
      <c r="Z312" s="2" t="s">
        <v>323</v>
      </c>
      <c r="AA312" s="1"/>
      <c r="AB312" s="1"/>
      <c r="AC312" s="1"/>
      <c r="AD312" s="1"/>
      <c r="AE312" s="1"/>
      <c r="AF312" s="1"/>
      <c r="AG312" s="1"/>
      <c r="AH312" s="1"/>
      <c r="AI312" s="1"/>
      <c r="AJ312" s="1"/>
      <c r="AK312" s="1"/>
      <c r="AL312" s="1"/>
      <c r="AM312" s="1"/>
      <c r="AN312" s="1"/>
      <c r="AO312" s="1"/>
      <c r="AP312" s="1"/>
      <c r="AQ312" s="1"/>
      <c r="AR312" s="1"/>
      <c r="AS312" s="1"/>
      <c r="AT312" s="1"/>
      <c r="AU312" s="1"/>
      <c r="AV312" s="1">
        <f>SUM($AT312,Z312:$AA312)-SUM($AV$5:AV$5)*$J312-SUM($AV$6:AV$6)*$K312</f>
        <v>0</v>
      </c>
      <c r="AW312" s="1">
        <f>SUM($AT312,$AA312:AA312)-SUM($AV$5:AW$5)*$J312-SUM($AV$6:AW$6)*$K312</f>
        <v>0</v>
      </c>
      <c r="AX312" s="1">
        <f>SUM($AT312,$AA312:AB312)-SUM($AV$5:AX$5)*$J312-SUM($AV$6:AX$6)*$K312</f>
        <v>0</v>
      </c>
      <c r="AY312" s="1">
        <f>SUM($AT312,$AA312:AC312)-SUM($AV$5:AY$5)*$J312-SUM($AV$6:AY$6)*$K312</f>
        <v>0</v>
      </c>
      <c r="AZ312" s="1">
        <f>SUM($AT312,$AA312:AD312)-SUM($AV$5:AZ$5)*$J312-SUM($AV$6:AZ$6)*$K312</f>
        <v>0</v>
      </c>
      <c r="BA312" s="1">
        <f>SUM($AT312,$AA312:AE312)-SUM($AV$5:BA$5)*$J312-SUM($AV$6:BA$6)*$K312</f>
        <v>0</v>
      </c>
      <c r="BB312" s="1">
        <f>SUM($AT312,$AA312:AF312)-SUM($AV$5:BB$5)*$J312-SUM($AV$6:BB$6)*$K312</f>
        <v>0</v>
      </c>
      <c r="BC312" s="1">
        <f>SUM($AT312,$AA312:AG312)-SUM($AV$5:BC$5)*$J312-SUM($AV$6:BC$6)*$K312</f>
        <v>0</v>
      </c>
      <c r="BD312" s="1">
        <f>SUM($AT312,$AA312:AH312)-SUM($AV$5:BD$5)*$J312-SUM($AV$6:BD$6)*$K312</f>
        <v>0</v>
      </c>
      <c r="BE312" s="1">
        <f>SUM($AT312,$AA312:AI312)-SUM($AV$5:BE$5)*$J312-SUM($AV$6:BE$6)*$K312</f>
        <v>0</v>
      </c>
      <c r="BF312" s="1">
        <f>SUM($AT312,$AA312:AJ312)-SUM($AV$5:BF$5)*$J312-SUM($AV$6:BF$6)*$K312</f>
        <v>0</v>
      </c>
      <c r="BG312" s="1">
        <f>SUM($AT312,$AA312:AK312)-SUM($AV$5:BG$5)*$J312-SUM($AV$6:BG$6)*$K312</f>
        <v>0</v>
      </c>
      <c r="BH312" s="1">
        <f>SUM($AT312,$AA312:AL312)-SUM($AV$5:BH$5)*$J312-SUM($AV$6:BH$6)*$K312</f>
        <v>0</v>
      </c>
      <c r="BI312" s="1">
        <f>SUM($AT312,$AA312:AM312)-SUM($AV$5:BI$5)*$J312-SUM($AV$6:BI$6)*$K312</f>
        <v>0</v>
      </c>
      <c r="BJ312" s="1">
        <f>SUM($AT312,$AA312:AN312)-SUM($AV$5:BJ$5)*$J312-SUM($AV$6:BJ$6)*$K312</f>
        <v>0</v>
      </c>
      <c r="BK312" s="1">
        <f>SUM($AT312,$AA312:AO312)-SUM($AV$5:BK$5)*$J312-SUM($AV$6:BK$6)*$K312</f>
        <v>0</v>
      </c>
      <c r="BL312" s="1">
        <f>SUM($AT312,$AA312:AP312)-SUM($AV$5:BL$5)*$J312-SUM($AV$6:BL$6)*$K312</f>
        <v>0</v>
      </c>
      <c r="BM312" s="1">
        <f>SUM($AT312,$AA312:AQ312)-SUM($AV$5:BM$5)*$J312-SUM($AV$6:BM$6)*$K312</f>
        <v>0</v>
      </c>
      <c r="BN312" s="1">
        <f>SUM($AT312,$AA312:AR312)-SUM($AV$5:BN$5)*$J312-SUM($AV$6:BN$6)*$K312</f>
        <v>0</v>
      </c>
    </row>
    <row r="313" spans="1:66">
      <c r="A313" s="1">
        <v>323</v>
      </c>
      <c r="B313" s="28" t="s">
        <v>976</v>
      </c>
      <c r="C313" s="1" t="s">
        <v>299</v>
      </c>
      <c r="D313" s="2">
        <v>401554423</v>
      </c>
      <c r="E313" s="3" t="s">
        <v>977</v>
      </c>
      <c r="F313" s="1"/>
      <c r="G313" s="1" t="s">
        <v>42</v>
      </c>
      <c r="H313" s="1">
        <v>2</v>
      </c>
      <c r="I313" s="1">
        <v>4</v>
      </c>
      <c r="J313" s="1">
        <v>0</v>
      </c>
      <c r="K313" s="1">
        <v>0</v>
      </c>
      <c r="L313" s="1">
        <v>4</v>
      </c>
      <c r="M313" s="1">
        <f t="shared" si="12"/>
        <v>1104</v>
      </c>
      <c r="N313" s="1">
        <f t="shared" si="13"/>
        <v>1104</v>
      </c>
      <c r="O313" s="2" t="s">
        <v>323</v>
      </c>
      <c r="P313" s="1"/>
      <c r="Q313" s="1">
        <v>1.87</v>
      </c>
      <c r="R313" s="1" t="s">
        <v>44</v>
      </c>
      <c r="S313" s="30" t="s">
        <v>324</v>
      </c>
      <c r="T313" s="31" t="s">
        <v>323</v>
      </c>
      <c r="U313" s="1"/>
      <c r="V313" s="1">
        <v>500</v>
      </c>
      <c r="W313" s="1" t="s">
        <v>868</v>
      </c>
      <c r="X313" s="33" t="s">
        <v>869</v>
      </c>
      <c r="Y313" s="1" t="s">
        <v>327</v>
      </c>
      <c r="Z313" s="2" t="s">
        <v>323</v>
      </c>
      <c r="AA313" s="1"/>
      <c r="AB313" s="1"/>
      <c r="AC313" s="1"/>
      <c r="AD313" s="1"/>
      <c r="AE313" s="1"/>
      <c r="AF313" s="1"/>
      <c r="AG313" s="1"/>
      <c r="AH313" s="1"/>
      <c r="AI313" s="1"/>
      <c r="AJ313" s="1"/>
      <c r="AK313" s="1"/>
      <c r="AL313" s="1"/>
      <c r="AM313" s="1"/>
      <c r="AN313" s="1"/>
      <c r="AO313" s="1"/>
      <c r="AP313" s="1"/>
      <c r="AQ313" s="1"/>
      <c r="AR313" s="1"/>
      <c r="AS313" s="1"/>
      <c r="AT313" s="1"/>
      <c r="AU313" s="1"/>
      <c r="AV313" s="1">
        <f>SUM($AT313,Z313:$AA313)-SUM($AV$5:AV$5)*$J313-SUM($AV$6:AV$6)*$K313</f>
        <v>0</v>
      </c>
      <c r="AW313" s="1">
        <f>SUM($AT313,$AA313:AA313)-SUM($AV$5:AW$5)*$J313-SUM($AV$6:AW$6)*$K313</f>
        <v>0</v>
      </c>
      <c r="AX313" s="1">
        <f>SUM($AT313,$AA313:AB313)-SUM($AV$5:AX$5)*$J313-SUM($AV$6:AX$6)*$K313</f>
        <v>0</v>
      </c>
      <c r="AY313" s="1">
        <f>SUM($AT313,$AA313:AC313)-SUM($AV$5:AY$5)*$J313-SUM($AV$6:AY$6)*$K313</f>
        <v>0</v>
      </c>
      <c r="AZ313" s="1">
        <f>SUM($AT313,$AA313:AD313)-SUM($AV$5:AZ$5)*$J313-SUM($AV$6:AZ$6)*$K313</f>
        <v>0</v>
      </c>
      <c r="BA313" s="1">
        <f>SUM($AT313,$AA313:AE313)-SUM($AV$5:BA$5)*$J313-SUM($AV$6:BA$6)*$K313</f>
        <v>0</v>
      </c>
      <c r="BB313" s="1">
        <f>SUM($AT313,$AA313:AF313)-SUM($AV$5:BB$5)*$J313-SUM($AV$6:BB$6)*$K313</f>
        <v>0</v>
      </c>
      <c r="BC313" s="1">
        <f>SUM($AT313,$AA313:AG313)-SUM($AV$5:BC$5)*$J313-SUM($AV$6:BC$6)*$K313</f>
        <v>0</v>
      </c>
      <c r="BD313" s="1">
        <f>SUM($AT313,$AA313:AH313)-SUM($AV$5:BD$5)*$J313-SUM($AV$6:BD$6)*$K313</f>
        <v>0</v>
      </c>
      <c r="BE313" s="1">
        <f>SUM($AT313,$AA313:AI313)-SUM($AV$5:BE$5)*$J313-SUM($AV$6:BE$6)*$K313</f>
        <v>0</v>
      </c>
      <c r="BF313" s="1">
        <f>SUM($AT313,$AA313:AJ313)-SUM($AV$5:BF$5)*$J313-SUM($AV$6:BF$6)*$K313</f>
        <v>0</v>
      </c>
      <c r="BG313" s="1">
        <f>SUM($AT313,$AA313:AK313)-SUM($AV$5:BG$5)*$J313-SUM($AV$6:BG$6)*$K313</f>
        <v>0</v>
      </c>
      <c r="BH313" s="1">
        <f>SUM($AT313,$AA313:AL313)-SUM($AV$5:BH$5)*$J313-SUM($AV$6:BH$6)*$K313</f>
        <v>0</v>
      </c>
      <c r="BI313" s="1">
        <f>SUM($AT313,$AA313:AM313)-SUM($AV$5:BI$5)*$J313-SUM($AV$6:BI$6)*$K313</f>
        <v>0</v>
      </c>
      <c r="BJ313" s="1">
        <f>SUM($AT313,$AA313:AN313)-SUM($AV$5:BJ$5)*$J313-SUM($AV$6:BJ$6)*$K313</f>
        <v>0</v>
      </c>
      <c r="BK313" s="1">
        <f>SUM($AT313,$AA313:AO313)-SUM($AV$5:BK$5)*$J313-SUM($AV$6:BK$6)*$K313</f>
        <v>0</v>
      </c>
      <c r="BL313" s="1">
        <f>SUM($AT313,$AA313:AP313)-SUM($AV$5:BL$5)*$J313-SUM($AV$6:BL$6)*$K313</f>
        <v>0</v>
      </c>
      <c r="BM313" s="1">
        <f>SUM($AT313,$AA313:AQ313)-SUM($AV$5:BM$5)*$J313-SUM($AV$6:BM$6)*$K313</f>
        <v>0</v>
      </c>
      <c r="BN313" s="1">
        <f>SUM($AT313,$AA313:AR313)-SUM($AV$5:BN$5)*$J313-SUM($AV$6:BN$6)*$K313</f>
        <v>0</v>
      </c>
    </row>
    <row r="314" spans="1:66">
      <c r="A314" s="1">
        <v>380</v>
      </c>
      <c r="B314" s="28" t="s">
        <v>978</v>
      </c>
      <c r="C314" s="1" t="s">
        <v>176</v>
      </c>
      <c r="D314" s="2">
        <v>419271576</v>
      </c>
      <c r="E314" s="3" t="s">
        <v>979</v>
      </c>
      <c r="F314" s="1">
        <v>420349909</v>
      </c>
      <c r="G314" s="1" t="s">
        <v>42</v>
      </c>
      <c r="H314" s="1">
        <v>2</v>
      </c>
      <c r="I314" s="1">
        <v>3</v>
      </c>
      <c r="J314" s="1">
        <v>3</v>
      </c>
      <c r="K314" s="1">
        <v>0</v>
      </c>
      <c r="L314" s="1">
        <v>0</v>
      </c>
      <c r="M314" s="1">
        <f t="shared" si="12"/>
        <v>1746</v>
      </c>
      <c r="N314" s="1">
        <f t="shared" si="13"/>
        <v>1746</v>
      </c>
      <c r="O314" s="2" t="s">
        <v>980</v>
      </c>
      <c r="P314" s="1"/>
      <c r="Q314" s="1">
        <v>0.55000000000000004</v>
      </c>
      <c r="R314" s="1" t="s">
        <v>44</v>
      </c>
      <c r="S314" s="30" t="s">
        <v>930</v>
      </c>
      <c r="T314" s="31" t="s">
        <v>417</v>
      </c>
      <c r="U314" s="1"/>
      <c r="V314" s="1">
        <v>2500</v>
      </c>
      <c r="W314" s="1" t="s">
        <v>418</v>
      </c>
      <c r="X314" s="32" t="s">
        <v>419</v>
      </c>
      <c r="Y314" s="1" t="s">
        <v>420</v>
      </c>
      <c r="Z314" s="2" t="s">
        <v>980</v>
      </c>
      <c r="AA314" s="1"/>
      <c r="AB314" s="1"/>
      <c r="AC314" s="1"/>
      <c r="AD314" s="1"/>
      <c r="AE314" s="1"/>
      <c r="AF314" s="1"/>
      <c r="AG314" s="1"/>
      <c r="AH314" s="1"/>
      <c r="AI314" s="1"/>
      <c r="AJ314" s="1"/>
      <c r="AK314" s="1"/>
      <c r="AL314" s="1"/>
      <c r="AM314" s="1"/>
      <c r="AN314" s="1"/>
      <c r="AO314" s="1"/>
      <c r="AP314" s="1"/>
      <c r="AQ314" s="1"/>
      <c r="AR314" s="1"/>
      <c r="AS314" s="1"/>
      <c r="AT314" s="1"/>
      <c r="AU314" s="1"/>
      <c r="AV314" s="1">
        <f>SUM($AT314,Z314:$AA314)-SUM($AV$5:AV$5)*$J314-SUM($AV$6:AV$6)*$K314</f>
        <v>0</v>
      </c>
      <c r="AW314" s="1">
        <f>SUM($AT314,$AA314:AA314)-SUM($AV$5:AW$5)*$J314-SUM($AV$6:AW$6)*$K314</f>
        <v>0</v>
      </c>
      <c r="AX314" s="1">
        <f>SUM($AT314,$AA314:AB314)-SUM($AV$5:AX$5)*$J314-SUM($AV$6:AX$6)*$K314</f>
        <v>0</v>
      </c>
      <c r="AY314" s="1">
        <f>SUM($AT314,$AA314:AC314)-SUM($AV$5:AY$5)*$J314-SUM($AV$6:AY$6)*$K314</f>
        <v>0</v>
      </c>
      <c r="AZ314" s="1">
        <f>SUM($AT314,$AA314:AD314)-SUM($AV$5:AZ$5)*$J314-SUM($AV$6:AZ$6)*$K314</f>
        <v>-120</v>
      </c>
      <c r="BA314" s="1">
        <f>SUM($AT314,$AA314:AE314)-SUM($AV$5:BA$5)*$J314-SUM($AV$6:BA$6)*$K314</f>
        <v>-240</v>
      </c>
      <c r="BB314" s="1">
        <f>SUM($AT314,$AA314:AF314)-SUM($AV$5:BB$5)*$J314-SUM($AV$6:BB$6)*$K314</f>
        <v>-360</v>
      </c>
      <c r="BC314" s="1">
        <f>SUM($AT314,$AA314:AG314)-SUM($AV$5:BC$5)*$J314-SUM($AV$6:BC$6)*$K314</f>
        <v>-480</v>
      </c>
      <c r="BD314" s="1">
        <f>SUM($AT314,$AA314:AH314)-SUM($AV$5:BD$5)*$J314-SUM($AV$6:BD$6)*$K314</f>
        <v>-600</v>
      </c>
      <c r="BE314" s="1">
        <f>SUM($AT314,$AA314:AI314)-SUM($AV$5:BE$5)*$J314-SUM($AV$6:BE$6)*$K314</f>
        <v>-720</v>
      </c>
      <c r="BF314" s="1">
        <f>SUM($AT314,$AA314:AJ314)-SUM($AV$5:BF$5)*$J314-SUM($AV$6:BF$6)*$K314</f>
        <v>-840</v>
      </c>
      <c r="BG314" s="1">
        <f>SUM($AT314,$AA314:AK314)-SUM($AV$5:BG$5)*$J314-SUM($AV$6:BG$6)*$K314</f>
        <v>-960</v>
      </c>
      <c r="BH314" s="1">
        <f>SUM($AT314,$AA314:AL314)-SUM($AV$5:BH$5)*$J314-SUM($AV$6:BH$6)*$K314</f>
        <v>-1080</v>
      </c>
      <c r="BI314" s="1">
        <f>SUM($AT314,$AA314:AM314)-SUM($AV$5:BI$5)*$J314-SUM($AV$6:BI$6)*$K314</f>
        <v>-1200</v>
      </c>
      <c r="BJ314" s="1">
        <f>SUM($AT314,$AA314:AN314)-SUM($AV$5:BJ$5)*$J314-SUM($AV$6:BJ$6)*$K314</f>
        <v>-1320</v>
      </c>
      <c r="BK314" s="1">
        <f>SUM($AT314,$AA314:AO314)-SUM($AV$5:BK$5)*$J314-SUM($AV$6:BK$6)*$K314</f>
        <v>-1440</v>
      </c>
      <c r="BL314" s="1">
        <f>SUM($AT314,$AA314:AP314)-SUM($AV$5:BL$5)*$J314-SUM($AV$6:BL$6)*$K314</f>
        <v>-1560</v>
      </c>
      <c r="BM314" s="1">
        <f>SUM($AT314,$AA314:AQ314)-SUM($AV$5:BM$5)*$J314-SUM($AV$6:BM$6)*$K314</f>
        <v>-1680</v>
      </c>
      <c r="BN314" s="1">
        <f>SUM($AT314,$AA314:AR314)-SUM($AV$5:BN$5)*$J314-SUM($AV$6:BN$6)*$K314</f>
        <v>-1746</v>
      </c>
    </row>
    <row r="315" spans="1:66">
      <c r="A315" s="1">
        <v>361</v>
      </c>
      <c r="B315" s="28" t="s">
        <v>981</v>
      </c>
      <c r="C315" s="1" t="s">
        <v>40</v>
      </c>
      <c r="D315" s="2" t="s">
        <v>982</v>
      </c>
      <c r="E315" s="3" t="s">
        <v>983</v>
      </c>
      <c r="F315" s="1"/>
      <c r="G315" s="1" t="s">
        <v>42</v>
      </c>
      <c r="H315" s="1">
        <v>1</v>
      </c>
      <c r="I315" s="1">
        <v>1</v>
      </c>
      <c r="J315" s="1">
        <v>1</v>
      </c>
      <c r="K315" s="1">
        <v>0</v>
      </c>
      <c r="L315" s="1">
        <v>0</v>
      </c>
      <c r="M315" s="1">
        <f t="shared" si="12"/>
        <v>582</v>
      </c>
      <c r="N315" s="1">
        <f t="shared" si="13"/>
        <v>582</v>
      </c>
      <c r="O315" s="2" t="s">
        <v>951</v>
      </c>
      <c r="P315" s="1"/>
      <c r="Q315" s="1">
        <v>10.43</v>
      </c>
      <c r="R315" s="1" t="s">
        <v>44</v>
      </c>
      <c r="S315" s="30"/>
      <c r="T315" s="31" t="s">
        <v>952</v>
      </c>
      <c r="U315" s="1"/>
      <c r="V315" s="1">
        <v>35</v>
      </c>
      <c r="W315" s="1" t="s">
        <v>953</v>
      </c>
      <c r="X315" s="32" t="s">
        <v>954</v>
      </c>
      <c r="Y315" s="1" t="s">
        <v>955</v>
      </c>
      <c r="Z315" s="2" t="s">
        <v>951</v>
      </c>
      <c r="AA315" s="1"/>
      <c r="AB315" s="1"/>
      <c r="AC315" s="1"/>
      <c r="AD315" s="1"/>
      <c r="AE315" s="1"/>
      <c r="AF315" s="1"/>
      <c r="AG315" s="1"/>
      <c r="AH315" s="1"/>
      <c r="AI315" s="1"/>
      <c r="AJ315" s="1"/>
      <c r="AK315" s="1"/>
      <c r="AL315" s="1"/>
      <c r="AM315" s="1"/>
      <c r="AN315" s="1"/>
      <c r="AO315" s="1"/>
      <c r="AP315" s="1"/>
      <c r="AQ315" s="1"/>
      <c r="AR315" s="1"/>
      <c r="AS315" s="1"/>
      <c r="AT315" s="1"/>
      <c r="AU315" s="1"/>
      <c r="AV315" s="1">
        <f>SUM($AT315,Z315:$AA315)-SUM($AV$5:AV$5)*$J315-SUM($AV$6:AV$6)*$K315</f>
        <v>0</v>
      </c>
      <c r="AW315" s="1">
        <f>SUM($AT315,$AA315:AA315)-SUM($AV$5:AW$5)*$J315-SUM($AV$6:AW$6)*$K315</f>
        <v>0</v>
      </c>
      <c r="AX315" s="1">
        <f>SUM($AT315,$AA315:AB315)-SUM($AV$5:AX$5)*$J315-SUM($AV$6:AX$6)*$K315</f>
        <v>0</v>
      </c>
      <c r="AY315" s="1">
        <f>SUM($AT315,$AA315:AC315)-SUM($AV$5:AY$5)*$J315-SUM($AV$6:AY$6)*$K315</f>
        <v>0</v>
      </c>
      <c r="AZ315" s="1">
        <f>SUM($AT315,$AA315:AD315)-SUM($AV$5:AZ$5)*$J315-SUM($AV$6:AZ$6)*$K315</f>
        <v>-40</v>
      </c>
      <c r="BA315" s="1">
        <f>SUM($AT315,$AA315:AE315)-SUM($AV$5:BA$5)*$J315-SUM($AV$6:BA$6)*$K315</f>
        <v>-80</v>
      </c>
      <c r="BB315" s="1">
        <f>SUM($AT315,$AA315:AF315)-SUM($AV$5:BB$5)*$J315-SUM($AV$6:BB$6)*$K315</f>
        <v>-120</v>
      </c>
      <c r="BC315" s="1">
        <f>SUM($AT315,$AA315:AG315)-SUM($AV$5:BC$5)*$J315-SUM($AV$6:BC$6)*$K315</f>
        <v>-160</v>
      </c>
      <c r="BD315" s="1">
        <f>SUM($AT315,$AA315:AH315)-SUM($AV$5:BD$5)*$J315-SUM($AV$6:BD$6)*$K315</f>
        <v>-200</v>
      </c>
      <c r="BE315" s="1">
        <f>SUM($AT315,$AA315:AI315)-SUM($AV$5:BE$5)*$J315-SUM($AV$6:BE$6)*$K315</f>
        <v>-240</v>
      </c>
      <c r="BF315" s="1">
        <f>SUM($AT315,$AA315:AJ315)-SUM($AV$5:BF$5)*$J315-SUM($AV$6:BF$6)*$K315</f>
        <v>-280</v>
      </c>
      <c r="BG315" s="1">
        <f>SUM($AT315,$AA315:AK315)-SUM($AV$5:BG$5)*$J315-SUM($AV$6:BG$6)*$K315</f>
        <v>-320</v>
      </c>
      <c r="BH315" s="1">
        <f>SUM($AT315,$AA315:AL315)-SUM($AV$5:BH$5)*$J315-SUM($AV$6:BH$6)*$K315</f>
        <v>-360</v>
      </c>
      <c r="BI315" s="1">
        <f>SUM($AT315,$AA315:AM315)-SUM($AV$5:BI$5)*$J315-SUM($AV$6:BI$6)*$K315</f>
        <v>-400</v>
      </c>
      <c r="BJ315" s="1">
        <f>SUM($AT315,$AA315:AN315)-SUM($AV$5:BJ$5)*$J315-SUM($AV$6:BJ$6)*$K315</f>
        <v>-440</v>
      </c>
      <c r="BK315" s="1">
        <f>SUM($AT315,$AA315:AO315)-SUM($AV$5:BK$5)*$J315-SUM($AV$6:BK$6)*$K315</f>
        <v>-480</v>
      </c>
      <c r="BL315" s="1">
        <f>SUM($AT315,$AA315:AP315)-SUM($AV$5:BL$5)*$J315-SUM($AV$6:BL$6)*$K315</f>
        <v>-520</v>
      </c>
      <c r="BM315" s="1">
        <f>SUM($AT315,$AA315:AQ315)-SUM($AV$5:BM$5)*$J315-SUM($AV$6:BM$6)*$K315</f>
        <v>-560</v>
      </c>
      <c r="BN315" s="1">
        <f>SUM($AT315,$AA315:AR315)-SUM($AV$5:BN$5)*$J315-SUM($AV$6:BN$6)*$K315</f>
        <v>-582</v>
      </c>
    </row>
    <row r="316" spans="1:66">
      <c r="A316" s="1">
        <v>383</v>
      </c>
      <c r="B316" s="28" t="s">
        <v>984</v>
      </c>
      <c r="C316" s="1" t="s">
        <v>40</v>
      </c>
      <c r="D316" s="2">
        <v>400828408</v>
      </c>
      <c r="E316" s="3" t="s">
        <v>985</v>
      </c>
      <c r="F316" s="1">
        <v>400525698</v>
      </c>
      <c r="G316" s="1" t="s">
        <v>42</v>
      </c>
      <c r="H316" s="1">
        <v>2</v>
      </c>
      <c r="I316" s="1">
        <v>9</v>
      </c>
      <c r="J316" s="1">
        <v>9</v>
      </c>
      <c r="K316" s="1">
        <v>0</v>
      </c>
      <c r="L316" s="1">
        <v>0</v>
      </c>
      <c r="M316" s="1">
        <f t="shared" si="12"/>
        <v>5238</v>
      </c>
      <c r="N316" s="1">
        <f t="shared" si="13"/>
        <v>5238</v>
      </c>
      <c r="O316" s="2" t="s">
        <v>986</v>
      </c>
      <c r="P316" s="1"/>
      <c r="Q316" s="1">
        <v>0.32</v>
      </c>
      <c r="R316" s="1" t="s">
        <v>44</v>
      </c>
      <c r="S316" s="30" t="s">
        <v>91</v>
      </c>
      <c r="T316" s="31" t="s">
        <v>987</v>
      </c>
      <c r="U316" s="1"/>
      <c r="V316" s="1">
        <v>3000</v>
      </c>
      <c r="W316" s="1" t="s">
        <v>988</v>
      </c>
      <c r="X316" s="32" t="s">
        <v>989</v>
      </c>
      <c r="Y316" s="1" t="s">
        <v>990</v>
      </c>
      <c r="Z316" s="2" t="s">
        <v>986</v>
      </c>
      <c r="AA316" s="1"/>
      <c r="AB316" s="1"/>
      <c r="AC316" s="1"/>
      <c r="AD316" s="1"/>
      <c r="AE316" s="1"/>
      <c r="AF316" s="1"/>
      <c r="AG316" s="1"/>
      <c r="AH316" s="1"/>
      <c r="AI316" s="1"/>
      <c r="AJ316" s="1"/>
      <c r="AK316" s="1"/>
      <c r="AL316" s="1"/>
      <c r="AM316" s="1"/>
      <c r="AN316" s="1"/>
      <c r="AO316" s="1"/>
      <c r="AP316" s="1"/>
      <c r="AQ316" s="1"/>
      <c r="AR316" s="1"/>
      <c r="AS316" s="1"/>
      <c r="AT316" s="1"/>
      <c r="AU316" s="1"/>
      <c r="AV316" s="1">
        <f>SUM($AT316,Z316:$AA316)-SUM($AV$5:AV$5)*$J316-SUM($AV$6:AV$6)*$K316</f>
        <v>0</v>
      </c>
      <c r="AW316" s="1">
        <f>SUM($AT316,$AA316:AA316)-SUM($AV$5:AW$5)*$J316-SUM($AV$6:AW$6)*$K316</f>
        <v>0</v>
      </c>
      <c r="AX316" s="1">
        <f>SUM($AT316,$AA316:AB316)-SUM($AV$5:AX$5)*$J316-SUM($AV$6:AX$6)*$K316</f>
        <v>0</v>
      </c>
      <c r="AY316" s="1">
        <f>SUM($AT316,$AA316:AC316)-SUM($AV$5:AY$5)*$J316-SUM($AV$6:AY$6)*$K316</f>
        <v>0</v>
      </c>
      <c r="AZ316" s="1">
        <f>SUM($AT316,$AA316:AD316)-SUM($AV$5:AZ$5)*$J316-SUM($AV$6:AZ$6)*$K316</f>
        <v>-360</v>
      </c>
      <c r="BA316" s="1">
        <f>SUM($AT316,$AA316:AE316)-SUM($AV$5:BA$5)*$J316-SUM($AV$6:BA$6)*$K316</f>
        <v>-720</v>
      </c>
      <c r="BB316" s="1">
        <f>SUM($AT316,$AA316:AF316)-SUM($AV$5:BB$5)*$J316-SUM($AV$6:BB$6)*$K316</f>
        <v>-1080</v>
      </c>
      <c r="BC316" s="1">
        <f>SUM($AT316,$AA316:AG316)-SUM($AV$5:BC$5)*$J316-SUM($AV$6:BC$6)*$K316</f>
        <v>-1440</v>
      </c>
      <c r="BD316" s="1">
        <f>SUM($AT316,$AA316:AH316)-SUM($AV$5:BD$5)*$J316-SUM($AV$6:BD$6)*$K316</f>
        <v>-1800</v>
      </c>
      <c r="BE316" s="1">
        <f>SUM($AT316,$AA316:AI316)-SUM($AV$5:BE$5)*$J316-SUM($AV$6:BE$6)*$K316</f>
        <v>-2160</v>
      </c>
      <c r="BF316" s="1">
        <f>SUM($AT316,$AA316:AJ316)-SUM($AV$5:BF$5)*$J316-SUM($AV$6:BF$6)*$K316</f>
        <v>-2520</v>
      </c>
      <c r="BG316" s="1">
        <f>SUM($AT316,$AA316:AK316)-SUM($AV$5:BG$5)*$J316-SUM($AV$6:BG$6)*$K316</f>
        <v>-2880</v>
      </c>
      <c r="BH316" s="1">
        <f>SUM($AT316,$AA316:AL316)-SUM($AV$5:BH$5)*$J316-SUM($AV$6:BH$6)*$K316</f>
        <v>-3240</v>
      </c>
      <c r="BI316" s="1">
        <f>SUM($AT316,$AA316:AM316)-SUM($AV$5:BI$5)*$J316-SUM($AV$6:BI$6)*$K316</f>
        <v>-3600</v>
      </c>
      <c r="BJ316" s="1">
        <f>SUM($AT316,$AA316:AN316)-SUM($AV$5:BJ$5)*$J316-SUM($AV$6:BJ$6)*$K316</f>
        <v>-3960</v>
      </c>
      <c r="BK316" s="1">
        <f>SUM($AT316,$AA316:AO316)-SUM($AV$5:BK$5)*$J316-SUM($AV$6:BK$6)*$K316</f>
        <v>-4320</v>
      </c>
      <c r="BL316" s="1">
        <f>SUM($AT316,$AA316:AP316)-SUM($AV$5:BL$5)*$J316-SUM($AV$6:BL$6)*$K316</f>
        <v>-4680</v>
      </c>
      <c r="BM316" s="1">
        <f>SUM($AT316,$AA316:AQ316)-SUM($AV$5:BM$5)*$J316-SUM($AV$6:BM$6)*$K316</f>
        <v>-5040</v>
      </c>
      <c r="BN316" s="1">
        <f>SUM($AT316,$AA316:AR316)-SUM($AV$5:BN$5)*$J316-SUM($AV$6:BN$6)*$K316</f>
        <v>-5238</v>
      </c>
    </row>
    <row r="317" spans="1:66">
      <c r="A317" s="1">
        <v>384</v>
      </c>
      <c r="B317" s="28" t="s">
        <v>991</v>
      </c>
      <c r="C317" s="1" t="s">
        <v>40</v>
      </c>
      <c r="D317" s="2">
        <v>400493373</v>
      </c>
      <c r="E317" s="3" t="s">
        <v>992</v>
      </c>
      <c r="F317" s="1"/>
      <c r="G317" s="1" t="s">
        <v>42</v>
      </c>
      <c r="H317" s="1">
        <v>2</v>
      </c>
      <c r="I317" s="1">
        <v>2</v>
      </c>
      <c r="J317" s="1">
        <v>2</v>
      </c>
      <c r="K317" s="1">
        <v>0</v>
      </c>
      <c r="L317" s="1">
        <v>0</v>
      </c>
      <c r="M317" s="1">
        <f t="shared" si="12"/>
        <v>1164</v>
      </c>
      <c r="N317" s="1">
        <f t="shared" si="13"/>
        <v>1164</v>
      </c>
      <c r="O317" s="2" t="s">
        <v>986</v>
      </c>
      <c r="P317" s="1"/>
      <c r="Q317" s="1">
        <v>0.39600000000000002</v>
      </c>
      <c r="R317" s="1" t="s">
        <v>44</v>
      </c>
      <c r="S317" s="30" t="s">
        <v>91</v>
      </c>
      <c r="T317" s="31" t="s">
        <v>987</v>
      </c>
      <c r="U317" s="1"/>
      <c r="V317" s="1">
        <v>3000</v>
      </c>
      <c r="W317" s="1" t="s">
        <v>988</v>
      </c>
      <c r="X317" s="32" t="s">
        <v>989</v>
      </c>
      <c r="Y317" s="1" t="s">
        <v>990</v>
      </c>
      <c r="Z317" s="2" t="s">
        <v>986</v>
      </c>
      <c r="AA317" s="1"/>
      <c r="AB317" s="1"/>
      <c r="AC317" s="1"/>
      <c r="AD317" s="1"/>
      <c r="AE317" s="1"/>
      <c r="AF317" s="1"/>
      <c r="AG317" s="1"/>
      <c r="AH317" s="1"/>
      <c r="AI317" s="1"/>
      <c r="AJ317" s="1"/>
      <c r="AK317" s="1"/>
      <c r="AL317" s="1"/>
      <c r="AM317" s="1"/>
      <c r="AN317" s="1"/>
      <c r="AO317" s="1"/>
      <c r="AP317" s="1"/>
      <c r="AQ317" s="1"/>
      <c r="AR317" s="1"/>
      <c r="AS317" s="1"/>
      <c r="AT317" s="1"/>
      <c r="AU317" s="1"/>
      <c r="AV317" s="1">
        <f>SUM($AT317,Z317:$AA317)-SUM($AV$5:AV$5)*$J317-SUM($AV$6:AV$6)*$K317</f>
        <v>0</v>
      </c>
      <c r="AW317" s="1">
        <f>SUM($AT317,$AA317:AA317)-SUM($AV$5:AW$5)*$J317-SUM($AV$6:AW$6)*$K317</f>
        <v>0</v>
      </c>
      <c r="AX317" s="1">
        <f>SUM($AT317,$AA317:AB317)-SUM($AV$5:AX$5)*$J317-SUM($AV$6:AX$6)*$K317</f>
        <v>0</v>
      </c>
      <c r="AY317" s="1">
        <f>SUM($AT317,$AA317:AC317)-SUM($AV$5:AY$5)*$J317-SUM($AV$6:AY$6)*$K317</f>
        <v>0</v>
      </c>
      <c r="AZ317" s="1">
        <f>SUM($AT317,$AA317:AD317)-SUM($AV$5:AZ$5)*$J317-SUM($AV$6:AZ$6)*$K317</f>
        <v>-80</v>
      </c>
      <c r="BA317" s="1">
        <f>SUM($AT317,$AA317:AE317)-SUM($AV$5:BA$5)*$J317-SUM($AV$6:BA$6)*$K317</f>
        <v>-160</v>
      </c>
      <c r="BB317" s="1">
        <f>SUM($AT317,$AA317:AF317)-SUM($AV$5:BB$5)*$J317-SUM($AV$6:BB$6)*$K317</f>
        <v>-240</v>
      </c>
      <c r="BC317" s="1">
        <f>SUM($AT317,$AA317:AG317)-SUM($AV$5:BC$5)*$J317-SUM($AV$6:BC$6)*$K317</f>
        <v>-320</v>
      </c>
      <c r="BD317" s="1">
        <f>SUM($AT317,$AA317:AH317)-SUM($AV$5:BD$5)*$J317-SUM($AV$6:BD$6)*$K317</f>
        <v>-400</v>
      </c>
      <c r="BE317" s="1">
        <f>SUM($AT317,$AA317:AI317)-SUM($AV$5:BE$5)*$J317-SUM($AV$6:BE$6)*$K317</f>
        <v>-480</v>
      </c>
      <c r="BF317" s="1">
        <f>SUM($AT317,$AA317:AJ317)-SUM($AV$5:BF$5)*$J317-SUM($AV$6:BF$6)*$K317</f>
        <v>-560</v>
      </c>
      <c r="BG317" s="1">
        <f>SUM($AT317,$AA317:AK317)-SUM($AV$5:BG$5)*$J317-SUM($AV$6:BG$6)*$K317</f>
        <v>-640</v>
      </c>
      <c r="BH317" s="1">
        <f>SUM($AT317,$AA317:AL317)-SUM($AV$5:BH$5)*$J317-SUM($AV$6:BH$6)*$K317</f>
        <v>-720</v>
      </c>
      <c r="BI317" s="1">
        <f>SUM($AT317,$AA317:AM317)-SUM($AV$5:BI$5)*$J317-SUM($AV$6:BI$6)*$K317</f>
        <v>-800</v>
      </c>
      <c r="BJ317" s="1">
        <f>SUM($AT317,$AA317:AN317)-SUM($AV$5:BJ$5)*$J317-SUM($AV$6:BJ$6)*$K317</f>
        <v>-880</v>
      </c>
      <c r="BK317" s="1">
        <f>SUM($AT317,$AA317:AO317)-SUM($AV$5:BK$5)*$J317-SUM($AV$6:BK$6)*$K317</f>
        <v>-960</v>
      </c>
      <c r="BL317" s="1">
        <f>SUM($AT317,$AA317:AP317)-SUM($AV$5:BL$5)*$J317-SUM($AV$6:BL$6)*$K317</f>
        <v>-1040</v>
      </c>
      <c r="BM317" s="1">
        <f>SUM($AT317,$AA317:AQ317)-SUM($AV$5:BM$5)*$J317-SUM($AV$6:BM$6)*$K317</f>
        <v>-1120</v>
      </c>
      <c r="BN317" s="1">
        <f>SUM($AT317,$AA317:AR317)-SUM($AV$5:BN$5)*$J317-SUM($AV$6:BN$6)*$K317</f>
        <v>-1164</v>
      </c>
    </row>
    <row r="318" spans="1:66">
      <c r="A318" s="1">
        <v>438</v>
      </c>
      <c r="B318" s="28" t="s">
        <v>993</v>
      </c>
      <c r="C318" s="1" t="s">
        <v>40</v>
      </c>
      <c r="D318" s="2">
        <v>400653150</v>
      </c>
      <c r="E318" s="3" t="s">
        <v>994</v>
      </c>
      <c r="F318" s="1"/>
      <c r="G318" s="1" t="s">
        <v>42</v>
      </c>
      <c r="H318" s="1">
        <v>2</v>
      </c>
      <c r="I318" s="1">
        <v>16</v>
      </c>
      <c r="J318" s="1">
        <v>16</v>
      </c>
      <c r="K318" s="1">
        <v>0</v>
      </c>
      <c r="L318" s="1">
        <v>0</v>
      </c>
      <c r="M318" s="1">
        <f t="shared" si="12"/>
        <v>9312</v>
      </c>
      <c r="N318" s="1">
        <f t="shared" si="13"/>
        <v>9312</v>
      </c>
      <c r="O318" s="2" t="s">
        <v>951</v>
      </c>
      <c r="P318" s="1"/>
      <c r="Q318" s="1">
        <v>3.31</v>
      </c>
      <c r="R318" s="1" t="s">
        <v>44</v>
      </c>
      <c r="S318" s="30"/>
      <c r="T318" s="31" t="s">
        <v>952</v>
      </c>
      <c r="U318" s="1"/>
      <c r="V318" s="1">
        <v>1000</v>
      </c>
      <c r="W318" s="1" t="s">
        <v>953</v>
      </c>
      <c r="X318" s="32" t="s">
        <v>954</v>
      </c>
      <c r="Y318" s="1" t="s">
        <v>955</v>
      </c>
      <c r="Z318" s="2" t="s">
        <v>951</v>
      </c>
      <c r="AA318" s="1"/>
      <c r="AB318" s="1"/>
      <c r="AC318" s="1"/>
      <c r="AD318" s="1"/>
      <c r="AE318" s="1"/>
      <c r="AF318" s="1"/>
      <c r="AG318" s="1"/>
      <c r="AH318" s="1"/>
      <c r="AI318" s="1"/>
      <c r="AJ318" s="1"/>
      <c r="AK318" s="1"/>
      <c r="AL318" s="1"/>
      <c r="AM318" s="1"/>
      <c r="AN318" s="1"/>
      <c r="AO318" s="1"/>
      <c r="AP318" s="1"/>
      <c r="AQ318" s="1"/>
      <c r="AR318" s="1"/>
      <c r="AS318" s="1"/>
      <c r="AT318" s="1"/>
      <c r="AU318" s="1"/>
      <c r="AV318" s="1">
        <f>SUM($AT318,Z318:$AA318)-SUM($AV$5:AV$5)*$J318-SUM($AV$6:AV$6)*$K318</f>
        <v>0</v>
      </c>
      <c r="AW318" s="1">
        <f>SUM($AT318,$AA318:AA318)-SUM($AV$5:AW$5)*$J318-SUM($AV$6:AW$6)*$K318</f>
        <v>0</v>
      </c>
      <c r="AX318" s="1">
        <f>SUM($AT318,$AA318:AB318)-SUM($AV$5:AX$5)*$J318-SUM($AV$6:AX$6)*$K318</f>
        <v>0</v>
      </c>
      <c r="AY318" s="1">
        <f>SUM($AT318,$AA318:AC318)-SUM($AV$5:AY$5)*$J318-SUM($AV$6:AY$6)*$K318</f>
        <v>0</v>
      </c>
      <c r="AZ318" s="1">
        <f>SUM($AT318,$AA318:AD318)-SUM($AV$5:AZ$5)*$J318-SUM($AV$6:AZ$6)*$K318</f>
        <v>-640</v>
      </c>
      <c r="BA318" s="1">
        <f>SUM($AT318,$AA318:AE318)-SUM($AV$5:BA$5)*$J318-SUM($AV$6:BA$6)*$K318</f>
        <v>-1280</v>
      </c>
      <c r="BB318" s="1">
        <f>SUM($AT318,$AA318:AF318)-SUM($AV$5:BB$5)*$J318-SUM($AV$6:BB$6)*$K318</f>
        <v>-1920</v>
      </c>
      <c r="BC318" s="1">
        <f>SUM($AT318,$AA318:AG318)-SUM($AV$5:BC$5)*$J318-SUM($AV$6:BC$6)*$K318</f>
        <v>-2560</v>
      </c>
      <c r="BD318" s="1">
        <f>SUM($AT318,$AA318:AH318)-SUM($AV$5:BD$5)*$J318-SUM($AV$6:BD$6)*$K318</f>
        <v>-3200</v>
      </c>
      <c r="BE318" s="1">
        <f>SUM($AT318,$AA318:AI318)-SUM($AV$5:BE$5)*$J318-SUM($AV$6:BE$6)*$K318</f>
        <v>-3840</v>
      </c>
      <c r="BF318" s="1">
        <f>SUM($AT318,$AA318:AJ318)-SUM($AV$5:BF$5)*$J318-SUM($AV$6:BF$6)*$K318</f>
        <v>-4480</v>
      </c>
      <c r="BG318" s="1">
        <f>SUM($AT318,$AA318:AK318)-SUM($AV$5:BG$5)*$J318-SUM($AV$6:BG$6)*$K318</f>
        <v>-5120</v>
      </c>
      <c r="BH318" s="1">
        <f>SUM($AT318,$AA318:AL318)-SUM($AV$5:BH$5)*$J318-SUM($AV$6:BH$6)*$K318</f>
        <v>-5760</v>
      </c>
      <c r="BI318" s="1">
        <f>SUM($AT318,$AA318:AM318)-SUM($AV$5:BI$5)*$J318-SUM($AV$6:BI$6)*$K318</f>
        <v>-6400</v>
      </c>
      <c r="BJ318" s="1">
        <f>SUM($AT318,$AA318:AN318)-SUM($AV$5:BJ$5)*$J318-SUM($AV$6:BJ$6)*$K318</f>
        <v>-7040</v>
      </c>
      <c r="BK318" s="1">
        <f>SUM($AT318,$AA318:AO318)-SUM($AV$5:BK$5)*$J318-SUM($AV$6:BK$6)*$K318</f>
        <v>-7680</v>
      </c>
      <c r="BL318" s="1">
        <f>SUM($AT318,$AA318:AP318)-SUM($AV$5:BL$5)*$J318-SUM($AV$6:BL$6)*$K318</f>
        <v>-8320</v>
      </c>
      <c r="BM318" s="1">
        <f>SUM($AT318,$AA318:AQ318)-SUM($AV$5:BM$5)*$J318-SUM($AV$6:BM$6)*$K318</f>
        <v>-8960</v>
      </c>
      <c r="BN318" s="1">
        <f>SUM($AT318,$AA318:AR318)-SUM($AV$5:BN$5)*$J318-SUM($AV$6:BN$6)*$K318</f>
        <v>-9312</v>
      </c>
    </row>
    <row r="319" spans="1:66">
      <c r="A319" s="1">
        <v>391</v>
      </c>
      <c r="B319" s="28" t="s">
        <v>995</v>
      </c>
      <c r="C319" s="1" t="s">
        <v>40</v>
      </c>
      <c r="D319" s="2">
        <v>400567121</v>
      </c>
      <c r="E319" s="3" t="s">
        <v>996</v>
      </c>
      <c r="F319" s="1">
        <v>400856507</v>
      </c>
      <c r="G319" s="1" t="s">
        <v>42</v>
      </c>
      <c r="H319" s="1">
        <v>2</v>
      </c>
      <c r="I319" s="1">
        <v>1</v>
      </c>
      <c r="J319" s="1">
        <v>1</v>
      </c>
      <c r="K319" s="1">
        <v>0</v>
      </c>
      <c r="L319" s="1">
        <v>0</v>
      </c>
      <c r="M319" s="1">
        <f t="shared" si="12"/>
        <v>582</v>
      </c>
      <c r="N319" s="1">
        <f t="shared" si="13"/>
        <v>582</v>
      </c>
      <c r="O319" s="2" t="s">
        <v>323</v>
      </c>
      <c r="P319" s="1"/>
      <c r="Q319" s="1">
        <v>2.2000000000000002</v>
      </c>
      <c r="R319" s="1" t="s">
        <v>44</v>
      </c>
      <c r="S319" s="30" t="s">
        <v>324</v>
      </c>
      <c r="T319" s="31" t="s">
        <v>323</v>
      </c>
      <c r="U319" s="1"/>
      <c r="V319" s="1">
        <v>1000</v>
      </c>
      <c r="W319" s="1" t="s">
        <v>325</v>
      </c>
      <c r="X319" s="32" t="s">
        <v>326</v>
      </c>
      <c r="Y319" s="1" t="s">
        <v>327</v>
      </c>
      <c r="Z319" s="2" t="s">
        <v>323</v>
      </c>
      <c r="AA319" s="1"/>
      <c r="AB319" s="1"/>
      <c r="AC319" s="1"/>
      <c r="AD319" s="1"/>
      <c r="AE319" s="1"/>
      <c r="AF319" s="1"/>
      <c r="AG319" s="1"/>
      <c r="AH319" s="1"/>
      <c r="AI319" s="1"/>
      <c r="AJ319" s="1"/>
      <c r="AK319" s="1"/>
      <c r="AL319" s="1"/>
      <c r="AM319" s="1"/>
      <c r="AN319" s="1"/>
      <c r="AO319" s="1"/>
      <c r="AP319" s="1"/>
      <c r="AQ319" s="1"/>
      <c r="AR319" s="1"/>
      <c r="AS319" s="1"/>
      <c r="AT319" s="1"/>
      <c r="AU319" s="1"/>
      <c r="AV319" s="1">
        <f>SUM($AT319,Z319:$AA319)-SUM($AV$5:AV$5)*$J319-SUM($AV$6:AV$6)*$K319</f>
        <v>0</v>
      </c>
      <c r="AW319" s="1">
        <f>SUM($AT319,$AA319:AA319)-SUM($AV$5:AW$5)*$J319-SUM($AV$6:AW$6)*$K319</f>
        <v>0</v>
      </c>
      <c r="AX319" s="1">
        <f>SUM($AT319,$AA319:AB319)-SUM($AV$5:AX$5)*$J319-SUM($AV$6:AX$6)*$K319</f>
        <v>0</v>
      </c>
      <c r="AY319" s="1">
        <f>SUM($AT319,$AA319:AC319)-SUM($AV$5:AY$5)*$J319-SUM($AV$6:AY$6)*$K319</f>
        <v>0</v>
      </c>
      <c r="AZ319" s="1">
        <f>SUM($AT319,$AA319:AD319)-SUM($AV$5:AZ$5)*$J319-SUM($AV$6:AZ$6)*$K319</f>
        <v>-40</v>
      </c>
      <c r="BA319" s="1">
        <f>SUM($AT319,$AA319:AE319)-SUM($AV$5:BA$5)*$J319-SUM($AV$6:BA$6)*$K319</f>
        <v>-80</v>
      </c>
      <c r="BB319" s="1">
        <f>SUM($AT319,$AA319:AF319)-SUM($AV$5:BB$5)*$J319-SUM($AV$6:BB$6)*$K319</f>
        <v>-120</v>
      </c>
      <c r="BC319" s="1">
        <f>SUM($AT319,$AA319:AG319)-SUM($AV$5:BC$5)*$J319-SUM($AV$6:BC$6)*$K319</f>
        <v>-160</v>
      </c>
      <c r="BD319" s="1">
        <f>SUM($AT319,$AA319:AH319)-SUM($AV$5:BD$5)*$J319-SUM($AV$6:BD$6)*$K319</f>
        <v>-200</v>
      </c>
      <c r="BE319" s="1">
        <f>SUM($AT319,$AA319:AI319)-SUM($AV$5:BE$5)*$J319-SUM($AV$6:BE$6)*$K319</f>
        <v>-240</v>
      </c>
      <c r="BF319" s="1">
        <f>SUM($AT319,$AA319:AJ319)-SUM($AV$5:BF$5)*$J319-SUM($AV$6:BF$6)*$K319</f>
        <v>-280</v>
      </c>
      <c r="BG319" s="1">
        <f>SUM($AT319,$AA319:AK319)-SUM($AV$5:BG$5)*$J319-SUM($AV$6:BG$6)*$K319</f>
        <v>-320</v>
      </c>
      <c r="BH319" s="1">
        <f>SUM($AT319,$AA319:AL319)-SUM($AV$5:BH$5)*$J319-SUM($AV$6:BH$6)*$K319</f>
        <v>-360</v>
      </c>
      <c r="BI319" s="1">
        <f>SUM($AT319,$AA319:AM319)-SUM($AV$5:BI$5)*$J319-SUM($AV$6:BI$6)*$K319</f>
        <v>-400</v>
      </c>
      <c r="BJ319" s="1">
        <f>SUM($AT319,$AA319:AN319)-SUM($AV$5:BJ$5)*$J319-SUM($AV$6:BJ$6)*$K319</f>
        <v>-440</v>
      </c>
      <c r="BK319" s="1">
        <f>SUM($AT319,$AA319:AO319)-SUM($AV$5:BK$5)*$J319-SUM($AV$6:BK$6)*$K319</f>
        <v>-480</v>
      </c>
      <c r="BL319" s="1">
        <f>SUM($AT319,$AA319:AP319)-SUM($AV$5:BL$5)*$J319-SUM($AV$6:BL$6)*$K319</f>
        <v>-520</v>
      </c>
      <c r="BM319" s="1">
        <f>SUM($AT319,$AA319:AQ319)-SUM($AV$5:BM$5)*$J319-SUM($AV$6:BM$6)*$K319</f>
        <v>-560</v>
      </c>
      <c r="BN319" s="1">
        <f>SUM($AT319,$AA319:AR319)-SUM($AV$5:BN$5)*$J319-SUM($AV$6:BN$6)*$K319</f>
        <v>-582</v>
      </c>
    </row>
    <row r="320" spans="1:66">
      <c r="A320" s="1">
        <v>443</v>
      </c>
      <c r="B320" s="28" t="s">
        <v>997</v>
      </c>
      <c r="C320" s="1" t="s">
        <v>40</v>
      </c>
      <c r="D320" s="2" t="s">
        <v>998</v>
      </c>
      <c r="E320" s="3" t="s">
        <v>999</v>
      </c>
      <c r="F320" s="1"/>
      <c r="G320" s="1" t="s">
        <v>42</v>
      </c>
      <c r="H320" s="1">
        <v>2</v>
      </c>
      <c r="I320" s="1">
        <v>2</v>
      </c>
      <c r="J320" s="1">
        <v>2</v>
      </c>
      <c r="K320" s="1">
        <v>0</v>
      </c>
      <c r="L320" s="1">
        <v>0</v>
      </c>
      <c r="M320" s="1">
        <f t="shared" si="12"/>
        <v>1164</v>
      </c>
      <c r="N320" s="1">
        <f t="shared" si="13"/>
        <v>1164</v>
      </c>
      <c r="O320" s="2" t="s">
        <v>951</v>
      </c>
      <c r="P320" s="1"/>
      <c r="Q320" s="1">
        <v>5.23</v>
      </c>
      <c r="R320" s="1" t="s">
        <v>44</v>
      </c>
      <c r="S320" s="30"/>
      <c r="T320" s="31" t="s">
        <v>952</v>
      </c>
      <c r="U320" s="1"/>
      <c r="V320" s="1">
        <v>250</v>
      </c>
      <c r="W320" s="1" t="s">
        <v>953</v>
      </c>
      <c r="X320" s="32" t="s">
        <v>954</v>
      </c>
      <c r="Y320" s="1" t="s">
        <v>955</v>
      </c>
      <c r="Z320" s="2" t="s">
        <v>951</v>
      </c>
      <c r="AA320" s="1"/>
      <c r="AB320" s="1"/>
      <c r="AC320" s="1"/>
      <c r="AD320" s="1"/>
      <c r="AE320" s="1"/>
      <c r="AF320" s="1"/>
      <c r="AG320" s="1"/>
      <c r="AH320" s="1"/>
      <c r="AI320" s="1"/>
      <c r="AJ320" s="1"/>
      <c r="AK320" s="1"/>
      <c r="AL320" s="1"/>
      <c r="AM320" s="1"/>
      <c r="AN320" s="1"/>
      <c r="AO320" s="1"/>
      <c r="AP320" s="1"/>
      <c r="AQ320" s="1"/>
      <c r="AR320" s="1"/>
      <c r="AS320" s="1"/>
      <c r="AT320" s="1"/>
      <c r="AU320" s="1"/>
      <c r="AV320" s="1">
        <f>SUM($AT320,Z320:$AA320)-SUM($AV$5:AV$5)*$J320-SUM($AV$6:AV$6)*$K320</f>
        <v>0</v>
      </c>
      <c r="AW320" s="1">
        <f>SUM($AT320,$AA320:AA320)-SUM($AV$5:AW$5)*$J320-SUM($AV$6:AW$6)*$K320</f>
        <v>0</v>
      </c>
      <c r="AX320" s="1">
        <f>SUM($AT320,$AA320:AB320)-SUM($AV$5:AX$5)*$J320-SUM($AV$6:AX$6)*$K320</f>
        <v>0</v>
      </c>
      <c r="AY320" s="1">
        <f>SUM($AT320,$AA320:AC320)-SUM($AV$5:AY$5)*$J320-SUM($AV$6:AY$6)*$K320</f>
        <v>0</v>
      </c>
      <c r="AZ320" s="1">
        <f>SUM($AT320,$AA320:AD320)-SUM($AV$5:AZ$5)*$J320-SUM($AV$6:AZ$6)*$K320</f>
        <v>-80</v>
      </c>
      <c r="BA320" s="1">
        <f>SUM($AT320,$AA320:AE320)-SUM($AV$5:BA$5)*$J320-SUM($AV$6:BA$6)*$K320</f>
        <v>-160</v>
      </c>
      <c r="BB320" s="1">
        <f>SUM($AT320,$AA320:AF320)-SUM($AV$5:BB$5)*$J320-SUM($AV$6:BB$6)*$K320</f>
        <v>-240</v>
      </c>
      <c r="BC320" s="1">
        <f>SUM($AT320,$AA320:AG320)-SUM($AV$5:BC$5)*$J320-SUM($AV$6:BC$6)*$K320</f>
        <v>-320</v>
      </c>
      <c r="BD320" s="1">
        <f>SUM($AT320,$AA320:AH320)-SUM($AV$5:BD$5)*$J320-SUM($AV$6:BD$6)*$K320</f>
        <v>-400</v>
      </c>
      <c r="BE320" s="1">
        <f>SUM($AT320,$AA320:AI320)-SUM($AV$5:BE$5)*$J320-SUM($AV$6:BE$6)*$K320</f>
        <v>-480</v>
      </c>
      <c r="BF320" s="1">
        <f>SUM($AT320,$AA320:AJ320)-SUM($AV$5:BF$5)*$J320-SUM($AV$6:BF$6)*$K320</f>
        <v>-560</v>
      </c>
      <c r="BG320" s="1">
        <f>SUM($AT320,$AA320:AK320)-SUM($AV$5:BG$5)*$J320-SUM($AV$6:BG$6)*$K320</f>
        <v>-640</v>
      </c>
      <c r="BH320" s="1">
        <f>SUM($AT320,$AA320:AL320)-SUM($AV$5:BH$5)*$J320-SUM($AV$6:BH$6)*$K320</f>
        <v>-720</v>
      </c>
      <c r="BI320" s="1">
        <f>SUM($AT320,$AA320:AM320)-SUM($AV$5:BI$5)*$J320-SUM($AV$6:BI$6)*$K320</f>
        <v>-800</v>
      </c>
      <c r="BJ320" s="1">
        <f>SUM($AT320,$AA320:AN320)-SUM($AV$5:BJ$5)*$J320-SUM($AV$6:BJ$6)*$K320</f>
        <v>-880</v>
      </c>
      <c r="BK320" s="1">
        <f>SUM($AT320,$AA320:AO320)-SUM($AV$5:BK$5)*$J320-SUM($AV$6:BK$6)*$K320</f>
        <v>-960</v>
      </c>
      <c r="BL320" s="1">
        <f>SUM($AT320,$AA320:AP320)-SUM($AV$5:BL$5)*$J320-SUM($AV$6:BL$6)*$K320</f>
        <v>-1040</v>
      </c>
      <c r="BM320" s="1">
        <f>SUM($AT320,$AA320:AQ320)-SUM($AV$5:BM$5)*$J320-SUM($AV$6:BM$6)*$K320</f>
        <v>-1120</v>
      </c>
      <c r="BN320" s="1">
        <f>SUM($AT320,$AA320:AR320)-SUM($AV$5:BN$5)*$J320-SUM($AV$6:BN$6)*$K320</f>
        <v>-1164</v>
      </c>
    </row>
    <row r="321" spans="1:66">
      <c r="A321" s="1">
        <v>444</v>
      </c>
      <c r="B321" s="28" t="s">
        <v>1000</v>
      </c>
      <c r="C321" s="1" t="s">
        <v>40</v>
      </c>
      <c r="D321" s="2" t="s">
        <v>1001</v>
      </c>
      <c r="E321" s="3" t="s">
        <v>1002</v>
      </c>
      <c r="F321" s="1"/>
      <c r="G321" s="1" t="s">
        <v>42</v>
      </c>
      <c r="H321" s="1">
        <v>1</v>
      </c>
      <c r="I321" s="1">
        <v>2</v>
      </c>
      <c r="J321" s="1">
        <v>2</v>
      </c>
      <c r="K321" s="1">
        <v>0</v>
      </c>
      <c r="L321" s="1">
        <v>0</v>
      </c>
      <c r="M321" s="1">
        <f t="shared" si="12"/>
        <v>1164</v>
      </c>
      <c r="N321" s="1">
        <f t="shared" si="13"/>
        <v>1164</v>
      </c>
      <c r="O321" s="2" t="s">
        <v>951</v>
      </c>
      <c r="P321" s="1"/>
      <c r="Q321" s="1">
        <v>5.49</v>
      </c>
      <c r="R321" s="1" t="s">
        <v>44</v>
      </c>
      <c r="S321" s="30"/>
      <c r="T321" s="31" t="s">
        <v>952</v>
      </c>
      <c r="U321" s="1"/>
      <c r="V321" s="1">
        <v>100</v>
      </c>
      <c r="W321" s="1" t="s">
        <v>953</v>
      </c>
      <c r="X321" s="32" t="s">
        <v>954</v>
      </c>
      <c r="Y321" s="1" t="s">
        <v>955</v>
      </c>
      <c r="Z321" s="2" t="s">
        <v>951</v>
      </c>
      <c r="AA321" s="1"/>
      <c r="AB321" s="1"/>
      <c r="AC321" s="1"/>
      <c r="AD321" s="1"/>
      <c r="AE321" s="1"/>
      <c r="AF321" s="1"/>
      <c r="AG321" s="1"/>
      <c r="AH321" s="1"/>
      <c r="AI321" s="1"/>
      <c r="AJ321" s="1"/>
      <c r="AK321" s="1"/>
      <c r="AL321" s="1"/>
      <c r="AM321" s="1"/>
      <c r="AN321" s="1"/>
      <c r="AO321" s="1"/>
      <c r="AP321" s="1"/>
      <c r="AQ321" s="1"/>
      <c r="AR321" s="1"/>
      <c r="AS321" s="1"/>
      <c r="AT321" s="1"/>
      <c r="AU321" s="1"/>
      <c r="AV321" s="1">
        <f>SUM($AT321,Z321:$AA321)-SUM($AV$5:AV$5)*$J321-SUM($AV$6:AV$6)*$K321</f>
        <v>0</v>
      </c>
      <c r="AW321" s="1">
        <f>SUM($AT321,$AA321:AA321)-SUM($AV$5:AW$5)*$J321-SUM($AV$6:AW$6)*$K321</f>
        <v>0</v>
      </c>
      <c r="AX321" s="1">
        <f>SUM($AT321,$AA321:AB321)-SUM($AV$5:AX$5)*$J321-SUM($AV$6:AX$6)*$K321</f>
        <v>0</v>
      </c>
      <c r="AY321" s="1">
        <f>SUM($AT321,$AA321:AC321)-SUM($AV$5:AY$5)*$J321-SUM($AV$6:AY$6)*$K321</f>
        <v>0</v>
      </c>
      <c r="AZ321" s="1">
        <f>SUM($AT321,$AA321:AD321)-SUM($AV$5:AZ$5)*$J321-SUM($AV$6:AZ$6)*$K321</f>
        <v>-80</v>
      </c>
      <c r="BA321" s="1">
        <f>SUM($AT321,$AA321:AE321)-SUM($AV$5:BA$5)*$J321-SUM($AV$6:BA$6)*$K321</f>
        <v>-160</v>
      </c>
      <c r="BB321" s="1">
        <f>SUM($AT321,$AA321:AF321)-SUM($AV$5:BB$5)*$J321-SUM($AV$6:BB$6)*$K321</f>
        <v>-240</v>
      </c>
      <c r="BC321" s="1">
        <f>SUM($AT321,$AA321:AG321)-SUM($AV$5:BC$5)*$J321-SUM($AV$6:BC$6)*$K321</f>
        <v>-320</v>
      </c>
      <c r="BD321" s="1">
        <f>SUM($AT321,$AA321:AH321)-SUM($AV$5:BD$5)*$J321-SUM($AV$6:BD$6)*$K321</f>
        <v>-400</v>
      </c>
      <c r="BE321" s="1">
        <f>SUM($AT321,$AA321:AI321)-SUM($AV$5:BE$5)*$J321-SUM($AV$6:BE$6)*$K321</f>
        <v>-480</v>
      </c>
      <c r="BF321" s="1">
        <f>SUM($AT321,$AA321:AJ321)-SUM($AV$5:BF$5)*$J321-SUM($AV$6:BF$6)*$K321</f>
        <v>-560</v>
      </c>
      <c r="BG321" s="1">
        <f>SUM($AT321,$AA321:AK321)-SUM($AV$5:BG$5)*$J321-SUM($AV$6:BG$6)*$K321</f>
        <v>-640</v>
      </c>
      <c r="BH321" s="1">
        <f>SUM($AT321,$AA321:AL321)-SUM($AV$5:BH$5)*$J321-SUM($AV$6:BH$6)*$K321</f>
        <v>-720</v>
      </c>
      <c r="BI321" s="1">
        <f>SUM($AT321,$AA321:AM321)-SUM($AV$5:BI$5)*$J321-SUM($AV$6:BI$6)*$K321</f>
        <v>-800</v>
      </c>
      <c r="BJ321" s="1">
        <f>SUM($AT321,$AA321:AN321)-SUM($AV$5:BJ$5)*$J321-SUM($AV$6:BJ$6)*$K321</f>
        <v>-880</v>
      </c>
      <c r="BK321" s="1">
        <f>SUM($AT321,$AA321:AO321)-SUM($AV$5:BK$5)*$J321-SUM($AV$6:BK$6)*$K321</f>
        <v>-960</v>
      </c>
      <c r="BL321" s="1">
        <f>SUM($AT321,$AA321:AP321)-SUM($AV$5:BL$5)*$J321-SUM($AV$6:BL$6)*$K321</f>
        <v>-1040</v>
      </c>
      <c r="BM321" s="1">
        <f>SUM($AT321,$AA321:AQ321)-SUM($AV$5:BM$5)*$J321-SUM($AV$6:BM$6)*$K321</f>
        <v>-1120</v>
      </c>
      <c r="BN321" s="1">
        <f>SUM($AT321,$AA321:AR321)-SUM($AV$5:BN$5)*$J321-SUM($AV$6:BN$6)*$K321</f>
        <v>-1164</v>
      </c>
    </row>
    <row r="322" spans="1:66">
      <c r="A322" s="1">
        <v>445</v>
      </c>
      <c r="B322" s="28" t="s">
        <v>1003</v>
      </c>
      <c r="C322" s="1" t="s">
        <v>40</v>
      </c>
      <c r="D322" s="2" t="s">
        <v>1004</v>
      </c>
      <c r="E322" s="3" t="s">
        <v>1005</v>
      </c>
      <c r="F322" s="1"/>
      <c r="G322" s="1" t="s">
        <v>42</v>
      </c>
      <c r="H322" s="1">
        <v>2</v>
      </c>
      <c r="I322" s="1">
        <v>2</v>
      </c>
      <c r="J322" s="1">
        <v>2</v>
      </c>
      <c r="K322" s="1">
        <v>0</v>
      </c>
      <c r="L322" s="1">
        <v>0</v>
      </c>
      <c r="M322" s="1">
        <f t="shared" si="12"/>
        <v>1164</v>
      </c>
      <c r="N322" s="1">
        <f t="shared" si="13"/>
        <v>1164</v>
      </c>
      <c r="O322" s="2" t="s">
        <v>951</v>
      </c>
      <c r="P322" s="1"/>
      <c r="Q322" s="1">
        <v>5.23</v>
      </c>
      <c r="R322" s="1" t="s">
        <v>44</v>
      </c>
      <c r="S322" s="30"/>
      <c r="T322" s="31" t="s">
        <v>952</v>
      </c>
      <c r="U322" s="1"/>
      <c r="V322" s="1">
        <v>500</v>
      </c>
      <c r="W322" s="1" t="s">
        <v>953</v>
      </c>
      <c r="X322" s="32" t="s">
        <v>954</v>
      </c>
      <c r="Y322" s="1" t="s">
        <v>955</v>
      </c>
      <c r="Z322" s="2" t="s">
        <v>951</v>
      </c>
      <c r="AA322" s="1"/>
      <c r="AB322" s="1"/>
      <c r="AC322" s="1"/>
      <c r="AD322" s="1"/>
      <c r="AE322" s="1"/>
      <c r="AF322" s="1"/>
      <c r="AG322" s="1"/>
      <c r="AH322" s="1"/>
      <c r="AI322" s="1"/>
      <c r="AJ322" s="1"/>
      <c r="AK322" s="1"/>
      <c r="AL322" s="1"/>
      <c r="AM322" s="1"/>
      <c r="AN322" s="1"/>
      <c r="AO322" s="1"/>
      <c r="AP322" s="1"/>
      <c r="AQ322" s="1"/>
      <c r="AR322" s="1"/>
      <c r="AS322" s="1"/>
      <c r="AT322" s="1"/>
      <c r="AU322" s="1"/>
      <c r="AV322" s="1">
        <f>SUM($AT322,Z322:$AA322)-SUM($AV$5:AV$5)*$J322-SUM($AV$6:AV$6)*$K322</f>
        <v>0</v>
      </c>
      <c r="AW322" s="1">
        <f>SUM($AT322,$AA322:AA322)-SUM($AV$5:AW$5)*$J322-SUM($AV$6:AW$6)*$K322</f>
        <v>0</v>
      </c>
      <c r="AX322" s="1">
        <f>SUM($AT322,$AA322:AB322)-SUM($AV$5:AX$5)*$J322-SUM($AV$6:AX$6)*$K322</f>
        <v>0</v>
      </c>
      <c r="AY322" s="1">
        <f>SUM($AT322,$AA322:AC322)-SUM($AV$5:AY$5)*$J322-SUM($AV$6:AY$6)*$K322</f>
        <v>0</v>
      </c>
      <c r="AZ322" s="1">
        <f>SUM($AT322,$AA322:AD322)-SUM($AV$5:AZ$5)*$J322-SUM($AV$6:AZ$6)*$K322</f>
        <v>-80</v>
      </c>
      <c r="BA322" s="1">
        <f>SUM($AT322,$AA322:AE322)-SUM($AV$5:BA$5)*$J322-SUM($AV$6:BA$6)*$K322</f>
        <v>-160</v>
      </c>
      <c r="BB322" s="1">
        <f>SUM($AT322,$AA322:AF322)-SUM($AV$5:BB$5)*$J322-SUM($AV$6:BB$6)*$K322</f>
        <v>-240</v>
      </c>
      <c r="BC322" s="1">
        <f>SUM($AT322,$AA322:AG322)-SUM($AV$5:BC$5)*$J322-SUM($AV$6:BC$6)*$K322</f>
        <v>-320</v>
      </c>
      <c r="BD322" s="1">
        <f>SUM($AT322,$AA322:AH322)-SUM($AV$5:BD$5)*$J322-SUM($AV$6:BD$6)*$K322</f>
        <v>-400</v>
      </c>
      <c r="BE322" s="1">
        <f>SUM($AT322,$AA322:AI322)-SUM($AV$5:BE$5)*$J322-SUM($AV$6:BE$6)*$K322</f>
        <v>-480</v>
      </c>
      <c r="BF322" s="1">
        <f>SUM($AT322,$AA322:AJ322)-SUM($AV$5:BF$5)*$J322-SUM($AV$6:BF$6)*$K322</f>
        <v>-560</v>
      </c>
      <c r="BG322" s="1">
        <f>SUM($AT322,$AA322:AK322)-SUM($AV$5:BG$5)*$J322-SUM($AV$6:BG$6)*$K322</f>
        <v>-640</v>
      </c>
      <c r="BH322" s="1">
        <f>SUM($AT322,$AA322:AL322)-SUM($AV$5:BH$5)*$J322-SUM($AV$6:BH$6)*$K322</f>
        <v>-720</v>
      </c>
      <c r="BI322" s="1">
        <f>SUM($AT322,$AA322:AM322)-SUM($AV$5:BI$5)*$J322-SUM($AV$6:BI$6)*$K322</f>
        <v>-800</v>
      </c>
      <c r="BJ322" s="1">
        <f>SUM($AT322,$AA322:AN322)-SUM($AV$5:BJ$5)*$J322-SUM($AV$6:BJ$6)*$K322</f>
        <v>-880</v>
      </c>
      <c r="BK322" s="1">
        <f>SUM($AT322,$AA322:AO322)-SUM($AV$5:BK$5)*$J322-SUM($AV$6:BK$6)*$K322</f>
        <v>-960</v>
      </c>
      <c r="BL322" s="1">
        <f>SUM($AT322,$AA322:AP322)-SUM($AV$5:BL$5)*$J322-SUM($AV$6:BL$6)*$K322</f>
        <v>-1040</v>
      </c>
      <c r="BM322" s="1">
        <f>SUM($AT322,$AA322:AQ322)-SUM($AV$5:BM$5)*$J322-SUM($AV$6:BM$6)*$K322</f>
        <v>-1120</v>
      </c>
      <c r="BN322" s="1">
        <f>SUM($AT322,$AA322:AR322)-SUM($AV$5:BN$5)*$J322-SUM($AV$6:BN$6)*$K322</f>
        <v>-1164</v>
      </c>
    </row>
    <row r="323" spans="1:66">
      <c r="A323" s="1">
        <v>446</v>
      </c>
      <c r="B323" s="28" t="s">
        <v>1006</v>
      </c>
      <c r="C323" s="1" t="s">
        <v>40</v>
      </c>
      <c r="D323" s="2" t="s">
        <v>1007</v>
      </c>
      <c r="E323" s="3" t="s">
        <v>1005</v>
      </c>
      <c r="F323" s="1"/>
      <c r="G323" s="1" t="s">
        <v>42</v>
      </c>
      <c r="H323" s="1">
        <v>1</v>
      </c>
      <c r="I323" s="1">
        <v>1</v>
      </c>
      <c r="J323" s="1">
        <v>1</v>
      </c>
      <c r="K323" s="1">
        <v>0</v>
      </c>
      <c r="L323" s="1">
        <v>0</v>
      </c>
      <c r="M323" s="1">
        <f t="shared" si="12"/>
        <v>582</v>
      </c>
      <c r="N323" s="1">
        <f t="shared" si="13"/>
        <v>582</v>
      </c>
      <c r="O323" s="2" t="s">
        <v>951</v>
      </c>
      <c r="P323" s="1"/>
      <c r="Q323" s="1">
        <v>7.71</v>
      </c>
      <c r="R323" s="1" t="s">
        <v>44</v>
      </c>
      <c r="S323" s="30"/>
      <c r="T323" s="31" t="s">
        <v>952</v>
      </c>
      <c r="U323" s="1"/>
      <c r="V323" s="1">
        <v>125</v>
      </c>
      <c r="W323" s="1" t="s">
        <v>953</v>
      </c>
      <c r="X323" s="32" t="s">
        <v>954</v>
      </c>
      <c r="Y323" s="1" t="s">
        <v>955</v>
      </c>
      <c r="Z323" s="2" t="s">
        <v>951</v>
      </c>
      <c r="AA323" s="1"/>
      <c r="AB323" s="1"/>
      <c r="AC323" s="1"/>
      <c r="AD323" s="1"/>
      <c r="AE323" s="1"/>
      <c r="AF323" s="1"/>
      <c r="AG323" s="1"/>
      <c r="AH323" s="1"/>
      <c r="AI323" s="1"/>
      <c r="AJ323" s="1"/>
      <c r="AK323" s="1"/>
      <c r="AL323" s="1"/>
      <c r="AM323" s="1"/>
      <c r="AN323" s="1"/>
      <c r="AO323" s="1"/>
      <c r="AP323" s="1"/>
      <c r="AQ323" s="1"/>
      <c r="AR323" s="1"/>
      <c r="AS323" s="1"/>
      <c r="AT323" s="1"/>
      <c r="AU323" s="1"/>
      <c r="AV323" s="1">
        <f>SUM($AT323,Z323:$AA323)-SUM($AV$5:AV$5)*$J323-SUM($AV$6:AV$6)*$K323</f>
        <v>0</v>
      </c>
      <c r="AW323" s="1">
        <f>SUM($AT323,$AA323:AA323)-SUM($AV$5:AW$5)*$J323-SUM($AV$6:AW$6)*$K323</f>
        <v>0</v>
      </c>
      <c r="AX323" s="1">
        <f>SUM($AT323,$AA323:AB323)-SUM($AV$5:AX$5)*$J323-SUM($AV$6:AX$6)*$K323</f>
        <v>0</v>
      </c>
      <c r="AY323" s="1">
        <f>SUM($AT323,$AA323:AC323)-SUM($AV$5:AY$5)*$J323-SUM($AV$6:AY$6)*$K323</f>
        <v>0</v>
      </c>
      <c r="AZ323" s="1">
        <f>SUM($AT323,$AA323:AD323)-SUM($AV$5:AZ$5)*$J323-SUM($AV$6:AZ$6)*$K323</f>
        <v>-40</v>
      </c>
      <c r="BA323" s="1">
        <f>SUM($AT323,$AA323:AE323)-SUM($AV$5:BA$5)*$J323-SUM($AV$6:BA$6)*$K323</f>
        <v>-80</v>
      </c>
      <c r="BB323" s="1">
        <f>SUM($AT323,$AA323:AF323)-SUM($AV$5:BB$5)*$J323-SUM($AV$6:BB$6)*$K323</f>
        <v>-120</v>
      </c>
      <c r="BC323" s="1">
        <f>SUM($AT323,$AA323:AG323)-SUM($AV$5:BC$5)*$J323-SUM($AV$6:BC$6)*$K323</f>
        <v>-160</v>
      </c>
      <c r="BD323" s="1">
        <f>SUM($AT323,$AA323:AH323)-SUM($AV$5:BD$5)*$J323-SUM($AV$6:BD$6)*$K323</f>
        <v>-200</v>
      </c>
      <c r="BE323" s="1">
        <f>SUM($AT323,$AA323:AI323)-SUM($AV$5:BE$5)*$J323-SUM($AV$6:BE$6)*$K323</f>
        <v>-240</v>
      </c>
      <c r="BF323" s="1">
        <f>SUM($AT323,$AA323:AJ323)-SUM($AV$5:BF$5)*$J323-SUM($AV$6:BF$6)*$K323</f>
        <v>-280</v>
      </c>
      <c r="BG323" s="1">
        <f>SUM($AT323,$AA323:AK323)-SUM($AV$5:BG$5)*$J323-SUM($AV$6:BG$6)*$K323</f>
        <v>-320</v>
      </c>
      <c r="BH323" s="1">
        <f>SUM($AT323,$AA323:AL323)-SUM($AV$5:BH$5)*$J323-SUM($AV$6:BH$6)*$K323</f>
        <v>-360</v>
      </c>
      <c r="BI323" s="1">
        <f>SUM($AT323,$AA323:AM323)-SUM($AV$5:BI$5)*$J323-SUM($AV$6:BI$6)*$K323</f>
        <v>-400</v>
      </c>
      <c r="BJ323" s="1">
        <f>SUM($AT323,$AA323:AN323)-SUM($AV$5:BJ$5)*$J323-SUM($AV$6:BJ$6)*$K323</f>
        <v>-440</v>
      </c>
      <c r="BK323" s="1">
        <f>SUM($AT323,$AA323:AO323)-SUM($AV$5:BK$5)*$J323-SUM($AV$6:BK$6)*$K323</f>
        <v>-480</v>
      </c>
      <c r="BL323" s="1">
        <f>SUM($AT323,$AA323:AP323)-SUM($AV$5:BL$5)*$J323-SUM($AV$6:BL$6)*$K323</f>
        <v>-520</v>
      </c>
      <c r="BM323" s="1">
        <f>SUM($AT323,$AA323:AQ323)-SUM($AV$5:BM$5)*$J323-SUM($AV$6:BM$6)*$K323</f>
        <v>-560</v>
      </c>
      <c r="BN323" s="1">
        <f>SUM($AT323,$AA323:AR323)-SUM($AV$5:BN$5)*$J323-SUM($AV$6:BN$6)*$K323</f>
        <v>-582</v>
      </c>
    </row>
    <row r="324" spans="1:66">
      <c r="A324" s="1">
        <v>437</v>
      </c>
      <c r="B324" s="28" t="s">
        <v>1008</v>
      </c>
      <c r="C324" s="1" t="s">
        <v>176</v>
      </c>
      <c r="D324" s="2" t="s">
        <v>1009</v>
      </c>
      <c r="E324" s="3" t="s">
        <v>1010</v>
      </c>
      <c r="F324" s="1"/>
      <c r="G324" s="1" t="s">
        <v>42</v>
      </c>
      <c r="H324" s="1">
        <v>2</v>
      </c>
      <c r="I324" s="1">
        <v>4</v>
      </c>
      <c r="J324" s="1">
        <v>0</v>
      </c>
      <c r="K324" s="1">
        <v>0</v>
      </c>
      <c r="L324" s="1">
        <v>4</v>
      </c>
      <c r="M324" s="1">
        <f t="shared" si="12"/>
        <v>1104</v>
      </c>
      <c r="N324" s="1">
        <f t="shared" si="13"/>
        <v>1104</v>
      </c>
      <c r="O324" s="2" t="s">
        <v>951</v>
      </c>
      <c r="P324" s="1"/>
      <c r="Q324" s="1">
        <v>7.77</v>
      </c>
      <c r="R324" s="1" t="s">
        <v>44</v>
      </c>
      <c r="S324" s="30"/>
      <c r="T324" s="31" t="s">
        <v>952</v>
      </c>
      <c r="U324" s="1"/>
      <c r="V324" s="1">
        <v>250</v>
      </c>
      <c r="W324" s="1" t="s">
        <v>953</v>
      </c>
      <c r="X324" s="33" t="s">
        <v>954</v>
      </c>
      <c r="Y324" s="1" t="s">
        <v>955</v>
      </c>
      <c r="Z324" s="2" t="s">
        <v>951</v>
      </c>
      <c r="AA324" s="1"/>
      <c r="AB324" s="1"/>
      <c r="AC324" s="1"/>
      <c r="AD324" s="1"/>
      <c r="AE324" s="1"/>
      <c r="AF324" s="1"/>
      <c r="AG324" s="1"/>
      <c r="AH324" s="1"/>
      <c r="AI324" s="1"/>
      <c r="AJ324" s="1"/>
      <c r="AK324" s="1"/>
      <c r="AL324" s="1"/>
      <c r="AM324" s="1"/>
      <c r="AN324" s="1"/>
      <c r="AO324" s="1"/>
      <c r="AP324" s="1"/>
      <c r="AQ324" s="1"/>
      <c r="AR324" s="1"/>
      <c r="AS324" s="1"/>
      <c r="AT324" s="1"/>
      <c r="AU324" s="1"/>
      <c r="AV324" s="1">
        <f>SUM($AT324,Z324:$AA324)-SUM($AV$5:AV$5)*$J324-SUM($AV$6:AV$6)*$K324</f>
        <v>0</v>
      </c>
      <c r="AW324" s="1">
        <f>SUM($AT324,$AA324:AA324)-SUM($AV$5:AW$5)*$J324-SUM($AV$6:AW$6)*$K324</f>
        <v>0</v>
      </c>
      <c r="AX324" s="1">
        <f>SUM($AT324,$AA324:AB324)-SUM($AV$5:AX$5)*$J324-SUM($AV$6:AX$6)*$K324</f>
        <v>0</v>
      </c>
      <c r="AY324" s="1">
        <f>SUM($AT324,$AA324:AC324)-SUM($AV$5:AY$5)*$J324-SUM($AV$6:AY$6)*$K324</f>
        <v>0</v>
      </c>
      <c r="AZ324" s="1">
        <f>SUM($AT324,$AA324:AD324)-SUM($AV$5:AZ$5)*$J324-SUM($AV$6:AZ$6)*$K324</f>
        <v>0</v>
      </c>
      <c r="BA324" s="1">
        <f>SUM($AT324,$AA324:AE324)-SUM($AV$5:BA$5)*$J324-SUM($AV$6:BA$6)*$K324</f>
        <v>0</v>
      </c>
      <c r="BB324" s="1">
        <f>SUM($AT324,$AA324:AF324)-SUM($AV$5:BB$5)*$J324-SUM($AV$6:BB$6)*$K324</f>
        <v>0</v>
      </c>
      <c r="BC324" s="1">
        <f>SUM($AT324,$AA324:AG324)-SUM($AV$5:BC$5)*$J324-SUM($AV$6:BC$6)*$K324</f>
        <v>0</v>
      </c>
      <c r="BD324" s="1">
        <f>SUM($AT324,$AA324:AH324)-SUM($AV$5:BD$5)*$J324-SUM($AV$6:BD$6)*$K324</f>
        <v>0</v>
      </c>
      <c r="BE324" s="1">
        <f>SUM($AT324,$AA324:AI324)-SUM($AV$5:BE$5)*$J324-SUM($AV$6:BE$6)*$K324</f>
        <v>0</v>
      </c>
      <c r="BF324" s="1">
        <f>SUM($AT324,$AA324:AJ324)-SUM($AV$5:BF$5)*$J324-SUM($AV$6:BF$6)*$K324</f>
        <v>0</v>
      </c>
      <c r="BG324" s="1">
        <f>SUM($AT324,$AA324:AK324)-SUM($AV$5:BG$5)*$J324-SUM($AV$6:BG$6)*$K324</f>
        <v>0</v>
      </c>
      <c r="BH324" s="1">
        <f>SUM($AT324,$AA324:AL324)-SUM($AV$5:BH$5)*$J324-SUM($AV$6:BH$6)*$K324</f>
        <v>0</v>
      </c>
      <c r="BI324" s="1">
        <f>SUM($AT324,$AA324:AM324)-SUM($AV$5:BI$5)*$J324-SUM($AV$6:BI$6)*$K324</f>
        <v>0</v>
      </c>
      <c r="BJ324" s="1">
        <f>SUM($AT324,$AA324:AN324)-SUM($AV$5:BJ$5)*$J324-SUM($AV$6:BJ$6)*$K324</f>
        <v>0</v>
      </c>
      <c r="BK324" s="1">
        <f>SUM($AT324,$AA324:AO324)-SUM($AV$5:BK$5)*$J324-SUM($AV$6:BK$6)*$K324</f>
        <v>0</v>
      </c>
      <c r="BL324" s="1">
        <f>SUM($AT324,$AA324:AP324)-SUM($AV$5:BL$5)*$J324-SUM($AV$6:BL$6)*$K324</f>
        <v>0</v>
      </c>
      <c r="BM324" s="1">
        <f>SUM($AT324,$AA324:AQ324)-SUM($AV$5:BM$5)*$J324-SUM($AV$6:BM$6)*$K324</f>
        <v>0</v>
      </c>
      <c r="BN324" s="1">
        <f>SUM($AT324,$AA324:AR324)-SUM($AV$5:BN$5)*$J324-SUM($AV$6:BN$6)*$K324</f>
        <v>0</v>
      </c>
    </row>
    <row r="325" spans="1:66">
      <c r="A325" s="1">
        <v>404</v>
      </c>
      <c r="B325" s="28" t="s">
        <v>1011</v>
      </c>
      <c r="C325" s="1" t="s">
        <v>40</v>
      </c>
      <c r="D325" s="2">
        <v>408125280</v>
      </c>
      <c r="E325" s="3" t="s">
        <v>1012</v>
      </c>
      <c r="F325" s="1"/>
      <c r="G325" s="1" t="s">
        <v>42</v>
      </c>
      <c r="H325" s="1">
        <v>2</v>
      </c>
      <c r="I325" s="1">
        <v>2</v>
      </c>
      <c r="J325" s="1">
        <v>2</v>
      </c>
      <c r="K325" s="1">
        <v>0</v>
      </c>
      <c r="L325" s="1">
        <v>0</v>
      </c>
      <c r="M325" s="1">
        <f t="shared" si="12"/>
        <v>1164</v>
      </c>
      <c r="N325" s="1">
        <f t="shared" si="13"/>
        <v>1164</v>
      </c>
      <c r="O325" s="2" t="s">
        <v>731</v>
      </c>
      <c r="P325" s="1"/>
      <c r="Q325" s="1">
        <v>0.18</v>
      </c>
      <c r="R325" s="1" t="s">
        <v>44</v>
      </c>
      <c r="S325" s="30" t="s">
        <v>8</v>
      </c>
      <c r="T325" s="31" t="s">
        <v>238</v>
      </c>
      <c r="U325" s="1"/>
      <c r="V325" s="1">
        <v>3000</v>
      </c>
      <c r="W325" s="1" t="s">
        <v>239</v>
      </c>
      <c r="X325" s="32" t="s">
        <v>240</v>
      </c>
      <c r="Y325" s="1" t="s">
        <v>241</v>
      </c>
      <c r="Z325" s="2" t="s">
        <v>242</v>
      </c>
      <c r="AA325" s="1"/>
      <c r="AB325" s="1"/>
      <c r="AC325" s="1"/>
      <c r="AD325" s="1"/>
      <c r="AE325" s="1"/>
      <c r="AF325" s="1"/>
      <c r="AG325" s="1"/>
      <c r="AH325" s="1"/>
      <c r="AI325" s="1"/>
      <c r="AJ325" s="1"/>
      <c r="AK325" s="1"/>
      <c r="AL325" s="1"/>
      <c r="AM325" s="1"/>
      <c r="AN325" s="1"/>
      <c r="AO325" s="1"/>
      <c r="AP325" s="1"/>
      <c r="AQ325" s="1"/>
      <c r="AR325" s="1"/>
      <c r="AS325" s="1"/>
      <c r="AT325" s="1"/>
      <c r="AU325" s="1"/>
      <c r="AV325" s="1">
        <f>SUM($AT325,Z325:$AA325)-SUM($AV$5:AV$5)*$J325-SUM($AV$6:AV$6)*$K325</f>
        <v>0</v>
      </c>
      <c r="AW325" s="1">
        <f>SUM($AT325,$AA325:AA325)-SUM($AV$5:AW$5)*$J325-SUM($AV$6:AW$6)*$K325</f>
        <v>0</v>
      </c>
      <c r="AX325" s="1">
        <f>SUM($AT325,$AA325:AB325)-SUM($AV$5:AX$5)*$J325-SUM($AV$6:AX$6)*$K325</f>
        <v>0</v>
      </c>
      <c r="AY325" s="1">
        <f>SUM($AT325,$AA325:AC325)-SUM($AV$5:AY$5)*$J325-SUM($AV$6:AY$6)*$K325</f>
        <v>0</v>
      </c>
      <c r="AZ325" s="1">
        <f>SUM($AT325,$AA325:AD325)-SUM($AV$5:AZ$5)*$J325-SUM($AV$6:AZ$6)*$K325</f>
        <v>-80</v>
      </c>
      <c r="BA325" s="1">
        <f>SUM($AT325,$AA325:AE325)-SUM($AV$5:BA$5)*$J325-SUM($AV$6:BA$6)*$K325</f>
        <v>-160</v>
      </c>
      <c r="BB325" s="1">
        <f>SUM($AT325,$AA325:AF325)-SUM($AV$5:BB$5)*$J325-SUM($AV$6:BB$6)*$K325</f>
        <v>-240</v>
      </c>
      <c r="BC325" s="1">
        <f>SUM($AT325,$AA325:AG325)-SUM($AV$5:BC$5)*$J325-SUM($AV$6:BC$6)*$K325</f>
        <v>-320</v>
      </c>
      <c r="BD325" s="1">
        <f>SUM($AT325,$AA325:AH325)-SUM($AV$5:BD$5)*$J325-SUM($AV$6:BD$6)*$K325</f>
        <v>-400</v>
      </c>
      <c r="BE325" s="1">
        <f>SUM($AT325,$AA325:AI325)-SUM($AV$5:BE$5)*$J325-SUM($AV$6:BE$6)*$K325</f>
        <v>-480</v>
      </c>
      <c r="BF325" s="1">
        <f>SUM($AT325,$AA325:AJ325)-SUM($AV$5:BF$5)*$J325-SUM($AV$6:BF$6)*$K325</f>
        <v>-560</v>
      </c>
      <c r="BG325" s="1">
        <f>SUM($AT325,$AA325:AK325)-SUM($AV$5:BG$5)*$J325-SUM($AV$6:BG$6)*$K325</f>
        <v>-640</v>
      </c>
      <c r="BH325" s="1">
        <f>SUM($AT325,$AA325:AL325)-SUM($AV$5:BH$5)*$J325-SUM($AV$6:BH$6)*$K325</f>
        <v>-720</v>
      </c>
      <c r="BI325" s="1">
        <f>SUM($AT325,$AA325:AM325)-SUM($AV$5:BI$5)*$J325-SUM($AV$6:BI$6)*$K325</f>
        <v>-800</v>
      </c>
      <c r="BJ325" s="1">
        <f>SUM($AT325,$AA325:AN325)-SUM($AV$5:BJ$5)*$J325-SUM($AV$6:BJ$6)*$K325</f>
        <v>-880</v>
      </c>
      <c r="BK325" s="1">
        <f>SUM($AT325,$AA325:AO325)-SUM($AV$5:BK$5)*$J325-SUM($AV$6:BK$6)*$K325</f>
        <v>-960</v>
      </c>
      <c r="BL325" s="1">
        <f>SUM($AT325,$AA325:AP325)-SUM($AV$5:BL$5)*$J325-SUM($AV$6:BL$6)*$K325</f>
        <v>-1040</v>
      </c>
      <c r="BM325" s="1">
        <f>SUM($AT325,$AA325:AQ325)-SUM($AV$5:BM$5)*$J325-SUM($AV$6:BM$6)*$K325</f>
        <v>-1120</v>
      </c>
      <c r="BN325" s="1">
        <f>SUM($AT325,$AA325:AR325)-SUM($AV$5:BN$5)*$J325-SUM($AV$6:BN$6)*$K325</f>
        <v>-1164</v>
      </c>
    </row>
    <row r="326" spans="1:66">
      <c r="A326" s="1">
        <v>405</v>
      </c>
      <c r="B326" s="28" t="s">
        <v>1013</v>
      </c>
      <c r="C326" s="1" t="s">
        <v>40</v>
      </c>
      <c r="D326" s="2">
        <v>425569528</v>
      </c>
      <c r="E326" s="3" t="s">
        <v>1014</v>
      </c>
      <c r="F326" s="1"/>
      <c r="G326" s="1" t="s">
        <v>42</v>
      </c>
      <c r="H326" s="1">
        <v>2</v>
      </c>
      <c r="I326" s="1">
        <v>16</v>
      </c>
      <c r="J326" s="1">
        <v>16</v>
      </c>
      <c r="K326" s="1">
        <v>0</v>
      </c>
      <c r="L326" s="1">
        <v>0</v>
      </c>
      <c r="M326" s="1">
        <f t="shared" si="12"/>
        <v>9312</v>
      </c>
      <c r="N326" s="1">
        <f t="shared" si="13"/>
        <v>9312</v>
      </c>
      <c r="O326" s="2" t="s">
        <v>380</v>
      </c>
      <c r="P326" s="1"/>
      <c r="Q326" s="1">
        <v>0.48</v>
      </c>
      <c r="R326" s="1" t="s">
        <v>44</v>
      </c>
      <c r="S326" s="30" t="s">
        <v>62</v>
      </c>
      <c r="T326" s="31" t="s">
        <v>238</v>
      </c>
      <c r="U326" s="1"/>
      <c r="V326" s="1">
        <v>3000</v>
      </c>
      <c r="W326" s="1" t="s">
        <v>239</v>
      </c>
      <c r="X326" s="32" t="s">
        <v>240</v>
      </c>
      <c r="Y326" s="1" t="s">
        <v>241</v>
      </c>
      <c r="Z326" s="2" t="s">
        <v>242</v>
      </c>
      <c r="AA326" s="1"/>
      <c r="AB326" s="1"/>
      <c r="AC326" s="1"/>
      <c r="AD326" s="1"/>
      <c r="AE326" s="1"/>
      <c r="AF326" s="1"/>
      <c r="AG326" s="1"/>
      <c r="AH326" s="1"/>
      <c r="AI326" s="1"/>
      <c r="AJ326" s="1"/>
      <c r="AK326" s="1"/>
      <c r="AL326" s="1"/>
      <c r="AM326" s="1"/>
      <c r="AN326" s="1"/>
      <c r="AO326" s="1"/>
      <c r="AP326" s="1"/>
      <c r="AQ326" s="1"/>
      <c r="AR326" s="1"/>
      <c r="AS326" s="1"/>
      <c r="AT326" s="1"/>
      <c r="AU326" s="1"/>
      <c r="AV326" s="1">
        <f>SUM($AT326,Z326:$AA326)-SUM($AV$5:AV$5)*$J326-SUM($AV$6:AV$6)*$K326</f>
        <v>0</v>
      </c>
      <c r="AW326" s="1">
        <f>SUM($AT326,$AA326:AA326)-SUM($AV$5:AW$5)*$J326-SUM($AV$6:AW$6)*$K326</f>
        <v>0</v>
      </c>
      <c r="AX326" s="1">
        <f>SUM($AT326,$AA326:AB326)-SUM($AV$5:AX$5)*$J326-SUM($AV$6:AX$6)*$K326</f>
        <v>0</v>
      </c>
      <c r="AY326" s="1">
        <f>SUM($AT326,$AA326:AC326)-SUM($AV$5:AY$5)*$J326-SUM($AV$6:AY$6)*$K326</f>
        <v>0</v>
      </c>
      <c r="AZ326" s="1">
        <f>SUM($AT326,$AA326:AD326)-SUM($AV$5:AZ$5)*$J326-SUM($AV$6:AZ$6)*$K326</f>
        <v>-640</v>
      </c>
      <c r="BA326" s="1">
        <f>SUM($AT326,$AA326:AE326)-SUM($AV$5:BA$5)*$J326-SUM($AV$6:BA$6)*$K326</f>
        <v>-1280</v>
      </c>
      <c r="BB326" s="1">
        <f>SUM($AT326,$AA326:AF326)-SUM($AV$5:BB$5)*$J326-SUM($AV$6:BB$6)*$K326</f>
        <v>-1920</v>
      </c>
      <c r="BC326" s="1">
        <f>SUM($AT326,$AA326:AG326)-SUM($AV$5:BC$5)*$J326-SUM($AV$6:BC$6)*$K326</f>
        <v>-2560</v>
      </c>
      <c r="BD326" s="1">
        <f>SUM($AT326,$AA326:AH326)-SUM($AV$5:BD$5)*$J326-SUM($AV$6:BD$6)*$K326</f>
        <v>-3200</v>
      </c>
      <c r="BE326" s="1">
        <f>SUM($AT326,$AA326:AI326)-SUM($AV$5:BE$5)*$J326-SUM($AV$6:BE$6)*$K326</f>
        <v>-3840</v>
      </c>
      <c r="BF326" s="1">
        <f>SUM($AT326,$AA326:AJ326)-SUM($AV$5:BF$5)*$J326-SUM($AV$6:BF$6)*$K326</f>
        <v>-4480</v>
      </c>
      <c r="BG326" s="1">
        <f>SUM($AT326,$AA326:AK326)-SUM($AV$5:BG$5)*$J326-SUM($AV$6:BG$6)*$K326</f>
        <v>-5120</v>
      </c>
      <c r="BH326" s="1">
        <f>SUM($AT326,$AA326:AL326)-SUM($AV$5:BH$5)*$J326-SUM($AV$6:BH$6)*$K326</f>
        <v>-5760</v>
      </c>
      <c r="BI326" s="1">
        <f>SUM($AT326,$AA326:AM326)-SUM($AV$5:BI$5)*$J326-SUM($AV$6:BI$6)*$K326</f>
        <v>-6400</v>
      </c>
      <c r="BJ326" s="1">
        <f>SUM($AT326,$AA326:AN326)-SUM($AV$5:BJ$5)*$J326-SUM($AV$6:BJ$6)*$K326</f>
        <v>-7040</v>
      </c>
      <c r="BK326" s="1">
        <f>SUM($AT326,$AA326:AO326)-SUM($AV$5:BK$5)*$J326-SUM($AV$6:BK$6)*$K326</f>
        <v>-7680</v>
      </c>
      <c r="BL326" s="1">
        <f>SUM($AT326,$AA326:AP326)-SUM($AV$5:BL$5)*$J326-SUM($AV$6:BL$6)*$K326</f>
        <v>-8320</v>
      </c>
      <c r="BM326" s="1">
        <f>SUM($AT326,$AA326:AQ326)-SUM($AV$5:BM$5)*$J326-SUM($AV$6:BM$6)*$K326</f>
        <v>-8960</v>
      </c>
      <c r="BN326" s="1">
        <f>SUM($AT326,$AA326:AR326)-SUM($AV$5:BN$5)*$J326-SUM($AV$6:BN$6)*$K326</f>
        <v>-9312</v>
      </c>
    </row>
    <row r="327" spans="1:66">
      <c r="A327" s="1">
        <v>407</v>
      </c>
      <c r="B327" s="28" t="s">
        <v>1015</v>
      </c>
      <c r="C327" s="1" t="s">
        <v>40</v>
      </c>
      <c r="D327" s="2" t="s">
        <v>1016</v>
      </c>
      <c r="E327" s="3" t="s">
        <v>1017</v>
      </c>
      <c r="F327" s="1" t="s">
        <v>1018</v>
      </c>
      <c r="G327" s="1" t="s">
        <v>42</v>
      </c>
      <c r="H327" s="1">
        <v>2</v>
      </c>
      <c r="I327" s="1">
        <v>1</v>
      </c>
      <c r="J327" s="1">
        <v>1</v>
      </c>
      <c r="K327" s="1">
        <v>0</v>
      </c>
      <c r="L327" s="1">
        <v>0</v>
      </c>
      <c r="M327" s="1">
        <f t="shared" si="12"/>
        <v>582</v>
      </c>
      <c r="N327" s="1">
        <f t="shared" si="13"/>
        <v>582</v>
      </c>
      <c r="O327" s="2" t="s">
        <v>1019</v>
      </c>
      <c r="P327" s="1"/>
      <c r="Q327" s="1">
        <v>1.18</v>
      </c>
      <c r="R327" s="1" t="s">
        <v>44</v>
      </c>
      <c r="S327" s="30" t="s">
        <v>1020</v>
      </c>
      <c r="T327" s="31" t="s">
        <v>369</v>
      </c>
      <c r="U327" s="1"/>
      <c r="V327" s="1">
        <v>1000</v>
      </c>
      <c r="W327" s="1" t="s">
        <v>370</v>
      </c>
      <c r="X327" s="32" t="s">
        <v>371</v>
      </c>
      <c r="Y327" s="1" t="s">
        <v>372</v>
      </c>
      <c r="Z327" s="2" t="s">
        <v>1019</v>
      </c>
      <c r="AA327" s="1"/>
      <c r="AB327" s="1"/>
      <c r="AC327" s="1"/>
      <c r="AD327" s="1"/>
      <c r="AE327" s="1"/>
      <c r="AF327" s="1"/>
      <c r="AG327" s="1"/>
      <c r="AH327" s="1"/>
      <c r="AI327" s="1"/>
      <c r="AJ327" s="1"/>
      <c r="AK327" s="1"/>
      <c r="AL327" s="1"/>
      <c r="AM327" s="1"/>
      <c r="AN327" s="1"/>
      <c r="AO327" s="1"/>
      <c r="AP327" s="1"/>
      <c r="AQ327" s="1"/>
      <c r="AR327" s="1"/>
      <c r="AS327" s="1"/>
      <c r="AT327" s="1"/>
      <c r="AU327" s="1"/>
      <c r="AV327" s="1">
        <f>SUM($AT327,Z327:$AA327)-SUM($AV$5:AV$5)*$J327-SUM($AV$6:AV$6)*$K327</f>
        <v>0</v>
      </c>
      <c r="AW327" s="1">
        <f>SUM($AT327,$AA327:AA327)-SUM($AV$5:AW$5)*$J327-SUM($AV$6:AW$6)*$K327</f>
        <v>0</v>
      </c>
      <c r="AX327" s="1">
        <f>SUM($AT327,$AA327:AB327)-SUM($AV$5:AX$5)*$J327-SUM($AV$6:AX$6)*$K327</f>
        <v>0</v>
      </c>
      <c r="AY327" s="1">
        <f>SUM($AT327,$AA327:AC327)-SUM($AV$5:AY$5)*$J327-SUM($AV$6:AY$6)*$K327</f>
        <v>0</v>
      </c>
      <c r="AZ327" s="1">
        <f>SUM($AT327,$AA327:AD327)-SUM($AV$5:AZ$5)*$J327-SUM($AV$6:AZ$6)*$K327</f>
        <v>-40</v>
      </c>
      <c r="BA327" s="1">
        <f>SUM($AT327,$AA327:AE327)-SUM($AV$5:BA$5)*$J327-SUM($AV$6:BA$6)*$K327</f>
        <v>-80</v>
      </c>
      <c r="BB327" s="1">
        <f>SUM($AT327,$AA327:AF327)-SUM($AV$5:BB$5)*$J327-SUM($AV$6:BB$6)*$K327</f>
        <v>-120</v>
      </c>
      <c r="BC327" s="1">
        <f>SUM($AT327,$AA327:AG327)-SUM($AV$5:BC$5)*$J327-SUM($AV$6:BC$6)*$K327</f>
        <v>-160</v>
      </c>
      <c r="BD327" s="1">
        <f>SUM($AT327,$AA327:AH327)-SUM($AV$5:BD$5)*$J327-SUM($AV$6:BD$6)*$K327</f>
        <v>-200</v>
      </c>
      <c r="BE327" s="1">
        <f>SUM($AT327,$AA327:AI327)-SUM($AV$5:BE$5)*$J327-SUM($AV$6:BE$6)*$K327</f>
        <v>-240</v>
      </c>
      <c r="BF327" s="1">
        <f>SUM($AT327,$AA327:AJ327)-SUM($AV$5:BF$5)*$J327-SUM($AV$6:BF$6)*$K327</f>
        <v>-280</v>
      </c>
      <c r="BG327" s="1">
        <f>SUM($AT327,$AA327:AK327)-SUM($AV$5:BG$5)*$J327-SUM($AV$6:BG$6)*$K327</f>
        <v>-320</v>
      </c>
      <c r="BH327" s="1">
        <f>SUM($AT327,$AA327:AL327)-SUM($AV$5:BH$5)*$J327-SUM($AV$6:BH$6)*$K327</f>
        <v>-360</v>
      </c>
      <c r="BI327" s="1">
        <f>SUM($AT327,$AA327:AM327)-SUM($AV$5:BI$5)*$J327-SUM($AV$6:BI$6)*$K327</f>
        <v>-400</v>
      </c>
      <c r="BJ327" s="1">
        <f>SUM($AT327,$AA327:AN327)-SUM($AV$5:BJ$5)*$J327-SUM($AV$6:BJ$6)*$K327</f>
        <v>-440</v>
      </c>
      <c r="BK327" s="1">
        <f>SUM($AT327,$AA327:AO327)-SUM($AV$5:BK$5)*$J327-SUM($AV$6:BK$6)*$K327</f>
        <v>-480</v>
      </c>
      <c r="BL327" s="1">
        <f>SUM($AT327,$AA327:AP327)-SUM($AV$5:BL$5)*$J327-SUM($AV$6:BL$6)*$K327</f>
        <v>-520</v>
      </c>
      <c r="BM327" s="1">
        <f>SUM($AT327,$AA327:AQ327)-SUM($AV$5:BM$5)*$J327-SUM($AV$6:BM$6)*$K327</f>
        <v>-560</v>
      </c>
      <c r="BN327" s="1">
        <f>SUM($AT327,$AA327:AR327)-SUM($AV$5:BN$5)*$J327-SUM($AV$6:BN$6)*$K327</f>
        <v>-582</v>
      </c>
    </row>
    <row r="328" spans="1:66">
      <c r="A328" s="1">
        <v>408</v>
      </c>
      <c r="B328" s="28" t="s">
        <v>1021</v>
      </c>
      <c r="C328" s="1" t="s">
        <v>40</v>
      </c>
      <c r="D328" s="2">
        <v>421483326</v>
      </c>
      <c r="E328" s="3" t="s">
        <v>1022</v>
      </c>
      <c r="F328" s="1"/>
      <c r="G328" s="1" t="s">
        <v>42</v>
      </c>
      <c r="H328" s="1">
        <v>2</v>
      </c>
      <c r="I328" s="1">
        <v>2</v>
      </c>
      <c r="J328" s="1">
        <v>2</v>
      </c>
      <c r="K328" s="1">
        <v>0</v>
      </c>
      <c r="L328" s="1">
        <v>0</v>
      </c>
      <c r="M328" s="1">
        <f t="shared" si="12"/>
        <v>1164</v>
      </c>
      <c r="N328" s="1">
        <f t="shared" si="13"/>
        <v>1164</v>
      </c>
      <c r="O328" s="2" t="s">
        <v>1023</v>
      </c>
      <c r="P328" s="1"/>
      <c r="Q328" s="1">
        <v>0.1</v>
      </c>
      <c r="R328" s="1" t="s">
        <v>44</v>
      </c>
      <c r="S328" s="30" t="s">
        <v>8</v>
      </c>
      <c r="T328" s="31" t="s">
        <v>238</v>
      </c>
      <c r="U328" s="1"/>
      <c r="V328" s="1">
        <v>750</v>
      </c>
      <c r="W328" s="1" t="s">
        <v>239</v>
      </c>
      <c r="X328" s="32" t="s">
        <v>240</v>
      </c>
      <c r="Y328" s="1" t="s">
        <v>241</v>
      </c>
      <c r="Z328" s="2" t="s">
        <v>242</v>
      </c>
      <c r="AA328" s="1"/>
      <c r="AB328" s="1"/>
      <c r="AC328" s="1"/>
      <c r="AD328" s="1"/>
      <c r="AE328" s="1"/>
      <c r="AF328" s="1"/>
      <c r="AG328" s="1"/>
      <c r="AH328" s="1"/>
      <c r="AI328" s="1"/>
      <c r="AJ328" s="1"/>
      <c r="AK328" s="1"/>
      <c r="AL328" s="1"/>
      <c r="AM328" s="1"/>
      <c r="AN328" s="1"/>
      <c r="AO328" s="1"/>
      <c r="AP328" s="1"/>
      <c r="AQ328" s="1"/>
      <c r="AR328" s="1"/>
      <c r="AS328" s="1"/>
      <c r="AT328" s="1"/>
      <c r="AU328" s="1"/>
      <c r="AV328" s="1">
        <f>SUM($AT328,Z328:$AA328)-SUM($AV$5:AV$5)*$J328-SUM($AV$6:AV$6)*$K328</f>
        <v>0</v>
      </c>
      <c r="AW328" s="1">
        <f>SUM($AT328,$AA328:AA328)-SUM($AV$5:AW$5)*$J328-SUM($AV$6:AW$6)*$K328</f>
        <v>0</v>
      </c>
      <c r="AX328" s="1">
        <f>SUM($AT328,$AA328:AB328)-SUM($AV$5:AX$5)*$J328-SUM($AV$6:AX$6)*$K328</f>
        <v>0</v>
      </c>
      <c r="AY328" s="1">
        <f>SUM($AT328,$AA328:AC328)-SUM($AV$5:AY$5)*$J328-SUM($AV$6:AY$6)*$K328</f>
        <v>0</v>
      </c>
      <c r="AZ328" s="1">
        <f>SUM($AT328,$AA328:AD328)-SUM($AV$5:AZ$5)*$J328-SUM($AV$6:AZ$6)*$K328</f>
        <v>-80</v>
      </c>
      <c r="BA328" s="1">
        <f>SUM($AT328,$AA328:AE328)-SUM($AV$5:BA$5)*$J328-SUM($AV$6:BA$6)*$K328</f>
        <v>-160</v>
      </c>
      <c r="BB328" s="1">
        <f>SUM($AT328,$AA328:AF328)-SUM($AV$5:BB$5)*$J328-SUM($AV$6:BB$6)*$K328</f>
        <v>-240</v>
      </c>
      <c r="BC328" s="1">
        <f>SUM($AT328,$AA328:AG328)-SUM($AV$5:BC$5)*$J328-SUM($AV$6:BC$6)*$K328</f>
        <v>-320</v>
      </c>
      <c r="BD328" s="1">
        <f>SUM($AT328,$AA328:AH328)-SUM($AV$5:BD$5)*$J328-SUM($AV$6:BD$6)*$K328</f>
        <v>-400</v>
      </c>
      <c r="BE328" s="1">
        <f>SUM($AT328,$AA328:AI328)-SUM($AV$5:BE$5)*$J328-SUM($AV$6:BE$6)*$K328</f>
        <v>-480</v>
      </c>
      <c r="BF328" s="1">
        <f>SUM($AT328,$AA328:AJ328)-SUM($AV$5:BF$5)*$J328-SUM($AV$6:BF$6)*$K328</f>
        <v>-560</v>
      </c>
      <c r="BG328" s="1">
        <f>SUM($AT328,$AA328:AK328)-SUM($AV$5:BG$5)*$J328-SUM($AV$6:BG$6)*$K328</f>
        <v>-640</v>
      </c>
      <c r="BH328" s="1">
        <f>SUM($AT328,$AA328:AL328)-SUM($AV$5:BH$5)*$J328-SUM($AV$6:BH$6)*$K328</f>
        <v>-720</v>
      </c>
      <c r="BI328" s="1">
        <f>SUM($AT328,$AA328:AM328)-SUM($AV$5:BI$5)*$J328-SUM($AV$6:BI$6)*$K328</f>
        <v>-800</v>
      </c>
      <c r="BJ328" s="1">
        <f>SUM($AT328,$AA328:AN328)-SUM($AV$5:BJ$5)*$J328-SUM($AV$6:BJ$6)*$K328</f>
        <v>-880</v>
      </c>
      <c r="BK328" s="1">
        <f>SUM($AT328,$AA328:AO328)-SUM($AV$5:BK$5)*$J328-SUM($AV$6:BK$6)*$K328</f>
        <v>-960</v>
      </c>
      <c r="BL328" s="1">
        <f>SUM($AT328,$AA328:AP328)-SUM($AV$5:BL$5)*$J328-SUM($AV$6:BL$6)*$K328</f>
        <v>-1040</v>
      </c>
      <c r="BM328" s="1">
        <f>SUM($AT328,$AA328:AQ328)-SUM($AV$5:BM$5)*$J328-SUM($AV$6:BM$6)*$K328</f>
        <v>-1120</v>
      </c>
      <c r="BN328" s="1">
        <f>SUM($AT328,$AA328:AR328)-SUM($AV$5:BN$5)*$J328-SUM($AV$6:BN$6)*$K328</f>
        <v>-1164</v>
      </c>
    </row>
    <row r="329" spans="1:66">
      <c r="A329" s="1">
        <v>409</v>
      </c>
      <c r="B329" s="28" t="s">
        <v>1024</v>
      </c>
      <c r="C329" s="1" t="s">
        <v>40</v>
      </c>
      <c r="D329" s="2">
        <v>401480774</v>
      </c>
      <c r="E329" s="3" t="s">
        <v>1025</v>
      </c>
      <c r="F329" s="1" t="s">
        <v>1026</v>
      </c>
      <c r="G329" s="1" t="s">
        <v>42</v>
      </c>
      <c r="H329" s="1">
        <v>2</v>
      </c>
      <c r="I329" s="1">
        <v>1</v>
      </c>
      <c r="J329" s="1">
        <v>1</v>
      </c>
      <c r="K329" s="1">
        <v>0</v>
      </c>
      <c r="L329" s="1">
        <v>0</v>
      </c>
      <c r="M329" s="1">
        <f t="shared" si="12"/>
        <v>582</v>
      </c>
      <c r="N329" s="1">
        <f t="shared" si="13"/>
        <v>582</v>
      </c>
      <c r="O329" s="2" t="s">
        <v>1023</v>
      </c>
      <c r="P329" s="1"/>
      <c r="Q329" s="1">
        <v>0.06</v>
      </c>
      <c r="R329" s="1" t="s">
        <v>44</v>
      </c>
      <c r="S329" s="30" t="s">
        <v>8</v>
      </c>
      <c r="T329" s="31" t="s">
        <v>238</v>
      </c>
      <c r="U329" s="1"/>
      <c r="V329" s="1">
        <v>750</v>
      </c>
      <c r="W329" s="1" t="s">
        <v>239</v>
      </c>
      <c r="X329" s="32" t="s">
        <v>240</v>
      </c>
      <c r="Y329" s="1" t="s">
        <v>241</v>
      </c>
      <c r="Z329" s="2" t="s">
        <v>242</v>
      </c>
      <c r="AA329" s="1"/>
      <c r="AB329" s="1"/>
      <c r="AC329" s="1"/>
      <c r="AD329" s="1"/>
      <c r="AE329" s="1"/>
      <c r="AF329" s="1"/>
      <c r="AG329" s="1"/>
      <c r="AH329" s="1"/>
      <c r="AI329" s="1"/>
      <c r="AJ329" s="1"/>
      <c r="AK329" s="1"/>
      <c r="AL329" s="1"/>
      <c r="AM329" s="1"/>
      <c r="AN329" s="1"/>
      <c r="AO329" s="1"/>
      <c r="AP329" s="1"/>
      <c r="AQ329" s="1"/>
      <c r="AR329" s="1"/>
      <c r="AS329" s="1"/>
      <c r="AT329" s="1"/>
      <c r="AU329" s="1"/>
      <c r="AV329" s="1">
        <f>SUM($AT329,Z329:$AA329)-SUM($AV$5:AV$5)*$J329-SUM($AV$6:AV$6)*$K329</f>
        <v>0</v>
      </c>
      <c r="AW329" s="1">
        <f>SUM($AT329,$AA329:AA329)-SUM($AV$5:AW$5)*$J329-SUM($AV$6:AW$6)*$K329</f>
        <v>0</v>
      </c>
      <c r="AX329" s="1">
        <f>SUM($AT329,$AA329:AB329)-SUM($AV$5:AX$5)*$J329-SUM($AV$6:AX$6)*$K329</f>
        <v>0</v>
      </c>
      <c r="AY329" s="1">
        <f>SUM($AT329,$AA329:AC329)-SUM($AV$5:AY$5)*$J329-SUM($AV$6:AY$6)*$K329</f>
        <v>0</v>
      </c>
      <c r="AZ329" s="1">
        <f>SUM($AT329,$AA329:AD329)-SUM($AV$5:AZ$5)*$J329-SUM($AV$6:AZ$6)*$K329</f>
        <v>-40</v>
      </c>
      <c r="BA329" s="1">
        <f>SUM($AT329,$AA329:AE329)-SUM($AV$5:BA$5)*$J329-SUM($AV$6:BA$6)*$K329</f>
        <v>-80</v>
      </c>
      <c r="BB329" s="1">
        <f>SUM($AT329,$AA329:AF329)-SUM($AV$5:BB$5)*$J329-SUM($AV$6:BB$6)*$K329</f>
        <v>-120</v>
      </c>
      <c r="BC329" s="1">
        <f>SUM($AT329,$AA329:AG329)-SUM($AV$5:BC$5)*$J329-SUM($AV$6:BC$6)*$K329</f>
        <v>-160</v>
      </c>
      <c r="BD329" s="1">
        <f>SUM($AT329,$AA329:AH329)-SUM($AV$5:BD$5)*$J329-SUM($AV$6:BD$6)*$K329</f>
        <v>-200</v>
      </c>
      <c r="BE329" s="1">
        <f>SUM($AT329,$AA329:AI329)-SUM($AV$5:BE$5)*$J329-SUM($AV$6:BE$6)*$K329</f>
        <v>-240</v>
      </c>
      <c r="BF329" s="1">
        <f>SUM($AT329,$AA329:AJ329)-SUM($AV$5:BF$5)*$J329-SUM($AV$6:BF$6)*$K329</f>
        <v>-280</v>
      </c>
      <c r="BG329" s="1">
        <f>SUM($AT329,$AA329:AK329)-SUM($AV$5:BG$5)*$J329-SUM($AV$6:BG$6)*$K329</f>
        <v>-320</v>
      </c>
      <c r="BH329" s="1">
        <f>SUM($AT329,$AA329:AL329)-SUM($AV$5:BH$5)*$J329-SUM($AV$6:BH$6)*$K329</f>
        <v>-360</v>
      </c>
      <c r="BI329" s="1">
        <f>SUM($AT329,$AA329:AM329)-SUM($AV$5:BI$5)*$J329-SUM($AV$6:BI$6)*$K329</f>
        <v>-400</v>
      </c>
      <c r="BJ329" s="1">
        <f>SUM($AT329,$AA329:AN329)-SUM($AV$5:BJ$5)*$J329-SUM($AV$6:BJ$6)*$K329</f>
        <v>-440</v>
      </c>
      <c r="BK329" s="1">
        <f>SUM($AT329,$AA329:AO329)-SUM($AV$5:BK$5)*$J329-SUM($AV$6:BK$6)*$K329</f>
        <v>-480</v>
      </c>
      <c r="BL329" s="1">
        <f>SUM($AT329,$AA329:AP329)-SUM($AV$5:BL$5)*$J329-SUM($AV$6:BL$6)*$K329</f>
        <v>-520</v>
      </c>
      <c r="BM329" s="1">
        <f>SUM($AT329,$AA329:AQ329)-SUM($AV$5:BM$5)*$J329-SUM($AV$6:BM$6)*$K329</f>
        <v>-560</v>
      </c>
      <c r="BN329" s="1">
        <f>SUM($AT329,$AA329:AR329)-SUM($AV$5:BN$5)*$J329-SUM($AV$6:BN$6)*$K329</f>
        <v>-582</v>
      </c>
    </row>
    <row r="330" spans="1:66">
      <c r="A330" s="1">
        <v>411</v>
      </c>
      <c r="B330" s="28" t="s">
        <v>1027</v>
      </c>
      <c r="C330" s="1" t="s">
        <v>40</v>
      </c>
      <c r="D330" s="2">
        <v>400571854</v>
      </c>
      <c r="E330" s="3" t="s">
        <v>1028</v>
      </c>
      <c r="F330" s="1">
        <v>409936603</v>
      </c>
      <c r="G330" s="1" t="s">
        <v>42</v>
      </c>
      <c r="H330" s="1">
        <v>2</v>
      </c>
      <c r="I330" s="1">
        <v>6</v>
      </c>
      <c r="J330" s="1">
        <v>6</v>
      </c>
      <c r="K330" s="1">
        <v>0</v>
      </c>
      <c r="L330" s="1">
        <v>0</v>
      </c>
      <c r="M330" s="1">
        <f t="shared" si="12"/>
        <v>3492</v>
      </c>
      <c r="N330" s="1">
        <f t="shared" si="13"/>
        <v>3492</v>
      </c>
      <c r="O330" s="2" t="s">
        <v>986</v>
      </c>
      <c r="P330" s="1"/>
      <c r="Q330" s="1">
        <v>1.93</v>
      </c>
      <c r="R330" s="1" t="s">
        <v>44</v>
      </c>
      <c r="S330" s="30" t="s">
        <v>91</v>
      </c>
      <c r="T330" s="31" t="s">
        <v>987</v>
      </c>
      <c r="U330" s="1"/>
      <c r="V330" s="1">
        <v>1000</v>
      </c>
      <c r="W330" s="1" t="s">
        <v>988</v>
      </c>
      <c r="X330" s="32" t="s">
        <v>989</v>
      </c>
      <c r="Y330" s="1" t="s">
        <v>990</v>
      </c>
      <c r="Z330" s="2" t="s">
        <v>986</v>
      </c>
      <c r="AA330" s="1"/>
      <c r="AB330" s="1"/>
      <c r="AC330" s="1"/>
      <c r="AD330" s="1"/>
      <c r="AE330" s="1"/>
      <c r="AF330" s="1"/>
      <c r="AG330" s="1"/>
      <c r="AH330" s="1"/>
      <c r="AI330" s="1"/>
      <c r="AJ330" s="1"/>
      <c r="AK330" s="1"/>
      <c r="AL330" s="1"/>
      <c r="AM330" s="1"/>
      <c r="AN330" s="1"/>
      <c r="AO330" s="1"/>
      <c r="AP330" s="1"/>
      <c r="AQ330" s="1"/>
      <c r="AR330" s="1"/>
      <c r="AS330" s="1"/>
      <c r="AT330" s="1"/>
      <c r="AU330" s="1"/>
      <c r="AV330" s="1">
        <f>SUM($AT330,Z330:$AA330)-SUM($AV$5:AV$5)*$J330-SUM($AV$6:AV$6)*$K330</f>
        <v>0</v>
      </c>
      <c r="AW330" s="1">
        <f>SUM($AT330,$AA330:AA330)-SUM($AV$5:AW$5)*$J330-SUM($AV$6:AW$6)*$K330</f>
        <v>0</v>
      </c>
      <c r="AX330" s="1">
        <f>SUM($AT330,$AA330:AB330)-SUM($AV$5:AX$5)*$J330-SUM($AV$6:AX$6)*$K330</f>
        <v>0</v>
      </c>
      <c r="AY330" s="1">
        <f>SUM($AT330,$AA330:AC330)-SUM($AV$5:AY$5)*$J330-SUM($AV$6:AY$6)*$K330</f>
        <v>0</v>
      </c>
      <c r="AZ330" s="1">
        <f>SUM($AT330,$AA330:AD330)-SUM($AV$5:AZ$5)*$J330-SUM($AV$6:AZ$6)*$K330</f>
        <v>-240</v>
      </c>
      <c r="BA330" s="1">
        <f>SUM($AT330,$AA330:AE330)-SUM($AV$5:BA$5)*$J330-SUM($AV$6:BA$6)*$K330</f>
        <v>-480</v>
      </c>
      <c r="BB330" s="1">
        <f>SUM($AT330,$AA330:AF330)-SUM($AV$5:BB$5)*$J330-SUM($AV$6:BB$6)*$K330</f>
        <v>-720</v>
      </c>
      <c r="BC330" s="1">
        <f>SUM($AT330,$AA330:AG330)-SUM($AV$5:BC$5)*$J330-SUM($AV$6:BC$6)*$K330</f>
        <v>-960</v>
      </c>
      <c r="BD330" s="1">
        <f>SUM($AT330,$AA330:AH330)-SUM($AV$5:BD$5)*$J330-SUM($AV$6:BD$6)*$K330</f>
        <v>-1200</v>
      </c>
      <c r="BE330" s="1">
        <f>SUM($AT330,$AA330:AI330)-SUM($AV$5:BE$5)*$J330-SUM($AV$6:BE$6)*$K330</f>
        <v>-1440</v>
      </c>
      <c r="BF330" s="1">
        <f>SUM($AT330,$AA330:AJ330)-SUM($AV$5:BF$5)*$J330-SUM($AV$6:BF$6)*$K330</f>
        <v>-1680</v>
      </c>
      <c r="BG330" s="1">
        <f>SUM($AT330,$AA330:AK330)-SUM($AV$5:BG$5)*$J330-SUM($AV$6:BG$6)*$K330</f>
        <v>-1920</v>
      </c>
      <c r="BH330" s="1">
        <f>SUM($AT330,$AA330:AL330)-SUM($AV$5:BH$5)*$J330-SUM($AV$6:BH$6)*$K330</f>
        <v>-2160</v>
      </c>
      <c r="BI330" s="1">
        <f>SUM($AT330,$AA330:AM330)-SUM($AV$5:BI$5)*$J330-SUM($AV$6:BI$6)*$K330</f>
        <v>-2400</v>
      </c>
      <c r="BJ330" s="1">
        <f>SUM($AT330,$AA330:AN330)-SUM($AV$5:BJ$5)*$J330-SUM($AV$6:BJ$6)*$K330</f>
        <v>-2640</v>
      </c>
      <c r="BK330" s="1">
        <f>SUM($AT330,$AA330:AO330)-SUM($AV$5:BK$5)*$J330-SUM($AV$6:BK$6)*$K330</f>
        <v>-2880</v>
      </c>
      <c r="BL330" s="1">
        <f>SUM($AT330,$AA330:AP330)-SUM($AV$5:BL$5)*$J330-SUM($AV$6:BL$6)*$K330</f>
        <v>-3120</v>
      </c>
      <c r="BM330" s="1">
        <f>SUM($AT330,$AA330:AQ330)-SUM($AV$5:BM$5)*$J330-SUM($AV$6:BM$6)*$K330</f>
        <v>-3360</v>
      </c>
      <c r="BN330" s="1">
        <f>SUM($AT330,$AA330:AR330)-SUM($AV$5:BN$5)*$J330-SUM($AV$6:BN$6)*$K330</f>
        <v>-3492</v>
      </c>
    </row>
    <row r="331" spans="1:66">
      <c r="A331" s="1">
        <v>412</v>
      </c>
      <c r="B331" s="45" t="s">
        <v>1029</v>
      </c>
      <c r="C331" s="1" t="s">
        <v>40</v>
      </c>
      <c r="D331" s="2">
        <v>400570107</v>
      </c>
      <c r="E331" s="3" t="s">
        <v>1030</v>
      </c>
      <c r="F331" s="1">
        <v>400575585</v>
      </c>
      <c r="G331" s="1" t="s">
        <v>42</v>
      </c>
      <c r="H331" s="1">
        <v>2</v>
      </c>
      <c r="I331" s="1">
        <v>1</v>
      </c>
      <c r="J331" s="1">
        <v>1</v>
      </c>
      <c r="K331" s="1">
        <v>0</v>
      </c>
      <c r="L331" s="1">
        <v>0</v>
      </c>
      <c r="M331" s="1">
        <f t="shared" si="12"/>
        <v>582</v>
      </c>
      <c r="N331" s="1">
        <f t="shared" si="13"/>
        <v>582</v>
      </c>
      <c r="O331" s="2" t="s">
        <v>358</v>
      </c>
      <c r="P331" s="1"/>
      <c r="Q331" s="1">
        <v>4.76</v>
      </c>
      <c r="R331" s="1" t="s">
        <v>44</v>
      </c>
      <c r="S331" s="30" t="s">
        <v>359</v>
      </c>
      <c r="T331" s="31" t="s">
        <v>360</v>
      </c>
      <c r="U331" s="1"/>
      <c r="V331" s="1">
        <v>2000</v>
      </c>
      <c r="W331" s="1" t="s">
        <v>361</v>
      </c>
      <c r="X331" s="32" t="s">
        <v>362</v>
      </c>
      <c r="Y331" s="1" t="s">
        <v>363</v>
      </c>
      <c r="Z331" s="2" t="s">
        <v>358</v>
      </c>
      <c r="AA331" s="1"/>
      <c r="AB331" s="1"/>
      <c r="AC331" s="1"/>
      <c r="AD331" s="1"/>
      <c r="AE331" s="1"/>
      <c r="AF331" s="1"/>
      <c r="AG331" s="1"/>
      <c r="AH331" s="1"/>
      <c r="AI331" s="1"/>
      <c r="AJ331" s="1"/>
      <c r="AK331" s="1"/>
      <c r="AL331" s="1"/>
      <c r="AM331" s="1"/>
      <c r="AN331" s="1"/>
      <c r="AO331" s="1"/>
      <c r="AP331" s="1"/>
      <c r="AQ331" s="1"/>
      <c r="AR331" s="1"/>
      <c r="AS331" s="1"/>
      <c r="AT331" s="1"/>
      <c r="AU331" s="1"/>
      <c r="AV331" s="1">
        <f>SUM($AT331,Z331:$AA331)-SUM($AV$5:AV$5)*$J331-SUM($AV$6:AV$6)*$K331</f>
        <v>0</v>
      </c>
      <c r="AW331" s="1">
        <f>SUM($AT331,$AA331:AA331)-SUM($AV$5:AW$5)*$J331-SUM($AV$6:AW$6)*$K331</f>
        <v>0</v>
      </c>
      <c r="AX331" s="1">
        <f>SUM($AT331,$AA331:AB331)-SUM($AV$5:AX$5)*$J331-SUM($AV$6:AX$6)*$K331</f>
        <v>0</v>
      </c>
      <c r="AY331" s="1">
        <f>SUM($AT331,$AA331:AC331)-SUM($AV$5:AY$5)*$J331-SUM($AV$6:AY$6)*$K331</f>
        <v>0</v>
      </c>
      <c r="AZ331" s="1">
        <f>SUM($AT331,$AA331:AD331)-SUM($AV$5:AZ$5)*$J331-SUM($AV$6:AZ$6)*$K331</f>
        <v>-40</v>
      </c>
      <c r="BA331" s="1">
        <f>SUM($AT331,$AA331:AE331)-SUM($AV$5:BA$5)*$J331-SUM($AV$6:BA$6)*$K331</f>
        <v>-80</v>
      </c>
      <c r="BB331" s="1">
        <f>SUM($AT331,$AA331:AF331)-SUM($AV$5:BB$5)*$J331-SUM($AV$6:BB$6)*$K331</f>
        <v>-120</v>
      </c>
      <c r="BC331" s="1">
        <f>SUM($AT331,$AA331:AG331)-SUM($AV$5:BC$5)*$J331-SUM($AV$6:BC$6)*$K331</f>
        <v>-160</v>
      </c>
      <c r="BD331" s="1">
        <f>SUM($AT331,$AA331:AH331)-SUM($AV$5:BD$5)*$J331-SUM($AV$6:BD$6)*$K331</f>
        <v>-200</v>
      </c>
      <c r="BE331" s="1">
        <f>SUM($AT331,$AA331:AI331)-SUM($AV$5:BE$5)*$J331-SUM($AV$6:BE$6)*$K331</f>
        <v>-240</v>
      </c>
      <c r="BF331" s="1">
        <f>SUM($AT331,$AA331:AJ331)-SUM($AV$5:BF$5)*$J331-SUM($AV$6:BF$6)*$K331</f>
        <v>-280</v>
      </c>
      <c r="BG331" s="1">
        <f>SUM($AT331,$AA331:AK331)-SUM($AV$5:BG$5)*$J331-SUM($AV$6:BG$6)*$K331</f>
        <v>-320</v>
      </c>
      <c r="BH331" s="1">
        <f>SUM($AT331,$AA331:AL331)-SUM($AV$5:BH$5)*$J331-SUM($AV$6:BH$6)*$K331</f>
        <v>-360</v>
      </c>
      <c r="BI331" s="1">
        <f>SUM($AT331,$AA331:AM331)-SUM($AV$5:BI$5)*$J331-SUM($AV$6:BI$6)*$K331</f>
        <v>-400</v>
      </c>
      <c r="BJ331" s="1">
        <f>SUM($AT331,$AA331:AN331)-SUM($AV$5:BJ$5)*$J331-SUM($AV$6:BJ$6)*$K331</f>
        <v>-440</v>
      </c>
      <c r="BK331" s="1">
        <f>SUM($AT331,$AA331:AO331)-SUM($AV$5:BK$5)*$J331-SUM($AV$6:BK$6)*$K331</f>
        <v>-480</v>
      </c>
      <c r="BL331" s="1">
        <f>SUM($AT331,$AA331:AP331)-SUM($AV$5:BL$5)*$J331-SUM($AV$6:BL$6)*$K331</f>
        <v>-520</v>
      </c>
      <c r="BM331" s="1">
        <f>SUM($AT331,$AA331:AQ331)-SUM($AV$5:BM$5)*$J331-SUM($AV$6:BM$6)*$K331</f>
        <v>-560</v>
      </c>
      <c r="BN331" s="1">
        <f>SUM($AT331,$AA331:AR331)-SUM($AV$5:BN$5)*$J331-SUM($AV$6:BN$6)*$K331</f>
        <v>-582</v>
      </c>
    </row>
    <row r="332" spans="1:66">
      <c r="A332" s="1">
        <v>414</v>
      </c>
      <c r="B332" s="28" t="s">
        <v>1031</v>
      </c>
      <c r="C332" s="1" t="s">
        <v>40</v>
      </c>
      <c r="D332" s="2">
        <v>403773886</v>
      </c>
      <c r="E332" s="3" t="s">
        <v>1032</v>
      </c>
      <c r="F332" s="1">
        <v>403174917</v>
      </c>
      <c r="G332" s="1" t="s">
        <v>42</v>
      </c>
      <c r="H332" s="1">
        <v>2</v>
      </c>
      <c r="I332" s="1">
        <v>2</v>
      </c>
      <c r="J332" s="1">
        <v>2</v>
      </c>
      <c r="K332" s="1">
        <v>0</v>
      </c>
      <c r="L332" s="1">
        <v>0</v>
      </c>
      <c r="M332" s="1">
        <f t="shared" si="12"/>
        <v>1164</v>
      </c>
      <c r="N332" s="1">
        <f t="shared" si="13"/>
        <v>1164</v>
      </c>
      <c r="O332" s="2" t="s">
        <v>358</v>
      </c>
      <c r="P332" s="1"/>
      <c r="Q332" s="1">
        <v>0.18</v>
      </c>
      <c r="R332" s="1" t="s">
        <v>44</v>
      </c>
      <c r="S332" s="30" t="s">
        <v>359</v>
      </c>
      <c r="T332" s="31" t="s">
        <v>360</v>
      </c>
      <c r="U332" s="1"/>
      <c r="V332" s="1">
        <v>250</v>
      </c>
      <c r="W332" s="1" t="s">
        <v>361</v>
      </c>
      <c r="X332" s="32" t="s">
        <v>362</v>
      </c>
      <c r="Y332" s="1" t="s">
        <v>363</v>
      </c>
      <c r="Z332" s="2" t="s">
        <v>358</v>
      </c>
      <c r="AA332" s="1"/>
      <c r="AB332" s="1"/>
      <c r="AC332" s="1"/>
      <c r="AD332" s="1"/>
      <c r="AE332" s="1"/>
      <c r="AF332" s="1"/>
      <c r="AG332" s="1"/>
      <c r="AH332" s="1"/>
      <c r="AI332" s="1"/>
      <c r="AJ332" s="1"/>
      <c r="AK332" s="1"/>
      <c r="AL332" s="1"/>
      <c r="AM332" s="1"/>
      <c r="AN332" s="1"/>
      <c r="AO332" s="1"/>
      <c r="AP332" s="1"/>
      <c r="AQ332" s="1"/>
      <c r="AR332" s="1"/>
      <c r="AS332" s="1"/>
      <c r="AT332" s="1"/>
      <c r="AU332" s="1"/>
      <c r="AV332" s="1">
        <f>SUM($AT332,Z332:$AA332)-SUM($AV$5:AV$5)*$J332-SUM($AV$6:AV$6)*$K332</f>
        <v>0</v>
      </c>
      <c r="AW332" s="1">
        <f>SUM($AT332,$AA332:AA332)-SUM($AV$5:AW$5)*$J332-SUM($AV$6:AW$6)*$K332</f>
        <v>0</v>
      </c>
      <c r="AX332" s="1">
        <f>SUM($AT332,$AA332:AB332)-SUM($AV$5:AX$5)*$J332-SUM($AV$6:AX$6)*$K332</f>
        <v>0</v>
      </c>
      <c r="AY332" s="1">
        <f>SUM($AT332,$AA332:AC332)-SUM($AV$5:AY$5)*$J332-SUM($AV$6:AY$6)*$K332</f>
        <v>0</v>
      </c>
      <c r="AZ332" s="1">
        <f>SUM($AT332,$AA332:AD332)-SUM($AV$5:AZ$5)*$J332-SUM($AV$6:AZ$6)*$K332</f>
        <v>-80</v>
      </c>
      <c r="BA332" s="1">
        <f>SUM($AT332,$AA332:AE332)-SUM($AV$5:BA$5)*$J332-SUM($AV$6:BA$6)*$K332</f>
        <v>-160</v>
      </c>
      <c r="BB332" s="1">
        <f>SUM($AT332,$AA332:AF332)-SUM($AV$5:BB$5)*$J332-SUM($AV$6:BB$6)*$K332</f>
        <v>-240</v>
      </c>
      <c r="BC332" s="1">
        <f>SUM($AT332,$AA332:AG332)-SUM($AV$5:BC$5)*$J332-SUM($AV$6:BC$6)*$K332</f>
        <v>-320</v>
      </c>
      <c r="BD332" s="1">
        <f>SUM($AT332,$AA332:AH332)-SUM($AV$5:BD$5)*$J332-SUM($AV$6:BD$6)*$K332</f>
        <v>-400</v>
      </c>
      <c r="BE332" s="1">
        <f>SUM($AT332,$AA332:AI332)-SUM($AV$5:BE$5)*$J332-SUM($AV$6:BE$6)*$K332</f>
        <v>-480</v>
      </c>
      <c r="BF332" s="1">
        <f>SUM($AT332,$AA332:AJ332)-SUM($AV$5:BF$5)*$J332-SUM($AV$6:BF$6)*$K332</f>
        <v>-560</v>
      </c>
      <c r="BG332" s="1">
        <f>SUM($AT332,$AA332:AK332)-SUM($AV$5:BG$5)*$J332-SUM($AV$6:BG$6)*$K332</f>
        <v>-640</v>
      </c>
      <c r="BH332" s="1">
        <f>SUM($AT332,$AA332:AL332)-SUM($AV$5:BH$5)*$J332-SUM($AV$6:BH$6)*$K332</f>
        <v>-720</v>
      </c>
      <c r="BI332" s="1">
        <f>SUM($AT332,$AA332:AM332)-SUM($AV$5:BI$5)*$J332-SUM($AV$6:BI$6)*$K332</f>
        <v>-800</v>
      </c>
      <c r="BJ332" s="1">
        <f>SUM($AT332,$AA332:AN332)-SUM($AV$5:BJ$5)*$J332-SUM($AV$6:BJ$6)*$K332</f>
        <v>-880</v>
      </c>
      <c r="BK332" s="1">
        <f>SUM($AT332,$AA332:AO332)-SUM($AV$5:BK$5)*$J332-SUM($AV$6:BK$6)*$K332</f>
        <v>-960</v>
      </c>
      <c r="BL332" s="1">
        <f>SUM($AT332,$AA332:AP332)-SUM($AV$5:BL$5)*$J332-SUM($AV$6:BL$6)*$K332</f>
        <v>-1040</v>
      </c>
      <c r="BM332" s="1">
        <f>SUM($AT332,$AA332:AQ332)-SUM($AV$5:BM$5)*$J332-SUM($AV$6:BM$6)*$K332</f>
        <v>-1120</v>
      </c>
      <c r="BN332" s="1">
        <f>SUM($AT332,$AA332:AR332)-SUM($AV$5:BN$5)*$J332-SUM($AV$6:BN$6)*$K332</f>
        <v>-1164</v>
      </c>
    </row>
    <row r="333" spans="1:66">
      <c r="A333" s="1">
        <v>344</v>
      </c>
      <c r="B333" s="28" t="s">
        <v>1033</v>
      </c>
      <c r="C333" s="1" t="s">
        <v>40</v>
      </c>
      <c r="D333" s="2">
        <v>400857672</v>
      </c>
      <c r="E333" s="3" t="s">
        <v>1034</v>
      </c>
      <c r="F333" s="1"/>
      <c r="G333" s="1" t="s">
        <v>42</v>
      </c>
      <c r="H333" s="1">
        <v>2</v>
      </c>
      <c r="I333" s="1">
        <v>8</v>
      </c>
      <c r="J333" s="1">
        <v>0</v>
      </c>
      <c r="K333" s="1">
        <v>0</v>
      </c>
      <c r="L333" s="1">
        <v>8</v>
      </c>
      <c r="M333" s="1">
        <f t="shared" si="12"/>
        <v>2208</v>
      </c>
      <c r="N333" s="1">
        <f t="shared" si="13"/>
        <v>2208</v>
      </c>
      <c r="O333" s="2" t="s">
        <v>393</v>
      </c>
      <c r="P333" s="1"/>
      <c r="Q333" s="1">
        <v>0.18</v>
      </c>
      <c r="R333" s="1" t="s">
        <v>44</v>
      </c>
      <c r="S333" s="30" t="s">
        <v>386</v>
      </c>
      <c r="T333" s="31" t="s">
        <v>369</v>
      </c>
      <c r="U333" s="1">
        <v>1000</v>
      </c>
      <c r="V333" s="1">
        <v>1000</v>
      </c>
      <c r="W333" s="1" t="s">
        <v>1035</v>
      </c>
      <c r="X333" s="33" t="s">
        <v>371</v>
      </c>
      <c r="Y333" s="1" t="s">
        <v>372</v>
      </c>
      <c r="Z333" s="2" t="s">
        <v>393</v>
      </c>
      <c r="AA333" s="1"/>
      <c r="AB333" s="1"/>
      <c r="AC333" s="1"/>
      <c r="AD333" s="1"/>
      <c r="AE333" s="1"/>
      <c r="AF333" s="1"/>
      <c r="AG333" s="1"/>
      <c r="AH333" s="1"/>
      <c r="AI333" s="1"/>
      <c r="AJ333" s="1"/>
      <c r="AK333" s="1"/>
      <c r="AL333" s="1"/>
      <c r="AM333" s="1"/>
      <c r="AN333" s="1"/>
      <c r="AO333" s="1"/>
      <c r="AP333" s="1"/>
      <c r="AQ333" s="1"/>
      <c r="AR333" s="1"/>
      <c r="AS333" s="1"/>
      <c r="AT333" s="1"/>
      <c r="AU333" s="1"/>
      <c r="AV333" s="1">
        <f>SUM($AT333,Z333:$AA333)-SUM($AV$5:AV$5)*$J333-SUM($AV$6:AV$6)*$K333</f>
        <v>0</v>
      </c>
      <c r="AW333" s="1">
        <f>SUM($AT333,$AA333:AA333)-SUM($AV$5:AW$5)*$J333-SUM($AV$6:AW$6)*$K333</f>
        <v>0</v>
      </c>
      <c r="AX333" s="1">
        <f>SUM($AT333,$AA333:AB333)-SUM($AV$5:AX$5)*$J333-SUM($AV$6:AX$6)*$K333</f>
        <v>0</v>
      </c>
      <c r="AY333" s="1">
        <f>SUM($AT333,$AA333:AC333)-SUM($AV$5:AY$5)*$J333-SUM($AV$6:AY$6)*$K333</f>
        <v>0</v>
      </c>
      <c r="AZ333" s="1">
        <f>SUM($AT333,$AA333:AD333)-SUM($AV$5:AZ$5)*$J333-SUM($AV$6:AZ$6)*$K333</f>
        <v>0</v>
      </c>
      <c r="BA333" s="1">
        <f>SUM($AT333,$AA333:AE333)-SUM($AV$5:BA$5)*$J333-SUM($AV$6:BA$6)*$K333</f>
        <v>0</v>
      </c>
      <c r="BB333" s="1">
        <f>SUM($AT333,$AA333:AF333)-SUM($AV$5:BB$5)*$J333-SUM($AV$6:BB$6)*$K333</f>
        <v>0</v>
      </c>
      <c r="BC333" s="1">
        <f>SUM($AT333,$AA333:AG333)-SUM($AV$5:BC$5)*$J333-SUM($AV$6:BC$6)*$K333</f>
        <v>0</v>
      </c>
      <c r="BD333" s="1">
        <f>SUM($AT333,$AA333:AH333)-SUM($AV$5:BD$5)*$J333-SUM($AV$6:BD$6)*$K333</f>
        <v>0</v>
      </c>
      <c r="BE333" s="1">
        <f>SUM($AT333,$AA333:AI333)-SUM($AV$5:BE$5)*$J333-SUM($AV$6:BE$6)*$K333</f>
        <v>0</v>
      </c>
      <c r="BF333" s="1">
        <f>SUM($AT333,$AA333:AJ333)-SUM($AV$5:BF$5)*$J333-SUM($AV$6:BF$6)*$K333</f>
        <v>0</v>
      </c>
      <c r="BG333" s="1">
        <f>SUM($AT333,$AA333:AK333)-SUM($AV$5:BG$5)*$J333-SUM($AV$6:BG$6)*$K333</f>
        <v>0</v>
      </c>
      <c r="BH333" s="1">
        <f>SUM($AT333,$AA333:AL333)-SUM($AV$5:BH$5)*$J333-SUM($AV$6:BH$6)*$K333</f>
        <v>0</v>
      </c>
      <c r="BI333" s="1">
        <f>SUM($AT333,$AA333:AM333)-SUM($AV$5:BI$5)*$J333-SUM($AV$6:BI$6)*$K333</f>
        <v>0</v>
      </c>
      <c r="BJ333" s="1">
        <f>SUM($AT333,$AA333:AN333)-SUM($AV$5:BJ$5)*$J333-SUM($AV$6:BJ$6)*$K333</f>
        <v>0</v>
      </c>
      <c r="BK333" s="1">
        <f>SUM($AT333,$AA333:AO333)-SUM($AV$5:BK$5)*$J333-SUM($AV$6:BK$6)*$K333</f>
        <v>0</v>
      </c>
      <c r="BL333" s="1">
        <f>SUM($AT333,$AA333:AP333)-SUM($AV$5:BL$5)*$J333-SUM($AV$6:BL$6)*$K333</f>
        <v>0</v>
      </c>
      <c r="BM333" s="1">
        <f>SUM($AT333,$AA333:AQ333)-SUM($AV$5:BM$5)*$J333-SUM($AV$6:BM$6)*$K333</f>
        <v>0</v>
      </c>
      <c r="BN333" s="1">
        <f>SUM($AT333,$AA333:AR333)-SUM($AV$5:BN$5)*$J333-SUM($AV$6:BN$6)*$K333</f>
        <v>0</v>
      </c>
    </row>
    <row r="334" spans="1:66">
      <c r="A334" s="1">
        <v>416</v>
      </c>
      <c r="B334" s="28" t="s">
        <v>1036</v>
      </c>
      <c r="C334" s="1" t="s">
        <v>40</v>
      </c>
      <c r="D334" s="2">
        <v>405072786</v>
      </c>
      <c r="E334" s="3" t="s">
        <v>1037</v>
      </c>
      <c r="F334" s="1">
        <v>402527757</v>
      </c>
      <c r="G334" s="1" t="s">
        <v>42</v>
      </c>
      <c r="H334" s="1">
        <v>2</v>
      </c>
      <c r="I334" s="1">
        <v>2</v>
      </c>
      <c r="J334" s="1">
        <v>2</v>
      </c>
      <c r="K334" s="1">
        <v>0</v>
      </c>
      <c r="L334" s="1">
        <v>0</v>
      </c>
      <c r="M334" s="1">
        <f t="shared" si="12"/>
        <v>1164</v>
      </c>
      <c r="N334" s="1">
        <f t="shared" si="13"/>
        <v>1164</v>
      </c>
      <c r="O334" s="2" t="s">
        <v>358</v>
      </c>
      <c r="P334" s="1"/>
      <c r="Q334" s="1">
        <v>0.25</v>
      </c>
      <c r="R334" s="1" t="s">
        <v>44</v>
      </c>
      <c r="S334" s="30" t="s">
        <v>359</v>
      </c>
      <c r="T334" s="31" t="s">
        <v>360</v>
      </c>
      <c r="U334" s="1"/>
      <c r="V334" s="1">
        <v>70</v>
      </c>
      <c r="W334" s="1" t="s">
        <v>361</v>
      </c>
      <c r="X334" s="32" t="s">
        <v>362</v>
      </c>
      <c r="Y334" s="1" t="s">
        <v>363</v>
      </c>
      <c r="Z334" s="2" t="s">
        <v>358</v>
      </c>
      <c r="AA334" s="1"/>
      <c r="AB334" s="1"/>
      <c r="AC334" s="1"/>
      <c r="AD334" s="1"/>
      <c r="AE334" s="1"/>
      <c r="AF334" s="1"/>
      <c r="AG334" s="1"/>
      <c r="AH334" s="1"/>
      <c r="AI334" s="1"/>
      <c r="AJ334" s="1"/>
      <c r="AK334" s="1"/>
      <c r="AL334" s="1"/>
      <c r="AM334" s="1"/>
      <c r="AN334" s="1"/>
      <c r="AO334" s="1"/>
      <c r="AP334" s="1"/>
      <c r="AQ334" s="1"/>
      <c r="AR334" s="1"/>
      <c r="AS334" s="1"/>
      <c r="AT334" s="1"/>
      <c r="AU334" s="1"/>
      <c r="AV334" s="1">
        <f>SUM($AT334,Z334:$AA334)-SUM($AV$5:AV$5)*$J334-SUM($AV$6:AV$6)*$K334</f>
        <v>0</v>
      </c>
      <c r="AW334" s="1">
        <f>SUM($AT334,$AA334:AA334)-SUM($AV$5:AW$5)*$J334-SUM($AV$6:AW$6)*$K334</f>
        <v>0</v>
      </c>
      <c r="AX334" s="1">
        <f>SUM($AT334,$AA334:AB334)-SUM($AV$5:AX$5)*$J334-SUM($AV$6:AX$6)*$K334</f>
        <v>0</v>
      </c>
      <c r="AY334" s="1">
        <f>SUM($AT334,$AA334:AC334)-SUM($AV$5:AY$5)*$J334-SUM($AV$6:AY$6)*$K334</f>
        <v>0</v>
      </c>
      <c r="AZ334" s="1">
        <f>SUM($AT334,$AA334:AD334)-SUM($AV$5:AZ$5)*$J334-SUM($AV$6:AZ$6)*$K334</f>
        <v>-80</v>
      </c>
      <c r="BA334" s="1">
        <f>SUM($AT334,$AA334:AE334)-SUM($AV$5:BA$5)*$J334-SUM($AV$6:BA$6)*$K334</f>
        <v>-160</v>
      </c>
      <c r="BB334" s="1">
        <f>SUM($AT334,$AA334:AF334)-SUM($AV$5:BB$5)*$J334-SUM($AV$6:BB$6)*$K334</f>
        <v>-240</v>
      </c>
      <c r="BC334" s="1">
        <f>SUM($AT334,$AA334:AG334)-SUM($AV$5:BC$5)*$J334-SUM($AV$6:BC$6)*$K334</f>
        <v>-320</v>
      </c>
      <c r="BD334" s="1">
        <f>SUM($AT334,$AA334:AH334)-SUM($AV$5:BD$5)*$J334-SUM($AV$6:BD$6)*$K334</f>
        <v>-400</v>
      </c>
      <c r="BE334" s="1">
        <f>SUM($AT334,$AA334:AI334)-SUM($AV$5:BE$5)*$J334-SUM($AV$6:BE$6)*$K334</f>
        <v>-480</v>
      </c>
      <c r="BF334" s="1">
        <f>SUM($AT334,$AA334:AJ334)-SUM($AV$5:BF$5)*$J334-SUM($AV$6:BF$6)*$K334</f>
        <v>-560</v>
      </c>
      <c r="BG334" s="1">
        <f>SUM($AT334,$AA334:AK334)-SUM($AV$5:BG$5)*$J334-SUM($AV$6:BG$6)*$K334</f>
        <v>-640</v>
      </c>
      <c r="BH334" s="1">
        <f>SUM($AT334,$AA334:AL334)-SUM($AV$5:BH$5)*$J334-SUM($AV$6:BH$6)*$K334</f>
        <v>-720</v>
      </c>
      <c r="BI334" s="1">
        <f>SUM($AT334,$AA334:AM334)-SUM($AV$5:BI$5)*$J334-SUM($AV$6:BI$6)*$K334</f>
        <v>-800</v>
      </c>
      <c r="BJ334" s="1">
        <f>SUM($AT334,$AA334:AN334)-SUM($AV$5:BJ$5)*$J334-SUM($AV$6:BJ$6)*$K334</f>
        <v>-880</v>
      </c>
      <c r="BK334" s="1">
        <f>SUM($AT334,$AA334:AO334)-SUM($AV$5:BK$5)*$J334-SUM($AV$6:BK$6)*$K334</f>
        <v>-960</v>
      </c>
      <c r="BL334" s="1">
        <f>SUM($AT334,$AA334:AP334)-SUM($AV$5:BL$5)*$J334-SUM($AV$6:BL$6)*$K334</f>
        <v>-1040</v>
      </c>
      <c r="BM334" s="1">
        <f>SUM($AT334,$AA334:AQ334)-SUM($AV$5:BM$5)*$J334-SUM($AV$6:BM$6)*$K334</f>
        <v>-1120</v>
      </c>
      <c r="BN334" s="1">
        <f>SUM($AT334,$AA334:AR334)-SUM($AV$5:BN$5)*$J334-SUM($AV$6:BN$6)*$K334</f>
        <v>-1164</v>
      </c>
    </row>
    <row r="335" spans="1:66">
      <c r="A335" s="1">
        <v>418</v>
      </c>
      <c r="B335" s="28" t="s">
        <v>1038</v>
      </c>
      <c r="C335" s="1" t="s">
        <v>40</v>
      </c>
      <c r="D335" s="2">
        <v>406756325</v>
      </c>
      <c r="E335" s="3" t="s">
        <v>1039</v>
      </c>
      <c r="F335" s="1"/>
      <c r="G335" s="1" t="s">
        <v>42</v>
      </c>
      <c r="H335" s="1">
        <v>2</v>
      </c>
      <c r="I335" s="1">
        <v>1</v>
      </c>
      <c r="J335" s="1">
        <v>1</v>
      </c>
      <c r="K335" s="1">
        <v>0</v>
      </c>
      <c r="L335" s="1">
        <v>0</v>
      </c>
      <c r="M335" s="1">
        <f t="shared" si="12"/>
        <v>582</v>
      </c>
      <c r="N335" s="1">
        <f t="shared" si="13"/>
        <v>582</v>
      </c>
      <c r="O335" s="2" t="s">
        <v>368</v>
      </c>
      <c r="P335" s="1"/>
      <c r="Q335" s="1">
        <v>4.9800000000000004</v>
      </c>
      <c r="R335" s="1" t="s">
        <v>44</v>
      </c>
      <c r="S335" s="30" t="s">
        <v>76</v>
      </c>
      <c r="T335" s="31" t="s">
        <v>369</v>
      </c>
      <c r="U335" s="1">
        <v>100</v>
      </c>
      <c r="V335" s="1">
        <v>100</v>
      </c>
      <c r="W335" s="1" t="s">
        <v>370</v>
      </c>
      <c r="X335" s="32" t="s">
        <v>371</v>
      </c>
      <c r="Y335" s="1" t="s">
        <v>372</v>
      </c>
      <c r="Z335" s="2" t="s">
        <v>368</v>
      </c>
      <c r="AA335" s="1"/>
      <c r="AB335" s="1"/>
      <c r="AC335" s="1"/>
      <c r="AD335" s="1"/>
      <c r="AE335" s="1"/>
      <c r="AF335" s="1"/>
      <c r="AG335" s="1"/>
      <c r="AH335" s="1"/>
      <c r="AI335" s="1"/>
      <c r="AJ335" s="1"/>
      <c r="AK335" s="1"/>
      <c r="AL335" s="1"/>
      <c r="AM335" s="1"/>
      <c r="AN335" s="1"/>
      <c r="AO335" s="1"/>
      <c r="AP335" s="1"/>
      <c r="AQ335" s="1"/>
      <c r="AR335" s="1"/>
      <c r="AS335" s="1"/>
      <c r="AT335" s="1"/>
      <c r="AU335" s="1"/>
      <c r="AV335" s="1">
        <f>SUM($AT335,Z335:$AA335)-SUM($AV$5:AV$5)*$J335-SUM($AV$6:AV$6)*$K335</f>
        <v>0</v>
      </c>
      <c r="AW335" s="1">
        <f>SUM($AT335,$AA335:AA335)-SUM($AV$5:AW$5)*$J335-SUM($AV$6:AW$6)*$K335</f>
        <v>0</v>
      </c>
      <c r="AX335" s="1">
        <f>SUM($AT335,$AA335:AB335)-SUM($AV$5:AX$5)*$J335-SUM($AV$6:AX$6)*$K335</f>
        <v>0</v>
      </c>
      <c r="AY335" s="1">
        <f>SUM($AT335,$AA335:AC335)-SUM($AV$5:AY$5)*$J335-SUM($AV$6:AY$6)*$K335</f>
        <v>0</v>
      </c>
      <c r="AZ335" s="1">
        <f>SUM($AT335,$AA335:AD335)-SUM($AV$5:AZ$5)*$J335-SUM($AV$6:AZ$6)*$K335</f>
        <v>-40</v>
      </c>
      <c r="BA335" s="1">
        <f>SUM($AT335,$AA335:AE335)-SUM($AV$5:BA$5)*$J335-SUM($AV$6:BA$6)*$K335</f>
        <v>-80</v>
      </c>
      <c r="BB335" s="1">
        <f>SUM($AT335,$AA335:AF335)-SUM($AV$5:BB$5)*$J335-SUM($AV$6:BB$6)*$K335</f>
        <v>-120</v>
      </c>
      <c r="BC335" s="1">
        <f>SUM($AT335,$AA335:AG335)-SUM($AV$5:BC$5)*$J335-SUM($AV$6:BC$6)*$K335</f>
        <v>-160</v>
      </c>
      <c r="BD335" s="1">
        <f>SUM($AT335,$AA335:AH335)-SUM($AV$5:BD$5)*$J335-SUM($AV$6:BD$6)*$K335</f>
        <v>-200</v>
      </c>
      <c r="BE335" s="1">
        <f>SUM($AT335,$AA335:AI335)-SUM($AV$5:BE$5)*$J335-SUM($AV$6:BE$6)*$K335</f>
        <v>-240</v>
      </c>
      <c r="BF335" s="1">
        <f>SUM($AT335,$AA335:AJ335)-SUM($AV$5:BF$5)*$J335-SUM($AV$6:BF$6)*$K335</f>
        <v>-280</v>
      </c>
      <c r="BG335" s="1">
        <f>SUM($AT335,$AA335:AK335)-SUM($AV$5:BG$5)*$J335-SUM($AV$6:BG$6)*$K335</f>
        <v>-320</v>
      </c>
      <c r="BH335" s="1">
        <f>SUM($AT335,$AA335:AL335)-SUM($AV$5:BH$5)*$J335-SUM($AV$6:BH$6)*$K335</f>
        <v>-360</v>
      </c>
      <c r="BI335" s="1">
        <f>SUM($AT335,$AA335:AM335)-SUM($AV$5:BI$5)*$J335-SUM($AV$6:BI$6)*$K335</f>
        <v>-400</v>
      </c>
      <c r="BJ335" s="1">
        <f>SUM($AT335,$AA335:AN335)-SUM($AV$5:BJ$5)*$J335-SUM($AV$6:BJ$6)*$K335</f>
        <v>-440</v>
      </c>
      <c r="BK335" s="1">
        <f>SUM($AT335,$AA335:AO335)-SUM($AV$5:BK$5)*$J335-SUM($AV$6:BK$6)*$K335</f>
        <v>-480</v>
      </c>
      <c r="BL335" s="1">
        <f>SUM($AT335,$AA335:AP335)-SUM($AV$5:BL$5)*$J335-SUM($AV$6:BL$6)*$K335</f>
        <v>-520</v>
      </c>
      <c r="BM335" s="1">
        <f>SUM($AT335,$AA335:AQ335)-SUM($AV$5:BM$5)*$J335-SUM($AV$6:BM$6)*$K335</f>
        <v>-560</v>
      </c>
      <c r="BN335" s="1">
        <f>SUM($AT335,$AA335:AR335)-SUM($AV$5:BN$5)*$J335-SUM($AV$6:BN$6)*$K335</f>
        <v>-582</v>
      </c>
    </row>
    <row r="336" spans="1:66">
      <c r="A336" s="1">
        <v>439</v>
      </c>
      <c r="B336" s="28" t="s">
        <v>1040</v>
      </c>
      <c r="C336" s="1" t="s">
        <v>40</v>
      </c>
      <c r="D336" s="2">
        <v>400048227</v>
      </c>
      <c r="E336" s="3" t="s">
        <v>1041</v>
      </c>
      <c r="F336" s="1">
        <v>400508538</v>
      </c>
      <c r="G336" s="1" t="s">
        <v>42</v>
      </c>
      <c r="H336" s="1">
        <v>2</v>
      </c>
      <c r="I336" s="1">
        <v>3</v>
      </c>
      <c r="J336" s="1">
        <v>0</v>
      </c>
      <c r="K336" s="1">
        <v>0</v>
      </c>
      <c r="L336" s="1">
        <v>3</v>
      </c>
      <c r="M336" s="1">
        <f t="shared" si="12"/>
        <v>828</v>
      </c>
      <c r="N336" s="1">
        <f t="shared" si="13"/>
        <v>828</v>
      </c>
      <c r="O336" s="2" t="s">
        <v>951</v>
      </c>
      <c r="P336" s="1"/>
      <c r="Q336" s="1">
        <v>1.75</v>
      </c>
      <c r="R336" s="1" t="s">
        <v>44</v>
      </c>
      <c r="S336" s="30"/>
      <c r="T336" s="31" t="s">
        <v>952</v>
      </c>
      <c r="U336" s="1"/>
      <c r="V336" s="1">
        <v>1000</v>
      </c>
      <c r="W336" s="1" t="s">
        <v>953</v>
      </c>
      <c r="X336" s="33" t="s">
        <v>954</v>
      </c>
      <c r="Y336" s="1" t="s">
        <v>955</v>
      </c>
      <c r="Z336" s="2" t="s">
        <v>951</v>
      </c>
      <c r="AA336" s="1"/>
      <c r="AB336" s="1"/>
      <c r="AC336" s="1"/>
      <c r="AD336" s="1"/>
      <c r="AE336" s="1"/>
      <c r="AF336" s="1"/>
      <c r="AG336" s="1"/>
      <c r="AH336" s="1"/>
      <c r="AI336" s="1"/>
      <c r="AJ336" s="1"/>
      <c r="AK336" s="1"/>
      <c r="AL336" s="1"/>
      <c r="AM336" s="1"/>
      <c r="AN336" s="1"/>
      <c r="AO336" s="1"/>
      <c r="AP336" s="1"/>
      <c r="AQ336" s="1"/>
      <c r="AR336" s="1"/>
      <c r="AS336" s="1"/>
      <c r="AT336" s="1"/>
      <c r="AU336" s="1"/>
      <c r="AV336" s="1">
        <f>SUM($AT336,Z336:$AA336)-SUM($AV$5:AV$5)*$J336-SUM($AV$6:AV$6)*$K336</f>
        <v>0</v>
      </c>
      <c r="AW336" s="1">
        <f>SUM($AT336,$AA336:AA336)-SUM($AV$5:AW$5)*$J336-SUM($AV$6:AW$6)*$K336</f>
        <v>0</v>
      </c>
      <c r="AX336" s="1">
        <f>SUM($AT336,$AA336:AB336)-SUM($AV$5:AX$5)*$J336-SUM($AV$6:AX$6)*$K336</f>
        <v>0</v>
      </c>
      <c r="AY336" s="1">
        <f>SUM($AT336,$AA336:AC336)-SUM($AV$5:AY$5)*$J336-SUM($AV$6:AY$6)*$K336</f>
        <v>0</v>
      </c>
      <c r="AZ336" s="1">
        <f>SUM($AT336,$AA336:AD336)-SUM($AV$5:AZ$5)*$J336-SUM($AV$6:AZ$6)*$K336</f>
        <v>0</v>
      </c>
      <c r="BA336" s="1">
        <f>SUM($AT336,$AA336:AE336)-SUM($AV$5:BA$5)*$J336-SUM($AV$6:BA$6)*$K336</f>
        <v>0</v>
      </c>
      <c r="BB336" s="1">
        <f>SUM($AT336,$AA336:AF336)-SUM($AV$5:BB$5)*$J336-SUM($AV$6:BB$6)*$K336</f>
        <v>0</v>
      </c>
      <c r="BC336" s="1">
        <f>SUM($AT336,$AA336:AG336)-SUM($AV$5:BC$5)*$J336-SUM($AV$6:BC$6)*$K336</f>
        <v>0</v>
      </c>
      <c r="BD336" s="1">
        <f>SUM($AT336,$AA336:AH336)-SUM($AV$5:BD$5)*$J336-SUM($AV$6:BD$6)*$K336</f>
        <v>0</v>
      </c>
      <c r="BE336" s="1">
        <f>SUM($AT336,$AA336:AI336)-SUM($AV$5:BE$5)*$J336-SUM($AV$6:BE$6)*$K336</f>
        <v>0</v>
      </c>
      <c r="BF336" s="1">
        <f>SUM($AT336,$AA336:AJ336)-SUM($AV$5:BF$5)*$J336-SUM($AV$6:BF$6)*$K336</f>
        <v>0</v>
      </c>
      <c r="BG336" s="1">
        <f>SUM($AT336,$AA336:AK336)-SUM($AV$5:BG$5)*$J336-SUM($AV$6:BG$6)*$K336</f>
        <v>0</v>
      </c>
      <c r="BH336" s="1">
        <f>SUM($AT336,$AA336:AL336)-SUM($AV$5:BH$5)*$J336-SUM($AV$6:BH$6)*$K336</f>
        <v>0</v>
      </c>
      <c r="BI336" s="1">
        <f>SUM($AT336,$AA336:AM336)-SUM($AV$5:BI$5)*$J336-SUM($AV$6:BI$6)*$K336</f>
        <v>0</v>
      </c>
      <c r="BJ336" s="1">
        <f>SUM($AT336,$AA336:AN336)-SUM($AV$5:BJ$5)*$J336-SUM($AV$6:BJ$6)*$K336</f>
        <v>0</v>
      </c>
      <c r="BK336" s="1">
        <f>SUM($AT336,$AA336:AO336)-SUM($AV$5:BK$5)*$J336-SUM($AV$6:BK$6)*$K336</f>
        <v>0</v>
      </c>
      <c r="BL336" s="1">
        <f>SUM($AT336,$AA336:AP336)-SUM($AV$5:BL$5)*$J336-SUM($AV$6:BL$6)*$K336</f>
        <v>0</v>
      </c>
      <c r="BM336" s="1">
        <f>SUM($AT336,$AA336:AQ336)-SUM($AV$5:BM$5)*$J336-SUM($AV$6:BM$6)*$K336</f>
        <v>0</v>
      </c>
      <c r="BN336" s="1">
        <f>SUM($AT336,$AA336:AR336)-SUM($AV$5:BN$5)*$J336-SUM($AV$6:BN$6)*$K336</f>
        <v>0</v>
      </c>
    </row>
    <row r="337" spans="1:66">
      <c r="A337" s="1">
        <v>348</v>
      </c>
      <c r="B337" s="28" t="s">
        <v>1042</v>
      </c>
      <c r="C337" s="1" t="s">
        <v>40</v>
      </c>
      <c r="D337" s="2">
        <v>514301928</v>
      </c>
      <c r="E337" s="3" t="s">
        <v>1043</v>
      </c>
      <c r="F337" s="1"/>
      <c r="G337" s="1" t="s">
        <v>42</v>
      </c>
      <c r="H337" s="1">
        <v>2</v>
      </c>
      <c r="I337" s="1">
        <v>1</v>
      </c>
      <c r="J337" s="1">
        <v>1</v>
      </c>
      <c r="K337" s="1">
        <v>0</v>
      </c>
      <c r="L337" s="1">
        <v>0</v>
      </c>
      <c r="M337" s="1">
        <f t="shared" si="12"/>
        <v>582</v>
      </c>
      <c r="N337" s="1">
        <f t="shared" si="13"/>
        <v>582</v>
      </c>
      <c r="O337" s="47" t="s">
        <v>137</v>
      </c>
      <c r="P337" s="1"/>
      <c r="Q337" s="1">
        <v>0.03</v>
      </c>
      <c r="R337" s="1" t="s">
        <v>44</v>
      </c>
      <c r="S337" s="30" t="s">
        <v>8</v>
      </c>
      <c r="T337" s="31" t="e">
        <f>#REF!</f>
        <v>#REF!</v>
      </c>
      <c r="U337" s="1">
        <v>1</v>
      </c>
      <c r="V337" s="1">
        <v>1</v>
      </c>
      <c r="W337" s="1" t="s">
        <v>494</v>
      </c>
      <c r="X337" s="33" t="s">
        <v>495</v>
      </c>
      <c r="Y337" s="1" t="s">
        <v>496</v>
      </c>
      <c r="Z337" s="2" t="s">
        <v>1044</v>
      </c>
      <c r="AA337" s="1"/>
      <c r="AB337" s="1"/>
      <c r="AC337" s="1"/>
      <c r="AD337" s="1"/>
      <c r="AE337" s="1"/>
      <c r="AF337" s="1"/>
      <c r="AG337" s="1"/>
      <c r="AH337" s="1"/>
      <c r="AI337" s="1"/>
      <c r="AJ337" s="1"/>
      <c r="AK337" s="1"/>
      <c r="AL337" s="1"/>
      <c r="AM337" s="1"/>
      <c r="AN337" s="1"/>
      <c r="AO337" s="1"/>
      <c r="AP337" s="1"/>
      <c r="AQ337" s="1"/>
      <c r="AR337" s="1"/>
      <c r="AS337" s="1"/>
      <c r="AT337" s="1"/>
      <c r="AU337" s="1"/>
      <c r="AV337" s="1">
        <f>SUM($AT337,Z337:$AA337)-SUM($AV$5:AV$5)*$J337-SUM($AV$6:AV$6)*$K337</f>
        <v>0</v>
      </c>
      <c r="AW337" s="1">
        <f>SUM($AT337,$AA337:AA337)-SUM($AV$5:AW$5)*$J337-SUM($AV$6:AW$6)*$K337</f>
        <v>0</v>
      </c>
      <c r="AX337" s="1">
        <f>SUM($AT337,$AA337:AB337)-SUM($AV$5:AX$5)*$J337-SUM($AV$6:AX$6)*$K337</f>
        <v>0</v>
      </c>
      <c r="AY337" s="1">
        <f>SUM($AT337,$AA337:AC337)-SUM($AV$5:AY$5)*$J337-SUM($AV$6:AY$6)*$K337</f>
        <v>0</v>
      </c>
      <c r="AZ337" s="1">
        <f>SUM($AT337,$AA337:AD337)-SUM($AV$5:AZ$5)*$J337-SUM($AV$6:AZ$6)*$K337</f>
        <v>-40</v>
      </c>
      <c r="BA337" s="1">
        <f>SUM($AT337,$AA337:AE337)-SUM($AV$5:BA$5)*$J337-SUM($AV$6:BA$6)*$K337</f>
        <v>-80</v>
      </c>
      <c r="BB337" s="1">
        <f>SUM($AT337,$AA337:AF337)-SUM($AV$5:BB$5)*$J337-SUM($AV$6:BB$6)*$K337</f>
        <v>-120</v>
      </c>
      <c r="BC337" s="1">
        <f>SUM($AT337,$AA337:AG337)-SUM($AV$5:BC$5)*$J337-SUM($AV$6:BC$6)*$K337</f>
        <v>-160</v>
      </c>
      <c r="BD337" s="1">
        <f>SUM($AT337,$AA337:AH337)-SUM($AV$5:BD$5)*$J337-SUM($AV$6:BD$6)*$K337</f>
        <v>-200</v>
      </c>
      <c r="BE337" s="1">
        <f>SUM($AT337,$AA337:AI337)-SUM($AV$5:BE$5)*$J337-SUM($AV$6:BE$6)*$K337</f>
        <v>-240</v>
      </c>
      <c r="BF337" s="1">
        <f>SUM($AT337,$AA337:AJ337)-SUM($AV$5:BF$5)*$J337-SUM($AV$6:BF$6)*$K337</f>
        <v>-280</v>
      </c>
      <c r="BG337" s="1">
        <f>SUM($AT337,$AA337:AK337)-SUM($AV$5:BG$5)*$J337-SUM($AV$6:BG$6)*$K337</f>
        <v>-320</v>
      </c>
      <c r="BH337" s="1">
        <f>SUM($AT337,$AA337:AL337)-SUM($AV$5:BH$5)*$J337-SUM($AV$6:BH$6)*$K337</f>
        <v>-360</v>
      </c>
      <c r="BI337" s="1">
        <f>SUM($AT337,$AA337:AM337)-SUM($AV$5:BI$5)*$J337-SUM($AV$6:BI$6)*$K337</f>
        <v>-400</v>
      </c>
      <c r="BJ337" s="1">
        <f>SUM($AT337,$AA337:AN337)-SUM($AV$5:BJ$5)*$J337-SUM($AV$6:BJ$6)*$K337</f>
        <v>-440</v>
      </c>
      <c r="BK337" s="1">
        <f>SUM($AT337,$AA337:AO337)-SUM($AV$5:BK$5)*$J337-SUM($AV$6:BK$6)*$K337</f>
        <v>-480</v>
      </c>
      <c r="BL337" s="1">
        <f>SUM($AT337,$AA337:AP337)-SUM($AV$5:BL$5)*$J337-SUM($AV$6:BL$6)*$K337</f>
        <v>-520</v>
      </c>
      <c r="BM337" s="1">
        <f>SUM($AT337,$AA337:AQ337)-SUM($AV$5:BM$5)*$J337-SUM($AV$6:BM$6)*$K337</f>
        <v>-560</v>
      </c>
      <c r="BN337" s="1">
        <f>SUM($AT337,$AA337:AR337)-SUM($AV$5:BN$5)*$J337-SUM($AV$6:BN$6)*$K337</f>
        <v>-582</v>
      </c>
    </row>
    <row r="338" spans="1:66">
      <c r="A338" s="1">
        <v>349</v>
      </c>
      <c r="B338" s="28" t="s">
        <v>1045</v>
      </c>
      <c r="C338" s="1" t="s">
        <v>40</v>
      </c>
      <c r="D338" s="2">
        <v>514102946</v>
      </c>
      <c r="E338" s="3" t="s">
        <v>1043</v>
      </c>
      <c r="F338" s="1"/>
      <c r="G338" s="1" t="s">
        <v>42</v>
      </c>
      <c r="H338" s="1">
        <v>2</v>
      </c>
      <c r="I338" s="1">
        <v>1</v>
      </c>
      <c r="J338" s="1">
        <v>0</v>
      </c>
      <c r="K338" s="1">
        <v>1</v>
      </c>
      <c r="L338" s="1">
        <v>0</v>
      </c>
      <c r="M338" s="1">
        <f t="shared" si="12"/>
        <v>276</v>
      </c>
      <c r="N338" s="1">
        <f t="shared" si="13"/>
        <v>276</v>
      </c>
      <c r="O338" s="47" t="s">
        <v>137</v>
      </c>
      <c r="P338" s="1"/>
      <c r="Q338" s="1">
        <v>0.02</v>
      </c>
      <c r="R338" s="1" t="s">
        <v>44</v>
      </c>
      <c r="S338" s="30" t="s">
        <v>1046</v>
      </c>
      <c r="T338" s="12" t="s">
        <v>493</v>
      </c>
      <c r="U338" s="1">
        <v>1</v>
      </c>
      <c r="V338" s="1">
        <v>1</v>
      </c>
      <c r="W338" s="1" t="s">
        <v>494</v>
      </c>
      <c r="X338" s="33" t="s">
        <v>495</v>
      </c>
      <c r="Y338" s="1" t="s">
        <v>496</v>
      </c>
      <c r="Z338" s="2" t="s">
        <v>1044</v>
      </c>
      <c r="AA338" s="1"/>
      <c r="AB338" s="1"/>
      <c r="AC338" s="1"/>
      <c r="AD338" s="1"/>
      <c r="AE338" s="1"/>
      <c r="AF338" s="1"/>
      <c r="AG338" s="1"/>
      <c r="AH338" s="1"/>
      <c r="AI338" s="1"/>
      <c r="AJ338" s="1"/>
      <c r="AK338" s="1"/>
      <c r="AL338" s="1"/>
      <c r="AM338" s="1"/>
      <c r="AN338" s="1"/>
      <c r="AO338" s="1"/>
      <c r="AP338" s="1"/>
      <c r="AQ338" s="1"/>
      <c r="AR338" s="1"/>
      <c r="AS338" s="1"/>
      <c r="AT338" s="1"/>
      <c r="AU338" s="1"/>
      <c r="AV338" s="1">
        <f>SUM($AT338,Z338:$AA338)-SUM($AV$5:AV$5)*$J338-SUM($AV$6:AV$6)*$K338</f>
        <v>0</v>
      </c>
      <c r="AW338" s="1">
        <f>SUM($AT338,$AA338:AA338)-SUM($AV$5:AW$5)*$J338-SUM($AV$6:AW$6)*$K338</f>
        <v>0</v>
      </c>
      <c r="AX338" s="1">
        <f>SUM($AT338,$AA338:AB338)-SUM($AV$5:AX$5)*$J338-SUM($AV$6:AX$6)*$K338</f>
        <v>0</v>
      </c>
      <c r="AY338" s="1">
        <f>SUM($AT338,$AA338:AC338)-SUM($AV$5:AY$5)*$J338-SUM($AV$6:AY$6)*$K338</f>
        <v>0</v>
      </c>
      <c r="AZ338" s="1">
        <f>SUM($AT338,$AA338:AD338)-SUM($AV$5:AZ$5)*$J338-SUM($AV$6:AZ$6)*$K338</f>
        <v>-10</v>
      </c>
      <c r="BA338" s="1">
        <f>SUM($AT338,$AA338:AE338)-SUM($AV$5:BA$5)*$J338-SUM($AV$6:BA$6)*$K338</f>
        <v>-30</v>
      </c>
      <c r="BB338" s="1">
        <f>SUM($AT338,$AA338:AF338)-SUM($AV$5:BB$5)*$J338-SUM($AV$6:BB$6)*$K338</f>
        <v>-120</v>
      </c>
      <c r="BC338" s="1">
        <f>SUM($AT338,$AA338:AG338)-SUM($AV$5:BC$5)*$J338-SUM($AV$6:BC$6)*$K338</f>
        <v>-210</v>
      </c>
      <c r="BD338" s="1">
        <f>SUM($AT338,$AA338:AH338)-SUM($AV$5:BD$5)*$J338-SUM($AV$6:BD$6)*$K338</f>
        <v>-276</v>
      </c>
      <c r="BE338" s="1">
        <f>SUM($AT338,$AA338:AI338)-SUM($AV$5:BE$5)*$J338-SUM($AV$6:BE$6)*$K338</f>
        <v>-276</v>
      </c>
      <c r="BF338" s="1">
        <f>SUM($AT338,$AA338:AJ338)-SUM($AV$5:BF$5)*$J338-SUM($AV$6:BF$6)*$K338</f>
        <v>-276</v>
      </c>
      <c r="BG338" s="1">
        <f>SUM($AT338,$AA338:AK338)-SUM($AV$5:BG$5)*$J338-SUM($AV$6:BG$6)*$K338</f>
        <v>-276</v>
      </c>
      <c r="BH338" s="1">
        <f>SUM($AT338,$AA338:AL338)-SUM($AV$5:BH$5)*$J338-SUM($AV$6:BH$6)*$K338</f>
        <v>-276</v>
      </c>
      <c r="BI338" s="1">
        <f>SUM($AT338,$AA338:AM338)-SUM($AV$5:BI$5)*$J338-SUM($AV$6:BI$6)*$K338</f>
        <v>-276</v>
      </c>
      <c r="BJ338" s="1">
        <f>SUM($AT338,$AA338:AN338)-SUM($AV$5:BJ$5)*$J338-SUM($AV$6:BJ$6)*$K338</f>
        <v>-276</v>
      </c>
      <c r="BK338" s="1">
        <f>SUM($AT338,$AA338:AO338)-SUM($AV$5:BK$5)*$J338-SUM($AV$6:BK$6)*$K338</f>
        <v>-276</v>
      </c>
      <c r="BL338" s="1">
        <f>SUM($AT338,$AA338:AP338)-SUM($AV$5:BL$5)*$J338-SUM($AV$6:BL$6)*$K338</f>
        <v>-276</v>
      </c>
      <c r="BM338" s="1">
        <f>SUM($AT338,$AA338:AQ338)-SUM($AV$5:BM$5)*$J338-SUM($AV$6:BM$6)*$K338</f>
        <v>-276</v>
      </c>
      <c r="BN338" s="1">
        <f>SUM($AT338,$AA338:AR338)-SUM($AV$5:BN$5)*$J338-SUM($AV$6:BN$6)*$K338</f>
        <v>-276</v>
      </c>
    </row>
    <row r="339" spans="1:66">
      <c r="A339" s="1">
        <v>350</v>
      </c>
      <c r="B339" s="28" t="s">
        <v>1047</v>
      </c>
      <c r="C339" s="1" t="s">
        <v>40</v>
      </c>
      <c r="D339" s="2">
        <v>512313180</v>
      </c>
      <c r="E339" s="3" t="s">
        <v>1048</v>
      </c>
      <c r="F339" s="1">
        <v>401411658</v>
      </c>
      <c r="G339" s="1" t="s">
        <v>42</v>
      </c>
      <c r="H339" s="1">
        <v>2</v>
      </c>
      <c r="I339" s="1">
        <v>26</v>
      </c>
      <c r="J339" s="1">
        <v>0</v>
      </c>
      <c r="K339" s="1">
        <v>26</v>
      </c>
      <c r="L339" s="1">
        <v>0</v>
      </c>
      <c r="M339" s="1">
        <f t="shared" si="12"/>
        <v>7176</v>
      </c>
      <c r="N339" s="1">
        <f t="shared" si="13"/>
        <v>7176</v>
      </c>
      <c r="O339" s="2" t="s">
        <v>1049</v>
      </c>
      <c r="P339" s="1"/>
      <c r="Q339" s="31">
        <v>3.5900000000000001E-2</v>
      </c>
      <c r="R339" s="1" t="s">
        <v>44</v>
      </c>
      <c r="S339" s="30" t="s">
        <v>1046</v>
      </c>
      <c r="T339" s="12" t="s">
        <v>493</v>
      </c>
      <c r="U339" s="1">
        <v>1</v>
      </c>
      <c r="V339" s="1">
        <v>1</v>
      </c>
      <c r="W339" s="1" t="s">
        <v>494</v>
      </c>
      <c r="X339" s="33" t="s">
        <v>495</v>
      </c>
      <c r="Y339" s="1" t="s">
        <v>496</v>
      </c>
      <c r="Z339" s="2" t="s">
        <v>1049</v>
      </c>
      <c r="AA339" s="1"/>
      <c r="AB339" s="1"/>
      <c r="AC339" s="1"/>
      <c r="AD339" s="1"/>
      <c r="AE339" s="1"/>
      <c r="AF339" s="1"/>
      <c r="AG339" s="1"/>
      <c r="AH339" s="1"/>
      <c r="AI339" s="1"/>
      <c r="AJ339" s="1"/>
      <c r="AK339" s="1"/>
      <c r="AL339" s="1"/>
      <c r="AM339" s="1"/>
      <c r="AN339" s="1"/>
      <c r="AO339" s="1"/>
      <c r="AP339" s="1"/>
      <c r="AQ339" s="1"/>
      <c r="AR339" s="1"/>
      <c r="AS339" s="1"/>
      <c r="AT339" s="1"/>
      <c r="AU339" s="1"/>
      <c r="AV339" s="1">
        <f>SUM($AT339,Z339:$AA339)-SUM($AV$5:AV$5)*$J339-SUM($AV$6:AV$6)*$K339</f>
        <v>0</v>
      </c>
      <c r="AW339" s="1">
        <f>SUM($AT339,$AA339:AA339)-SUM($AV$5:AW$5)*$J339-SUM($AV$6:AW$6)*$K339</f>
        <v>0</v>
      </c>
      <c r="AX339" s="1">
        <f>SUM($AT339,$AA339:AB339)-SUM($AV$5:AX$5)*$J339-SUM($AV$6:AX$6)*$K339</f>
        <v>0</v>
      </c>
      <c r="AY339" s="1">
        <f>SUM($AT339,$AA339:AC339)-SUM($AV$5:AY$5)*$J339-SUM($AV$6:AY$6)*$K339</f>
        <v>0</v>
      </c>
      <c r="AZ339" s="1">
        <f>SUM($AT339,$AA339:AD339)-SUM($AV$5:AZ$5)*$J339-SUM($AV$6:AZ$6)*$K339</f>
        <v>-260</v>
      </c>
      <c r="BA339" s="1">
        <f>SUM($AT339,$AA339:AE339)-SUM($AV$5:BA$5)*$J339-SUM($AV$6:BA$6)*$K339</f>
        <v>-780</v>
      </c>
      <c r="BB339" s="1">
        <f>SUM($AT339,$AA339:AF339)-SUM($AV$5:BB$5)*$J339-SUM($AV$6:BB$6)*$K339</f>
        <v>-3120</v>
      </c>
      <c r="BC339" s="1">
        <f>SUM($AT339,$AA339:AG339)-SUM($AV$5:BC$5)*$J339-SUM($AV$6:BC$6)*$K339</f>
        <v>-5460</v>
      </c>
      <c r="BD339" s="1">
        <f>SUM($AT339,$AA339:AH339)-SUM($AV$5:BD$5)*$J339-SUM($AV$6:BD$6)*$K339</f>
        <v>-7176</v>
      </c>
      <c r="BE339" s="1">
        <f>SUM($AT339,$AA339:AI339)-SUM($AV$5:BE$5)*$J339-SUM($AV$6:BE$6)*$K339</f>
        <v>-7176</v>
      </c>
      <c r="BF339" s="1">
        <f>SUM($AT339,$AA339:AJ339)-SUM($AV$5:BF$5)*$J339-SUM($AV$6:BF$6)*$K339</f>
        <v>-7176</v>
      </c>
      <c r="BG339" s="1">
        <f>SUM($AT339,$AA339:AK339)-SUM($AV$5:BG$5)*$J339-SUM($AV$6:BG$6)*$K339</f>
        <v>-7176</v>
      </c>
      <c r="BH339" s="1">
        <f>SUM($AT339,$AA339:AL339)-SUM($AV$5:BH$5)*$J339-SUM($AV$6:BH$6)*$K339</f>
        <v>-7176</v>
      </c>
      <c r="BI339" s="1">
        <f>SUM($AT339,$AA339:AM339)-SUM($AV$5:BI$5)*$J339-SUM($AV$6:BI$6)*$K339</f>
        <v>-7176</v>
      </c>
      <c r="BJ339" s="1">
        <f>SUM($AT339,$AA339:AN339)-SUM($AV$5:BJ$5)*$J339-SUM($AV$6:BJ$6)*$K339</f>
        <v>-7176</v>
      </c>
      <c r="BK339" s="1">
        <f>SUM($AT339,$AA339:AO339)-SUM($AV$5:BK$5)*$J339-SUM($AV$6:BK$6)*$K339</f>
        <v>-7176</v>
      </c>
      <c r="BL339" s="1">
        <f>SUM($AT339,$AA339:AP339)-SUM($AV$5:BL$5)*$J339-SUM($AV$6:BL$6)*$K339</f>
        <v>-7176</v>
      </c>
      <c r="BM339" s="1">
        <f>SUM($AT339,$AA339:AQ339)-SUM($AV$5:BM$5)*$J339-SUM($AV$6:BM$6)*$K339</f>
        <v>-7176</v>
      </c>
      <c r="BN339" s="1">
        <f>SUM($AT339,$AA339:AR339)-SUM($AV$5:BN$5)*$J339-SUM($AV$6:BN$6)*$K339</f>
        <v>-7176</v>
      </c>
    </row>
    <row r="340" spans="1:66">
      <c r="A340" s="1">
        <v>351</v>
      </c>
      <c r="B340" s="28" t="s">
        <v>1050</v>
      </c>
      <c r="C340" s="1" t="s">
        <v>40</v>
      </c>
      <c r="D340" s="2">
        <v>512346461</v>
      </c>
      <c r="E340" s="3" t="s">
        <v>1051</v>
      </c>
      <c r="F340" s="1"/>
      <c r="G340" s="1" t="s">
        <v>42</v>
      </c>
      <c r="H340" s="1">
        <v>2</v>
      </c>
      <c r="I340" s="1">
        <v>1</v>
      </c>
      <c r="J340" s="1">
        <v>0</v>
      </c>
      <c r="K340" s="1">
        <v>1</v>
      </c>
      <c r="L340" s="1">
        <v>0</v>
      </c>
      <c r="M340" s="1">
        <f t="shared" si="12"/>
        <v>276</v>
      </c>
      <c r="N340" s="1">
        <f t="shared" si="13"/>
        <v>276</v>
      </c>
      <c r="O340" s="2" t="s">
        <v>1049</v>
      </c>
      <c r="P340" s="1"/>
      <c r="Q340" s="1">
        <v>0.32700000000000001</v>
      </c>
      <c r="R340" s="1" t="s">
        <v>44</v>
      </c>
      <c r="S340" s="30" t="s">
        <v>1046</v>
      </c>
      <c r="T340" s="12" t="s">
        <v>493</v>
      </c>
      <c r="U340" s="1">
        <v>1</v>
      </c>
      <c r="V340" s="1">
        <v>1</v>
      </c>
      <c r="W340" s="1" t="s">
        <v>494</v>
      </c>
      <c r="X340" s="33" t="s">
        <v>495</v>
      </c>
      <c r="Y340" s="1" t="s">
        <v>496</v>
      </c>
      <c r="Z340" s="2" t="s">
        <v>1049</v>
      </c>
      <c r="AA340" s="1"/>
      <c r="AB340" s="1"/>
      <c r="AC340" s="1"/>
      <c r="AD340" s="1"/>
      <c r="AE340" s="1"/>
      <c r="AF340" s="1"/>
      <c r="AG340" s="1"/>
      <c r="AH340" s="1"/>
      <c r="AI340" s="1"/>
      <c r="AJ340" s="1"/>
      <c r="AK340" s="1"/>
      <c r="AL340" s="1"/>
      <c r="AM340" s="1"/>
      <c r="AN340" s="1"/>
      <c r="AO340" s="1"/>
      <c r="AP340" s="1"/>
      <c r="AQ340" s="1"/>
      <c r="AR340" s="1"/>
      <c r="AS340" s="1"/>
      <c r="AT340" s="1"/>
      <c r="AU340" s="1"/>
      <c r="AV340" s="1">
        <f>SUM($AT340,Z340:$AA340)-SUM($AV$5:AV$5)*$J340-SUM($AV$6:AV$6)*$K340</f>
        <v>0</v>
      </c>
      <c r="AW340" s="1">
        <f>SUM($AT340,$AA340:AA340)-SUM($AV$5:AW$5)*$J340-SUM($AV$6:AW$6)*$K340</f>
        <v>0</v>
      </c>
      <c r="AX340" s="1">
        <f>SUM($AT340,$AA340:AB340)-SUM($AV$5:AX$5)*$J340-SUM($AV$6:AX$6)*$K340</f>
        <v>0</v>
      </c>
      <c r="AY340" s="1">
        <f>SUM($AT340,$AA340:AC340)-SUM($AV$5:AY$5)*$J340-SUM($AV$6:AY$6)*$K340</f>
        <v>0</v>
      </c>
      <c r="AZ340" s="1">
        <f>SUM($AT340,$AA340:AD340)-SUM($AV$5:AZ$5)*$J340-SUM($AV$6:AZ$6)*$K340</f>
        <v>-10</v>
      </c>
      <c r="BA340" s="1">
        <f>SUM($AT340,$AA340:AE340)-SUM($AV$5:BA$5)*$J340-SUM($AV$6:BA$6)*$K340</f>
        <v>-30</v>
      </c>
      <c r="BB340" s="1">
        <f>SUM($AT340,$AA340:AF340)-SUM($AV$5:BB$5)*$J340-SUM($AV$6:BB$6)*$K340</f>
        <v>-120</v>
      </c>
      <c r="BC340" s="1">
        <f>SUM($AT340,$AA340:AG340)-SUM($AV$5:BC$5)*$J340-SUM($AV$6:BC$6)*$K340</f>
        <v>-210</v>
      </c>
      <c r="BD340" s="1">
        <f>SUM($AT340,$AA340:AH340)-SUM($AV$5:BD$5)*$J340-SUM($AV$6:BD$6)*$K340</f>
        <v>-276</v>
      </c>
      <c r="BE340" s="1">
        <f>SUM($AT340,$AA340:AI340)-SUM($AV$5:BE$5)*$J340-SUM($AV$6:BE$6)*$K340</f>
        <v>-276</v>
      </c>
      <c r="BF340" s="1">
        <f>SUM($AT340,$AA340:AJ340)-SUM($AV$5:BF$5)*$J340-SUM($AV$6:BF$6)*$K340</f>
        <v>-276</v>
      </c>
      <c r="BG340" s="1">
        <f>SUM($AT340,$AA340:AK340)-SUM($AV$5:BG$5)*$J340-SUM($AV$6:BG$6)*$K340</f>
        <v>-276</v>
      </c>
      <c r="BH340" s="1">
        <f>SUM($AT340,$AA340:AL340)-SUM($AV$5:BH$5)*$J340-SUM($AV$6:BH$6)*$K340</f>
        <v>-276</v>
      </c>
      <c r="BI340" s="1">
        <f>SUM($AT340,$AA340:AM340)-SUM($AV$5:BI$5)*$J340-SUM($AV$6:BI$6)*$K340</f>
        <v>-276</v>
      </c>
      <c r="BJ340" s="1">
        <f>SUM($AT340,$AA340:AN340)-SUM($AV$5:BJ$5)*$J340-SUM($AV$6:BJ$6)*$K340</f>
        <v>-276</v>
      </c>
      <c r="BK340" s="1">
        <f>SUM($AT340,$AA340:AO340)-SUM($AV$5:BK$5)*$J340-SUM($AV$6:BK$6)*$K340</f>
        <v>-276</v>
      </c>
      <c r="BL340" s="1">
        <f>SUM($AT340,$AA340:AP340)-SUM($AV$5:BL$5)*$J340-SUM($AV$6:BL$6)*$K340</f>
        <v>-276</v>
      </c>
      <c r="BM340" s="1">
        <f>SUM($AT340,$AA340:AQ340)-SUM($AV$5:BM$5)*$J340-SUM($AV$6:BM$6)*$K340</f>
        <v>-276</v>
      </c>
      <c r="BN340" s="1">
        <f>SUM($AT340,$AA340:AR340)-SUM($AV$5:BN$5)*$J340-SUM($AV$6:BN$6)*$K340</f>
        <v>-276</v>
      </c>
    </row>
    <row r="341" spans="1:66">
      <c r="A341" s="1">
        <v>352</v>
      </c>
      <c r="B341" s="28" t="s">
        <v>1052</v>
      </c>
      <c r="C341" s="1" t="s">
        <v>40</v>
      </c>
      <c r="D341" s="2">
        <v>514301548</v>
      </c>
      <c r="E341" s="3" t="s">
        <v>1053</v>
      </c>
      <c r="F341" s="1"/>
      <c r="G341" s="1" t="s">
        <v>42</v>
      </c>
      <c r="H341" s="1">
        <v>2</v>
      </c>
      <c r="I341" s="1">
        <v>22</v>
      </c>
      <c r="J341" s="1">
        <v>4</v>
      </c>
      <c r="K341" s="1">
        <v>14</v>
      </c>
      <c r="L341" s="1">
        <v>4</v>
      </c>
      <c r="M341" s="1">
        <f t="shared" si="12"/>
        <v>7296</v>
      </c>
      <c r="N341" s="1">
        <f t="shared" si="13"/>
        <v>7296</v>
      </c>
      <c r="O341" s="2" t="s">
        <v>1049</v>
      </c>
      <c r="P341" s="1"/>
      <c r="Q341" s="1">
        <v>1.2500000000000001E-2</v>
      </c>
      <c r="R341" s="1" t="s">
        <v>44</v>
      </c>
      <c r="S341" s="30" t="s">
        <v>8</v>
      </c>
      <c r="T341" s="12" t="s">
        <v>493</v>
      </c>
      <c r="U341" s="1">
        <v>1</v>
      </c>
      <c r="V341" s="1">
        <v>1</v>
      </c>
      <c r="W341" s="1" t="s">
        <v>494</v>
      </c>
      <c r="X341" s="33" t="s">
        <v>495</v>
      </c>
      <c r="Y341" s="1" t="s">
        <v>496</v>
      </c>
      <c r="Z341" s="2" t="s">
        <v>1049</v>
      </c>
      <c r="AA341" s="1"/>
      <c r="AB341" s="1"/>
      <c r="AC341" s="1"/>
      <c r="AD341" s="1"/>
      <c r="AE341" s="1"/>
      <c r="AF341" s="1"/>
      <c r="AG341" s="1"/>
      <c r="AH341" s="1"/>
      <c r="AI341" s="1"/>
      <c r="AJ341" s="1"/>
      <c r="AK341" s="1"/>
      <c r="AL341" s="1"/>
      <c r="AM341" s="1"/>
      <c r="AN341" s="1"/>
      <c r="AO341" s="1"/>
      <c r="AP341" s="1"/>
      <c r="AQ341" s="1"/>
      <c r="AR341" s="1"/>
      <c r="AS341" s="1"/>
      <c r="AT341" s="1"/>
      <c r="AU341" s="1"/>
      <c r="AV341" s="1">
        <f>SUM($AT341,Z341:$AA341)-SUM($AV$5:AV$5)*$J341-SUM($AV$6:AV$6)*$K341</f>
        <v>0</v>
      </c>
      <c r="AW341" s="1">
        <f>SUM($AT341,$AA341:AA341)-SUM($AV$5:AW$5)*$J341-SUM($AV$6:AW$6)*$K341</f>
        <v>0</v>
      </c>
      <c r="AX341" s="1">
        <f>SUM($AT341,$AA341:AB341)-SUM($AV$5:AX$5)*$J341-SUM($AV$6:AX$6)*$K341</f>
        <v>0</v>
      </c>
      <c r="AY341" s="1">
        <f>SUM($AT341,$AA341:AC341)-SUM($AV$5:AY$5)*$J341-SUM($AV$6:AY$6)*$K341</f>
        <v>0</v>
      </c>
      <c r="AZ341" s="1">
        <f>SUM($AT341,$AA341:AD341)-SUM($AV$5:AZ$5)*$J341-SUM($AV$6:AZ$6)*$K341</f>
        <v>-300</v>
      </c>
      <c r="BA341" s="1">
        <f>SUM($AT341,$AA341:AE341)-SUM($AV$5:BA$5)*$J341-SUM($AV$6:BA$6)*$K341</f>
        <v>-740</v>
      </c>
      <c r="BB341" s="1">
        <f>SUM($AT341,$AA341:AF341)-SUM($AV$5:BB$5)*$J341-SUM($AV$6:BB$6)*$K341</f>
        <v>-2160</v>
      </c>
      <c r="BC341" s="1">
        <f>SUM($AT341,$AA341:AG341)-SUM($AV$5:BC$5)*$J341-SUM($AV$6:BC$6)*$K341</f>
        <v>-3580</v>
      </c>
      <c r="BD341" s="1">
        <f>SUM($AT341,$AA341:AH341)-SUM($AV$5:BD$5)*$J341-SUM($AV$6:BD$6)*$K341</f>
        <v>-4664</v>
      </c>
      <c r="BE341" s="1">
        <f>SUM($AT341,$AA341:AI341)-SUM($AV$5:BE$5)*$J341-SUM($AV$6:BE$6)*$K341</f>
        <v>-4824</v>
      </c>
      <c r="BF341" s="1">
        <f>SUM($AT341,$AA341:AJ341)-SUM($AV$5:BF$5)*$J341-SUM($AV$6:BF$6)*$K341</f>
        <v>-4984</v>
      </c>
      <c r="BG341" s="1">
        <f>SUM($AT341,$AA341:AK341)-SUM($AV$5:BG$5)*$J341-SUM($AV$6:BG$6)*$K341</f>
        <v>-5144</v>
      </c>
      <c r="BH341" s="1">
        <f>SUM($AT341,$AA341:AL341)-SUM($AV$5:BH$5)*$J341-SUM($AV$6:BH$6)*$K341</f>
        <v>-5304</v>
      </c>
      <c r="BI341" s="1">
        <f>SUM($AT341,$AA341:AM341)-SUM($AV$5:BI$5)*$J341-SUM($AV$6:BI$6)*$K341</f>
        <v>-5464</v>
      </c>
      <c r="BJ341" s="1">
        <f>SUM($AT341,$AA341:AN341)-SUM($AV$5:BJ$5)*$J341-SUM($AV$6:BJ$6)*$K341</f>
        <v>-5624</v>
      </c>
      <c r="BK341" s="1">
        <f>SUM($AT341,$AA341:AO341)-SUM($AV$5:BK$5)*$J341-SUM($AV$6:BK$6)*$K341</f>
        <v>-5784</v>
      </c>
      <c r="BL341" s="1">
        <f>SUM($AT341,$AA341:AP341)-SUM($AV$5:BL$5)*$J341-SUM($AV$6:BL$6)*$K341</f>
        <v>-5944</v>
      </c>
      <c r="BM341" s="1">
        <f>SUM($AT341,$AA341:AQ341)-SUM($AV$5:BM$5)*$J341-SUM($AV$6:BM$6)*$K341</f>
        <v>-6104</v>
      </c>
      <c r="BN341" s="1">
        <f>SUM($AT341,$AA341:AR341)-SUM($AV$5:BN$5)*$J341-SUM($AV$6:BN$6)*$K341</f>
        <v>-6192</v>
      </c>
    </row>
    <row r="342" spans="1:66">
      <c r="A342" s="1">
        <v>353</v>
      </c>
      <c r="B342" s="28" t="s">
        <v>1054</v>
      </c>
      <c r="C342" s="1" t="s">
        <v>40</v>
      </c>
      <c r="D342" s="2">
        <v>514301316</v>
      </c>
      <c r="E342" s="3" t="s">
        <v>1053</v>
      </c>
      <c r="F342" s="1"/>
      <c r="G342" s="1" t="s">
        <v>42</v>
      </c>
      <c r="H342" s="1">
        <v>2</v>
      </c>
      <c r="I342" s="1">
        <v>35</v>
      </c>
      <c r="J342" s="1">
        <v>2</v>
      </c>
      <c r="K342" s="1">
        <v>33</v>
      </c>
      <c r="L342" s="1">
        <v>0</v>
      </c>
      <c r="M342" s="1">
        <f t="shared" si="12"/>
        <v>10272</v>
      </c>
      <c r="N342" s="1">
        <f t="shared" si="13"/>
        <v>10272</v>
      </c>
      <c r="O342" s="2" t="s">
        <v>1049</v>
      </c>
      <c r="P342" s="1"/>
      <c r="Q342" s="31">
        <v>1.35E-2</v>
      </c>
      <c r="R342" s="1" t="s">
        <v>44</v>
      </c>
      <c r="S342" s="30" t="s">
        <v>8</v>
      </c>
      <c r="T342" s="31" t="e">
        <f>#REF!</f>
        <v>#REF!</v>
      </c>
      <c r="U342" s="1">
        <v>1</v>
      </c>
      <c r="V342" s="1">
        <v>1</v>
      </c>
      <c r="W342" s="1" t="s">
        <v>494</v>
      </c>
      <c r="X342" s="33" t="s">
        <v>495</v>
      </c>
      <c r="Y342" s="1" t="s">
        <v>496</v>
      </c>
      <c r="Z342" s="2" t="s">
        <v>1049</v>
      </c>
      <c r="AA342" s="1"/>
      <c r="AB342" s="1"/>
      <c r="AC342" s="1"/>
      <c r="AD342" s="1"/>
      <c r="AE342" s="1"/>
      <c r="AF342" s="1"/>
      <c r="AG342" s="1"/>
      <c r="AH342" s="1"/>
      <c r="AI342" s="1"/>
      <c r="AJ342" s="1"/>
      <c r="AK342" s="1"/>
      <c r="AL342" s="1"/>
      <c r="AM342" s="1"/>
      <c r="AN342" s="1"/>
      <c r="AO342" s="1"/>
      <c r="AP342" s="1"/>
      <c r="AQ342" s="1"/>
      <c r="AR342" s="1"/>
      <c r="AS342" s="1"/>
      <c r="AT342" s="1"/>
      <c r="AU342" s="1"/>
      <c r="AV342" s="1">
        <f>SUM($AT342,Z342:$AA342)-SUM($AV$5:AV$5)*$J342-SUM($AV$6:AV$6)*$K342</f>
        <v>0</v>
      </c>
      <c r="AW342" s="1">
        <f>SUM($AT342,$AA342:AA342)-SUM($AV$5:AW$5)*$J342-SUM($AV$6:AW$6)*$K342</f>
        <v>0</v>
      </c>
      <c r="AX342" s="1">
        <f>SUM($AT342,$AA342:AB342)-SUM($AV$5:AX$5)*$J342-SUM($AV$6:AX$6)*$K342</f>
        <v>0</v>
      </c>
      <c r="AY342" s="1">
        <f>SUM($AT342,$AA342:AC342)-SUM($AV$5:AY$5)*$J342-SUM($AV$6:AY$6)*$K342</f>
        <v>0</v>
      </c>
      <c r="AZ342" s="1">
        <f>SUM($AT342,$AA342:AD342)-SUM($AV$5:AZ$5)*$J342-SUM($AV$6:AZ$6)*$K342</f>
        <v>-410</v>
      </c>
      <c r="BA342" s="1">
        <f>SUM($AT342,$AA342:AE342)-SUM($AV$5:BA$5)*$J342-SUM($AV$6:BA$6)*$K342</f>
        <v>-1150</v>
      </c>
      <c r="BB342" s="1">
        <f>SUM($AT342,$AA342:AF342)-SUM($AV$5:BB$5)*$J342-SUM($AV$6:BB$6)*$K342</f>
        <v>-4200</v>
      </c>
      <c r="BC342" s="1">
        <f>SUM($AT342,$AA342:AG342)-SUM($AV$5:BC$5)*$J342-SUM($AV$6:BC$6)*$K342</f>
        <v>-7250</v>
      </c>
      <c r="BD342" s="1">
        <f>SUM($AT342,$AA342:AH342)-SUM($AV$5:BD$5)*$J342-SUM($AV$6:BD$6)*$K342</f>
        <v>-9508</v>
      </c>
      <c r="BE342" s="1">
        <f>SUM($AT342,$AA342:AI342)-SUM($AV$5:BE$5)*$J342-SUM($AV$6:BE$6)*$K342</f>
        <v>-9588</v>
      </c>
      <c r="BF342" s="1">
        <f>SUM($AT342,$AA342:AJ342)-SUM($AV$5:BF$5)*$J342-SUM($AV$6:BF$6)*$K342</f>
        <v>-9668</v>
      </c>
      <c r="BG342" s="1">
        <f>SUM($AT342,$AA342:AK342)-SUM($AV$5:BG$5)*$J342-SUM($AV$6:BG$6)*$K342</f>
        <v>-9748</v>
      </c>
      <c r="BH342" s="1">
        <f>SUM($AT342,$AA342:AL342)-SUM($AV$5:BH$5)*$J342-SUM($AV$6:BH$6)*$K342</f>
        <v>-9828</v>
      </c>
      <c r="BI342" s="1">
        <f>SUM($AT342,$AA342:AM342)-SUM($AV$5:BI$5)*$J342-SUM($AV$6:BI$6)*$K342</f>
        <v>-9908</v>
      </c>
      <c r="BJ342" s="1">
        <f>SUM($AT342,$AA342:AN342)-SUM($AV$5:BJ$5)*$J342-SUM($AV$6:BJ$6)*$K342</f>
        <v>-9988</v>
      </c>
      <c r="BK342" s="1">
        <f>SUM($AT342,$AA342:AO342)-SUM($AV$5:BK$5)*$J342-SUM($AV$6:BK$6)*$K342</f>
        <v>-10068</v>
      </c>
      <c r="BL342" s="1">
        <f>SUM($AT342,$AA342:AP342)-SUM($AV$5:BL$5)*$J342-SUM($AV$6:BL$6)*$K342</f>
        <v>-10148</v>
      </c>
      <c r="BM342" s="1">
        <f>SUM($AT342,$AA342:AQ342)-SUM($AV$5:BM$5)*$J342-SUM($AV$6:BM$6)*$K342</f>
        <v>-10228</v>
      </c>
      <c r="BN342" s="1">
        <f>SUM($AT342,$AA342:AR342)-SUM($AV$5:BN$5)*$J342-SUM($AV$6:BN$6)*$K342</f>
        <v>-10272</v>
      </c>
    </row>
    <row r="343" spans="1:66">
      <c r="A343" s="1">
        <v>354</v>
      </c>
      <c r="B343" s="28" t="s">
        <v>1055</v>
      </c>
      <c r="C343" s="1" t="s">
        <v>40</v>
      </c>
      <c r="D343" s="2">
        <v>512304791</v>
      </c>
      <c r="E343" s="3" t="s">
        <v>1051</v>
      </c>
      <c r="F343" s="1"/>
      <c r="G343" s="1" t="s">
        <v>42</v>
      </c>
      <c r="H343" s="1">
        <v>2</v>
      </c>
      <c r="I343" s="1">
        <v>3</v>
      </c>
      <c r="J343" s="1">
        <v>2</v>
      </c>
      <c r="K343" s="1">
        <v>1</v>
      </c>
      <c r="L343" s="1">
        <v>0</v>
      </c>
      <c r="M343" s="1">
        <f t="shared" si="12"/>
        <v>1440</v>
      </c>
      <c r="N343" s="1">
        <f t="shared" si="13"/>
        <v>1440</v>
      </c>
      <c r="O343" s="2" t="s">
        <v>1056</v>
      </c>
      <c r="P343" s="1"/>
      <c r="Q343" s="31">
        <v>3.7499999999999999E-2</v>
      </c>
      <c r="R343" s="1" t="s">
        <v>44</v>
      </c>
      <c r="S343" s="30" t="s">
        <v>8</v>
      </c>
      <c r="T343" s="31" t="e">
        <f>#REF!</f>
        <v>#REF!</v>
      </c>
      <c r="U343" s="1">
        <v>1</v>
      </c>
      <c r="V343" s="1">
        <v>1</v>
      </c>
      <c r="W343" s="1" t="s">
        <v>494</v>
      </c>
      <c r="X343" s="33" t="s">
        <v>495</v>
      </c>
      <c r="Y343" s="1" t="s">
        <v>496</v>
      </c>
      <c r="Z343" s="2" t="s">
        <v>1056</v>
      </c>
      <c r="AA343" s="1"/>
      <c r="AB343" s="1"/>
      <c r="AC343" s="1"/>
      <c r="AD343" s="1"/>
      <c r="AE343" s="1"/>
      <c r="AF343" s="1"/>
      <c r="AG343" s="1"/>
      <c r="AH343" s="1"/>
      <c r="AI343" s="1"/>
      <c r="AJ343" s="1"/>
      <c r="AK343" s="1"/>
      <c r="AL343" s="1"/>
      <c r="AM343" s="1"/>
      <c r="AN343" s="1"/>
      <c r="AO343" s="1"/>
      <c r="AP343" s="1"/>
      <c r="AQ343" s="1"/>
      <c r="AR343" s="1"/>
      <c r="AS343" s="1"/>
      <c r="AT343" s="1"/>
      <c r="AU343" s="1"/>
      <c r="AV343" s="1">
        <f>SUM($AT343,Z343:$AA343)-SUM($AV$5:AV$5)*$J343-SUM($AV$6:AV$6)*$K343</f>
        <v>0</v>
      </c>
      <c r="AW343" s="1">
        <f>SUM($AT343,$AA343:AA343)-SUM($AV$5:AW$5)*$J343-SUM($AV$6:AW$6)*$K343</f>
        <v>0</v>
      </c>
      <c r="AX343" s="1">
        <f>SUM($AT343,$AA343:AB343)-SUM($AV$5:AX$5)*$J343-SUM($AV$6:AX$6)*$K343</f>
        <v>0</v>
      </c>
      <c r="AY343" s="1">
        <f>SUM($AT343,$AA343:AC343)-SUM($AV$5:AY$5)*$J343-SUM($AV$6:AY$6)*$K343</f>
        <v>0</v>
      </c>
      <c r="AZ343" s="1">
        <f>SUM($AT343,$AA343:AD343)-SUM($AV$5:AZ$5)*$J343-SUM($AV$6:AZ$6)*$K343</f>
        <v>-90</v>
      </c>
      <c r="BA343" s="1">
        <f>SUM($AT343,$AA343:AE343)-SUM($AV$5:BA$5)*$J343-SUM($AV$6:BA$6)*$K343</f>
        <v>-190</v>
      </c>
      <c r="BB343" s="1">
        <f>SUM($AT343,$AA343:AF343)-SUM($AV$5:BB$5)*$J343-SUM($AV$6:BB$6)*$K343</f>
        <v>-360</v>
      </c>
      <c r="BC343" s="1">
        <f>SUM($AT343,$AA343:AG343)-SUM($AV$5:BC$5)*$J343-SUM($AV$6:BC$6)*$K343</f>
        <v>-530</v>
      </c>
      <c r="BD343" s="1">
        <f>SUM($AT343,$AA343:AH343)-SUM($AV$5:BD$5)*$J343-SUM($AV$6:BD$6)*$K343</f>
        <v>-676</v>
      </c>
      <c r="BE343" s="1">
        <f>SUM($AT343,$AA343:AI343)-SUM($AV$5:BE$5)*$J343-SUM($AV$6:BE$6)*$K343</f>
        <v>-756</v>
      </c>
      <c r="BF343" s="1">
        <f>SUM($AT343,$AA343:AJ343)-SUM($AV$5:BF$5)*$J343-SUM($AV$6:BF$6)*$K343</f>
        <v>-836</v>
      </c>
      <c r="BG343" s="1">
        <f>SUM($AT343,$AA343:AK343)-SUM($AV$5:BG$5)*$J343-SUM($AV$6:BG$6)*$K343</f>
        <v>-916</v>
      </c>
      <c r="BH343" s="1">
        <f>SUM($AT343,$AA343:AL343)-SUM($AV$5:BH$5)*$J343-SUM($AV$6:BH$6)*$K343</f>
        <v>-996</v>
      </c>
      <c r="BI343" s="1">
        <f>SUM($AT343,$AA343:AM343)-SUM($AV$5:BI$5)*$J343-SUM($AV$6:BI$6)*$K343</f>
        <v>-1076</v>
      </c>
      <c r="BJ343" s="1">
        <f>SUM($AT343,$AA343:AN343)-SUM($AV$5:BJ$5)*$J343-SUM($AV$6:BJ$6)*$K343</f>
        <v>-1156</v>
      </c>
      <c r="BK343" s="1">
        <f>SUM($AT343,$AA343:AO343)-SUM($AV$5:BK$5)*$J343-SUM($AV$6:BK$6)*$K343</f>
        <v>-1236</v>
      </c>
      <c r="BL343" s="1">
        <f>SUM($AT343,$AA343:AP343)-SUM($AV$5:BL$5)*$J343-SUM($AV$6:BL$6)*$K343</f>
        <v>-1316</v>
      </c>
      <c r="BM343" s="1">
        <f>SUM($AT343,$AA343:AQ343)-SUM($AV$5:BM$5)*$J343-SUM($AV$6:BM$6)*$K343</f>
        <v>-1396</v>
      </c>
      <c r="BN343" s="1">
        <f>SUM($AT343,$AA343:AR343)-SUM($AV$5:BN$5)*$J343-SUM($AV$6:BN$6)*$K343</f>
        <v>-1440</v>
      </c>
    </row>
    <row r="344" spans="1:66">
      <c r="A344" s="1">
        <v>355</v>
      </c>
      <c r="B344" s="28" t="s">
        <v>1057</v>
      </c>
      <c r="C344" s="1" t="s">
        <v>40</v>
      </c>
      <c r="D344" s="2">
        <v>512304809</v>
      </c>
      <c r="E344" s="3" t="s">
        <v>1058</v>
      </c>
      <c r="F344" s="1"/>
      <c r="G344" s="1" t="s">
        <v>42</v>
      </c>
      <c r="H344" s="1">
        <v>2</v>
      </c>
      <c r="I344" s="1">
        <v>32</v>
      </c>
      <c r="J344" s="1">
        <v>0</v>
      </c>
      <c r="K344" s="1">
        <v>32</v>
      </c>
      <c r="L344" s="1">
        <v>0</v>
      </c>
      <c r="M344" s="1">
        <f t="shared" si="12"/>
        <v>8832</v>
      </c>
      <c r="N344" s="1">
        <f t="shared" si="13"/>
        <v>8832</v>
      </c>
      <c r="O344" s="2" t="s">
        <v>1056</v>
      </c>
      <c r="P344" s="1"/>
      <c r="Q344" s="1">
        <v>5.5E-2</v>
      </c>
      <c r="R344" s="1" t="s">
        <v>44</v>
      </c>
      <c r="S344" s="30" t="s">
        <v>1046</v>
      </c>
      <c r="T344" s="12" t="s">
        <v>493</v>
      </c>
      <c r="U344" s="1">
        <v>1</v>
      </c>
      <c r="V344" s="1">
        <v>1</v>
      </c>
      <c r="W344" s="1" t="s">
        <v>494</v>
      </c>
      <c r="X344" s="33" t="s">
        <v>495</v>
      </c>
      <c r="Y344" s="1" t="s">
        <v>496</v>
      </c>
      <c r="Z344" s="2" t="s">
        <v>1056</v>
      </c>
      <c r="AA344" s="1"/>
      <c r="AB344" s="1"/>
      <c r="AC344" s="1"/>
      <c r="AD344" s="1"/>
      <c r="AE344" s="1"/>
      <c r="AF344" s="1"/>
      <c r="AG344" s="1"/>
      <c r="AH344" s="1"/>
      <c r="AI344" s="1"/>
      <c r="AJ344" s="1"/>
      <c r="AK344" s="1"/>
      <c r="AL344" s="1"/>
      <c r="AM344" s="1"/>
      <c r="AN344" s="1"/>
      <c r="AO344" s="1"/>
      <c r="AP344" s="1"/>
      <c r="AQ344" s="1"/>
      <c r="AR344" s="1"/>
      <c r="AS344" s="1"/>
      <c r="AT344" s="1"/>
      <c r="AU344" s="1"/>
      <c r="AV344" s="1">
        <f>SUM($AT344,Z344:$AA344)-SUM($AV$5:AV$5)*$J344-SUM($AV$6:AV$6)*$K344</f>
        <v>0</v>
      </c>
      <c r="AW344" s="1">
        <f>SUM($AT344,$AA344:AA344)-SUM($AV$5:AW$5)*$J344-SUM($AV$6:AW$6)*$K344</f>
        <v>0</v>
      </c>
      <c r="AX344" s="1">
        <f>SUM($AT344,$AA344:AB344)-SUM($AV$5:AX$5)*$J344-SUM($AV$6:AX$6)*$K344</f>
        <v>0</v>
      </c>
      <c r="AY344" s="1">
        <f>SUM($AT344,$AA344:AC344)-SUM($AV$5:AY$5)*$J344-SUM($AV$6:AY$6)*$K344</f>
        <v>0</v>
      </c>
      <c r="AZ344" s="1">
        <f>SUM($AT344,$AA344:AD344)-SUM($AV$5:AZ$5)*$J344-SUM($AV$6:AZ$6)*$K344</f>
        <v>-320</v>
      </c>
      <c r="BA344" s="1">
        <f>SUM($AT344,$AA344:AE344)-SUM($AV$5:BA$5)*$J344-SUM($AV$6:BA$6)*$K344</f>
        <v>-960</v>
      </c>
      <c r="BB344" s="1">
        <f>SUM($AT344,$AA344:AF344)-SUM($AV$5:BB$5)*$J344-SUM($AV$6:BB$6)*$K344</f>
        <v>-3840</v>
      </c>
      <c r="BC344" s="1">
        <f>SUM($AT344,$AA344:AG344)-SUM($AV$5:BC$5)*$J344-SUM($AV$6:BC$6)*$K344</f>
        <v>-6720</v>
      </c>
      <c r="BD344" s="1">
        <f>SUM($AT344,$AA344:AH344)-SUM($AV$5:BD$5)*$J344-SUM($AV$6:BD$6)*$K344</f>
        <v>-8832</v>
      </c>
      <c r="BE344" s="1">
        <f>SUM($AT344,$AA344:AI344)-SUM($AV$5:BE$5)*$J344-SUM($AV$6:BE$6)*$K344</f>
        <v>-8832</v>
      </c>
      <c r="BF344" s="1">
        <f>SUM($AT344,$AA344:AJ344)-SUM($AV$5:BF$5)*$J344-SUM($AV$6:BF$6)*$K344</f>
        <v>-8832</v>
      </c>
      <c r="BG344" s="1">
        <f>SUM($AT344,$AA344:AK344)-SUM($AV$5:BG$5)*$J344-SUM($AV$6:BG$6)*$K344</f>
        <v>-8832</v>
      </c>
      <c r="BH344" s="1">
        <f>SUM($AT344,$AA344:AL344)-SUM($AV$5:BH$5)*$J344-SUM($AV$6:BH$6)*$K344</f>
        <v>-8832</v>
      </c>
      <c r="BI344" s="1">
        <f>SUM($AT344,$AA344:AM344)-SUM($AV$5:BI$5)*$J344-SUM($AV$6:BI$6)*$K344</f>
        <v>-8832</v>
      </c>
      <c r="BJ344" s="1">
        <f>SUM($AT344,$AA344:AN344)-SUM($AV$5:BJ$5)*$J344-SUM($AV$6:BJ$6)*$K344</f>
        <v>-8832</v>
      </c>
      <c r="BK344" s="1">
        <f>SUM($AT344,$AA344:AO344)-SUM($AV$5:BK$5)*$J344-SUM($AV$6:BK$6)*$K344</f>
        <v>-8832</v>
      </c>
      <c r="BL344" s="1">
        <f>SUM($AT344,$AA344:AP344)-SUM($AV$5:BL$5)*$J344-SUM($AV$6:BL$6)*$K344</f>
        <v>-8832</v>
      </c>
      <c r="BM344" s="1">
        <f>SUM($AT344,$AA344:AQ344)-SUM($AV$5:BM$5)*$J344-SUM($AV$6:BM$6)*$K344</f>
        <v>-8832</v>
      </c>
      <c r="BN344" s="1">
        <f>SUM($AT344,$AA344:AR344)-SUM($AV$5:BN$5)*$J344-SUM($AV$6:BN$6)*$K344</f>
        <v>-8832</v>
      </c>
    </row>
    <row r="345" spans="1:66">
      <c r="A345" s="1">
        <v>356</v>
      </c>
      <c r="B345" s="28" t="s">
        <v>1059</v>
      </c>
      <c r="C345" s="1" t="s">
        <v>40</v>
      </c>
      <c r="D345" s="2">
        <v>512308669</v>
      </c>
      <c r="E345" s="3" t="s">
        <v>1051</v>
      </c>
      <c r="F345" s="1"/>
      <c r="G345" s="1" t="s">
        <v>42</v>
      </c>
      <c r="H345" s="1">
        <v>2</v>
      </c>
      <c r="I345" s="1">
        <v>18</v>
      </c>
      <c r="J345" s="1">
        <v>0</v>
      </c>
      <c r="K345" s="1">
        <v>14</v>
      </c>
      <c r="L345" s="1">
        <v>4</v>
      </c>
      <c r="M345" s="1">
        <f t="shared" si="12"/>
        <v>4968</v>
      </c>
      <c r="N345" s="1">
        <f t="shared" si="13"/>
        <v>4968</v>
      </c>
      <c r="O345" s="2" t="s">
        <v>1056</v>
      </c>
      <c r="P345" s="1"/>
      <c r="Q345" s="1">
        <v>4.4999999999999998E-2</v>
      </c>
      <c r="R345" s="1" t="s">
        <v>44</v>
      </c>
      <c r="S345" s="30" t="s">
        <v>1046</v>
      </c>
      <c r="T345" s="12" t="s">
        <v>493</v>
      </c>
      <c r="U345" s="1">
        <v>1</v>
      </c>
      <c r="V345" s="1">
        <v>1</v>
      </c>
      <c r="W345" s="1" t="s">
        <v>494</v>
      </c>
      <c r="X345" s="33" t="s">
        <v>495</v>
      </c>
      <c r="Y345" s="1" t="s">
        <v>496</v>
      </c>
      <c r="Z345" s="2" t="s">
        <v>1056</v>
      </c>
      <c r="AA345" s="1"/>
      <c r="AB345" s="1"/>
      <c r="AC345" s="1"/>
      <c r="AD345" s="1"/>
      <c r="AE345" s="1"/>
      <c r="AF345" s="1"/>
      <c r="AG345" s="1"/>
      <c r="AH345" s="1"/>
      <c r="AI345" s="1"/>
      <c r="AJ345" s="1"/>
      <c r="AK345" s="1"/>
      <c r="AL345" s="1"/>
      <c r="AM345" s="1"/>
      <c r="AN345" s="1"/>
      <c r="AO345" s="1"/>
      <c r="AP345" s="1"/>
      <c r="AQ345" s="1"/>
      <c r="AR345" s="1"/>
      <c r="AS345" s="1"/>
      <c r="AT345" s="1"/>
      <c r="AU345" s="1"/>
      <c r="AV345" s="1">
        <f>SUM($AT345,Z345:$AA345)-SUM($AV$5:AV$5)*$J345-SUM($AV$6:AV$6)*$K345</f>
        <v>0</v>
      </c>
      <c r="AW345" s="1">
        <f>SUM($AT345,$AA345:AA345)-SUM($AV$5:AW$5)*$J345-SUM($AV$6:AW$6)*$K345</f>
        <v>0</v>
      </c>
      <c r="AX345" s="1">
        <f>SUM($AT345,$AA345:AB345)-SUM($AV$5:AX$5)*$J345-SUM($AV$6:AX$6)*$K345</f>
        <v>0</v>
      </c>
      <c r="AY345" s="1">
        <f>SUM($AT345,$AA345:AC345)-SUM($AV$5:AY$5)*$J345-SUM($AV$6:AY$6)*$K345</f>
        <v>0</v>
      </c>
      <c r="AZ345" s="1">
        <f>SUM($AT345,$AA345:AD345)-SUM($AV$5:AZ$5)*$J345-SUM($AV$6:AZ$6)*$K345</f>
        <v>-140</v>
      </c>
      <c r="BA345" s="1">
        <f>SUM($AT345,$AA345:AE345)-SUM($AV$5:BA$5)*$J345-SUM($AV$6:BA$6)*$K345</f>
        <v>-420</v>
      </c>
      <c r="BB345" s="1">
        <f>SUM($AT345,$AA345:AF345)-SUM($AV$5:BB$5)*$J345-SUM($AV$6:BB$6)*$K345</f>
        <v>-1680</v>
      </c>
      <c r="BC345" s="1">
        <f>SUM($AT345,$AA345:AG345)-SUM($AV$5:BC$5)*$J345-SUM($AV$6:BC$6)*$K345</f>
        <v>-2940</v>
      </c>
      <c r="BD345" s="1">
        <f>SUM($AT345,$AA345:AH345)-SUM($AV$5:BD$5)*$J345-SUM($AV$6:BD$6)*$K345</f>
        <v>-3864</v>
      </c>
      <c r="BE345" s="1">
        <f>SUM($AT345,$AA345:AI345)-SUM($AV$5:BE$5)*$J345-SUM($AV$6:BE$6)*$K345</f>
        <v>-3864</v>
      </c>
      <c r="BF345" s="1">
        <f>SUM($AT345,$AA345:AJ345)-SUM($AV$5:BF$5)*$J345-SUM($AV$6:BF$6)*$K345</f>
        <v>-3864</v>
      </c>
      <c r="BG345" s="1">
        <f>SUM($AT345,$AA345:AK345)-SUM($AV$5:BG$5)*$J345-SUM($AV$6:BG$6)*$K345</f>
        <v>-3864</v>
      </c>
      <c r="BH345" s="1">
        <f>SUM($AT345,$AA345:AL345)-SUM($AV$5:BH$5)*$J345-SUM($AV$6:BH$6)*$K345</f>
        <v>-3864</v>
      </c>
      <c r="BI345" s="1">
        <f>SUM($AT345,$AA345:AM345)-SUM($AV$5:BI$5)*$J345-SUM($AV$6:BI$6)*$K345</f>
        <v>-3864</v>
      </c>
      <c r="BJ345" s="1">
        <f>SUM($AT345,$AA345:AN345)-SUM($AV$5:BJ$5)*$J345-SUM($AV$6:BJ$6)*$K345</f>
        <v>-3864</v>
      </c>
      <c r="BK345" s="1">
        <f>SUM($AT345,$AA345:AO345)-SUM($AV$5:BK$5)*$J345-SUM($AV$6:BK$6)*$K345</f>
        <v>-3864</v>
      </c>
      <c r="BL345" s="1">
        <f>SUM($AT345,$AA345:AP345)-SUM($AV$5:BL$5)*$J345-SUM($AV$6:BL$6)*$K345</f>
        <v>-3864</v>
      </c>
      <c r="BM345" s="1">
        <f>SUM($AT345,$AA345:AQ345)-SUM($AV$5:BM$5)*$J345-SUM($AV$6:BM$6)*$K345</f>
        <v>-3864</v>
      </c>
      <c r="BN345" s="1">
        <f>SUM($AT345,$AA345:AR345)-SUM($AV$5:BN$5)*$J345-SUM($AV$6:BN$6)*$K345</f>
        <v>-3864</v>
      </c>
    </row>
    <row r="346" spans="1:66">
      <c r="A346" s="1">
        <v>357</v>
      </c>
      <c r="B346" s="28" t="s">
        <v>1060</v>
      </c>
      <c r="C346" s="1" t="s">
        <v>40</v>
      </c>
      <c r="D346" s="2">
        <v>512308677</v>
      </c>
      <c r="E346" s="3" t="s">
        <v>1051</v>
      </c>
      <c r="F346" s="1"/>
      <c r="G346" s="1" t="s">
        <v>42</v>
      </c>
      <c r="H346" s="1">
        <v>2</v>
      </c>
      <c r="I346" s="1">
        <v>2</v>
      </c>
      <c r="J346" s="1">
        <v>2</v>
      </c>
      <c r="K346" s="1">
        <v>0</v>
      </c>
      <c r="L346" s="1">
        <v>0</v>
      </c>
      <c r="M346" s="1">
        <f t="shared" si="12"/>
        <v>1164</v>
      </c>
      <c r="N346" s="1">
        <f t="shared" si="13"/>
        <v>1164</v>
      </c>
      <c r="O346" s="2" t="s">
        <v>1056</v>
      </c>
      <c r="P346" s="1"/>
      <c r="Q346" s="1">
        <v>0.03</v>
      </c>
      <c r="R346" s="1" t="s">
        <v>44</v>
      </c>
      <c r="S346" s="30" t="s">
        <v>8</v>
      </c>
      <c r="T346" s="31" t="e">
        <f>#REF!</f>
        <v>#REF!</v>
      </c>
      <c r="U346" s="1">
        <v>1</v>
      </c>
      <c r="V346" s="1">
        <v>1</v>
      </c>
      <c r="W346" s="1" t="s">
        <v>494</v>
      </c>
      <c r="X346" s="33" t="s">
        <v>495</v>
      </c>
      <c r="Y346" s="1" t="s">
        <v>496</v>
      </c>
      <c r="Z346" s="2" t="s">
        <v>1056</v>
      </c>
      <c r="AA346" s="1"/>
      <c r="AB346" s="1"/>
      <c r="AC346" s="1"/>
      <c r="AD346" s="1"/>
      <c r="AE346" s="1"/>
      <c r="AF346" s="1"/>
      <c r="AG346" s="1"/>
      <c r="AH346" s="1"/>
      <c r="AI346" s="1"/>
      <c r="AJ346" s="1"/>
      <c r="AK346" s="1"/>
      <c r="AL346" s="1"/>
      <c r="AM346" s="1"/>
      <c r="AN346" s="1"/>
      <c r="AO346" s="1"/>
      <c r="AP346" s="1"/>
      <c r="AQ346" s="1"/>
      <c r="AR346" s="1"/>
      <c r="AS346" s="1"/>
      <c r="AT346" s="1"/>
      <c r="AU346" s="1"/>
      <c r="AV346" s="1">
        <f>SUM($AT346,Z346:$AA346)-SUM($AV$5:AV$5)*$J346-SUM($AV$6:AV$6)*$K346</f>
        <v>0</v>
      </c>
      <c r="AW346" s="1">
        <f>SUM($AT346,$AA346:AA346)-SUM($AV$5:AW$5)*$J346-SUM($AV$6:AW$6)*$K346</f>
        <v>0</v>
      </c>
      <c r="AX346" s="1">
        <f>SUM($AT346,$AA346:AB346)-SUM($AV$5:AX$5)*$J346-SUM($AV$6:AX$6)*$K346</f>
        <v>0</v>
      </c>
      <c r="AY346" s="1">
        <f>SUM($AT346,$AA346:AC346)-SUM($AV$5:AY$5)*$J346-SUM($AV$6:AY$6)*$K346</f>
        <v>0</v>
      </c>
      <c r="AZ346" s="1">
        <f>SUM($AT346,$AA346:AD346)-SUM($AV$5:AZ$5)*$J346-SUM($AV$6:AZ$6)*$K346</f>
        <v>-80</v>
      </c>
      <c r="BA346" s="1">
        <f>SUM($AT346,$AA346:AE346)-SUM($AV$5:BA$5)*$J346-SUM($AV$6:BA$6)*$K346</f>
        <v>-160</v>
      </c>
      <c r="BB346" s="1">
        <f>SUM($AT346,$AA346:AF346)-SUM($AV$5:BB$5)*$J346-SUM($AV$6:BB$6)*$K346</f>
        <v>-240</v>
      </c>
      <c r="BC346" s="1">
        <f>SUM($AT346,$AA346:AG346)-SUM($AV$5:BC$5)*$J346-SUM($AV$6:BC$6)*$K346</f>
        <v>-320</v>
      </c>
      <c r="BD346" s="1">
        <f>SUM($AT346,$AA346:AH346)-SUM($AV$5:BD$5)*$J346-SUM($AV$6:BD$6)*$K346</f>
        <v>-400</v>
      </c>
      <c r="BE346" s="1">
        <f>SUM($AT346,$AA346:AI346)-SUM($AV$5:BE$5)*$J346-SUM($AV$6:BE$6)*$K346</f>
        <v>-480</v>
      </c>
      <c r="BF346" s="1">
        <f>SUM($AT346,$AA346:AJ346)-SUM($AV$5:BF$5)*$J346-SUM($AV$6:BF$6)*$K346</f>
        <v>-560</v>
      </c>
      <c r="BG346" s="1">
        <f>SUM($AT346,$AA346:AK346)-SUM($AV$5:BG$5)*$J346-SUM($AV$6:BG$6)*$K346</f>
        <v>-640</v>
      </c>
      <c r="BH346" s="1">
        <f>SUM($AT346,$AA346:AL346)-SUM($AV$5:BH$5)*$J346-SUM($AV$6:BH$6)*$K346</f>
        <v>-720</v>
      </c>
      <c r="BI346" s="1">
        <f>SUM($AT346,$AA346:AM346)-SUM($AV$5:BI$5)*$J346-SUM($AV$6:BI$6)*$K346</f>
        <v>-800</v>
      </c>
      <c r="BJ346" s="1">
        <f>SUM($AT346,$AA346:AN346)-SUM($AV$5:BJ$5)*$J346-SUM($AV$6:BJ$6)*$K346</f>
        <v>-880</v>
      </c>
      <c r="BK346" s="1">
        <f>SUM($AT346,$AA346:AO346)-SUM($AV$5:BK$5)*$J346-SUM($AV$6:BK$6)*$K346</f>
        <v>-960</v>
      </c>
      <c r="BL346" s="1">
        <f>SUM($AT346,$AA346:AP346)-SUM($AV$5:BL$5)*$J346-SUM($AV$6:BL$6)*$K346</f>
        <v>-1040</v>
      </c>
      <c r="BM346" s="1">
        <f>SUM($AT346,$AA346:AQ346)-SUM($AV$5:BM$5)*$J346-SUM($AV$6:BM$6)*$K346</f>
        <v>-1120</v>
      </c>
      <c r="BN346" s="1">
        <f>SUM($AT346,$AA346:AR346)-SUM($AV$5:BN$5)*$J346-SUM($AV$6:BN$6)*$K346</f>
        <v>-1164</v>
      </c>
    </row>
    <row r="347" spans="1:66">
      <c r="A347" s="1">
        <v>358</v>
      </c>
      <c r="B347" s="28" t="s">
        <v>1061</v>
      </c>
      <c r="C347" s="1" t="s">
        <v>40</v>
      </c>
      <c r="D347" s="2">
        <v>512307984</v>
      </c>
      <c r="E347" s="3" t="s">
        <v>1058</v>
      </c>
      <c r="F347" s="1"/>
      <c r="G347" s="1" t="s">
        <v>42</v>
      </c>
      <c r="H347" s="1">
        <v>2</v>
      </c>
      <c r="I347" s="1">
        <v>2</v>
      </c>
      <c r="J347" s="1">
        <v>2</v>
      </c>
      <c r="K347" s="1">
        <v>0</v>
      </c>
      <c r="L347" s="1">
        <v>0</v>
      </c>
      <c r="M347" s="1">
        <f t="shared" si="12"/>
        <v>1164</v>
      </c>
      <c r="N347" s="1">
        <f t="shared" si="13"/>
        <v>1164</v>
      </c>
      <c r="O347" s="2" t="s">
        <v>1056</v>
      </c>
      <c r="P347" s="1"/>
      <c r="Q347" s="1">
        <v>0.03</v>
      </c>
      <c r="R347" s="1" t="s">
        <v>44</v>
      </c>
      <c r="S347" s="30" t="s">
        <v>8</v>
      </c>
      <c r="T347" s="31" t="e">
        <f>#REF!</f>
        <v>#REF!</v>
      </c>
      <c r="U347" s="1">
        <v>1</v>
      </c>
      <c r="V347" s="1">
        <v>1</v>
      </c>
      <c r="W347" s="1" t="s">
        <v>494</v>
      </c>
      <c r="X347" s="33" t="s">
        <v>495</v>
      </c>
      <c r="Y347" s="1" t="s">
        <v>496</v>
      </c>
      <c r="Z347" s="2" t="s">
        <v>1056</v>
      </c>
      <c r="AA347" s="1"/>
      <c r="AB347" s="1"/>
      <c r="AC347" s="1"/>
      <c r="AD347" s="1"/>
      <c r="AE347" s="1"/>
      <c r="AF347" s="1"/>
      <c r="AG347" s="1"/>
      <c r="AH347" s="1"/>
      <c r="AI347" s="1"/>
      <c r="AJ347" s="1"/>
      <c r="AK347" s="1"/>
      <c r="AL347" s="1"/>
      <c r="AM347" s="1"/>
      <c r="AN347" s="1"/>
      <c r="AO347" s="1"/>
      <c r="AP347" s="1"/>
      <c r="AQ347" s="1"/>
      <c r="AR347" s="1"/>
      <c r="AS347" s="1"/>
      <c r="AT347" s="1"/>
      <c r="AU347" s="1"/>
      <c r="AV347" s="1">
        <f>SUM($AT347,Z347:$AA347)-SUM($AV$5:AV$5)*$J347-SUM($AV$6:AV$6)*$K347</f>
        <v>0</v>
      </c>
      <c r="AW347" s="1">
        <f>SUM($AT347,$AA347:AA347)-SUM($AV$5:AW$5)*$J347-SUM($AV$6:AW$6)*$K347</f>
        <v>0</v>
      </c>
      <c r="AX347" s="1">
        <f>SUM($AT347,$AA347:AB347)-SUM($AV$5:AX$5)*$J347-SUM($AV$6:AX$6)*$K347</f>
        <v>0</v>
      </c>
      <c r="AY347" s="1">
        <f>SUM($AT347,$AA347:AC347)-SUM($AV$5:AY$5)*$J347-SUM($AV$6:AY$6)*$K347</f>
        <v>0</v>
      </c>
      <c r="AZ347" s="1">
        <f>SUM($AT347,$AA347:AD347)-SUM($AV$5:AZ$5)*$J347-SUM($AV$6:AZ$6)*$K347</f>
        <v>-80</v>
      </c>
      <c r="BA347" s="1">
        <f>SUM($AT347,$AA347:AE347)-SUM($AV$5:BA$5)*$J347-SUM($AV$6:BA$6)*$K347</f>
        <v>-160</v>
      </c>
      <c r="BB347" s="1">
        <f>SUM($AT347,$AA347:AF347)-SUM($AV$5:BB$5)*$J347-SUM($AV$6:BB$6)*$K347</f>
        <v>-240</v>
      </c>
      <c r="BC347" s="1">
        <f>SUM($AT347,$AA347:AG347)-SUM($AV$5:BC$5)*$J347-SUM($AV$6:BC$6)*$K347</f>
        <v>-320</v>
      </c>
      <c r="BD347" s="1">
        <f>SUM($AT347,$AA347:AH347)-SUM($AV$5:BD$5)*$J347-SUM($AV$6:BD$6)*$K347</f>
        <v>-400</v>
      </c>
      <c r="BE347" s="1">
        <f>SUM($AT347,$AA347:AI347)-SUM($AV$5:BE$5)*$J347-SUM($AV$6:BE$6)*$K347</f>
        <v>-480</v>
      </c>
      <c r="BF347" s="1">
        <f>SUM($AT347,$AA347:AJ347)-SUM($AV$5:BF$5)*$J347-SUM($AV$6:BF$6)*$K347</f>
        <v>-560</v>
      </c>
      <c r="BG347" s="1">
        <f>SUM($AT347,$AA347:AK347)-SUM($AV$5:BG$5)*$J347-SUM($AV$6:BG$6)*$K347</f>
        <v>-640</v>
      </c>
      <c r="BH347" s="1">
        <f>SUM($AT347,$AA347:AL347)-SUM($AV$5:BH$5)*$J347-SUM($AV$6:BH$6)*$K347</f>
        <v>-720</v>
      </c>
      <c r="BI347" s="1">
        <f>SUM($AT347,$AA347:AM347)-SUM($AV$5:BI$5)*$J347-SUM($AV$6:BI$6)*$K347</f>
        <v>-800</v>
      </c>
      <c r="BJ347" s="1">
        <f>SUM($AT347,$AA347:AN347)-SUM($AV$5:BJ$5)*$J347-SUM($AV$6:BJ$6)*$K347</f>
        <v>-880</v>
      </c>
      <c r="BK347" s="1">
        <f>SUM($AT347,$AA347:AO347)-SUM($AV$5:BK$5)*$J347-SUM($AV$6:BK$6)*$K347</f>
        <v>-960</v>
      </c>
      <c r="BL347" s="1">
        <f>SUM($AT347,$AA347:AP347)-SUM($AV$5:BL$5)*$J347-SUM($AV$6:BL$6)*$K347</f>
        <v>-1040</v>
      </c>
      <c r="BM347" s="1">
        <f>SUM($AT347,$AA347:AQ347)-SUM($AV$5:BM$5)*$J347-SUM($AV$6:BM$6)*$K347</f>
        <v>-1120</v>
      </c>
      <c r="BN347" s="1">
        <f>SUM($AT347,$AA347:AR347)-SUM($AV$5:BN$5)*$J347-SUM($AV$6:BN$6)*$K347</f>
        <v>-1164</v>
      </c>
    </row>
    <row r="348" spans="1:66">
      <c r="A348" s="1">
        <v>420</v>
      </c>
      <c r="B348" s="28" t="s">
        <v>1062</v>
      </c>
      <c r="C348" s="1" t="s">
        <v>40</v>
      </c>
      <c r="D348" s="2">
        <v>400341072</v>
      </c>
      <c r="E348" s="3" t="s">
        <v>1063</v>
      </c>
      <c r="F348" s="1">
        <v>400341730</v>
      </c>
      <c r="G348" s="1" t="s">
        <v>42</v>
      </c>
      <c r="H348" s="1">
        <v>2</v>
      </c>
      <c r="I348" s="1">
        <v>1</v>
      </c>
      <c r="J348" s="1">
        <v>1</v>
      </c>
      <c r="K348" s="1">
        <v>0</v>
      </c>
      <c r="L348" s="1">
        <v>0</v>
      </c>
      <c r="M348" s="1">
        <f t="shared" si="12"/>
        <v>582</v>
      </c>
      <c r="N348" s="1">
        <f t="shared" si="13"/>
        <v>582</v>
      </c>
      <c r="O348" s="2" t="s">
        <v>401</v>
      </c>
      <c r="P348" s="1"/>
      <c r="Q348" s="1">
        <v>0.24</v>
      </c>
      <c r="R348" s="1" t="s">
        <v>44</v>
      </c>
      <c r="S348" s="30" t="s">
        <v>458</v>
      </c>
      <c r="T348" s="31" t="s">
        <v>402</v>
      </c>
      <c r="U348" s="1"/>
      <c r="V348" s="1">
        <v>2000</v>
      </c>
      <c r="W348" s="1" t="s">
        <v>403</v>
      </c>
      <c r="X348" s="32" t="s">
        <v>404</v>
      </c>
      <c r="Y348" s="1" t="s">
        <v>405</v>
      </c>
      <c r="Z348" s="2" t="s">
        <v>401</v>
      </c>
      <c r="AA348" s="1"/>
      <c r="AB348" s="1"/>
      <c r="AC348" s="1"/>
      <c r="AD348" s="1"/>
      <c r="AE348" s="1"/>
      <c r="AF348" s="1"/>
      <c r="AG348" s="1"/>
      <c r="AH348" s="1"/>
      <c r="AI348" s="1"/>
      <c r="AJ348" s="1"/>
      <c r="AK348" s="1"/>
      <c r="AL348" s="1"/>
      <c r="AM348" s="1"/>
      <c r="AN348" s="1"/>
      <c r="AO348" s="1"/>
      <c r="AP348" s="1"/>
      <c r="AQ348" s="1"/>
      <c r="AR348" s="1"/>
      <c r="AS348" s="1"/>
      <c r="AT348" s="1"/>
      <c r="AU348" s="1"/>
      <c r="AV348" s="1">
        <f>SUM($AT348,Z348:$AA348)-SUM($AV$5:AV$5)*$J348-SUM($AV$6:AV$6)*$K348</f>
        <v>0</v>
      </c>
      <c r="AW348" s="1">
        <f>SUM($AT348,$AA348:AA348)-SUM($AV$5:AW$5)*$J348-SUM($AV$6:AW$6)*$K348</f>
        <v>0</v>
      </c>
      <c r="AX348" s="1">
        <f>SUM($AT348,$AA348:AB348)-SUM($AV$5:AX$5)*$J348-SUM($AV$6:AX$6)*$K348</f>
        <v>0</v>
      </c>
      <c r="AY348" s="1">
        <f>SUM($AT348,$AA348:AC348)-SUM($AV$5:AY$5)*$J348-SUM($AV$6:AY$6)*$K348</f>
        <v>0</v>
      </c>
      <c r="AZ348" s="1">
        <f>SUM($AT348,$AA348:AD348)-SUM($AV$5:AZ$5)*$J348-SUM($AV$6:AZ$6)*$K348</f>
        <v>-40</v>
      </c>
      <c r="BA348" s="1">
        <f>SUM($AT348,$AA348:AE348)-SUM($AV$5:BA$5)*$J348-SUM($AV$6:BA$6)*$K348</f>
        <v>-80</v>
      </c>
      <c r="BB348" s="1">
        <f>SUM($AT348,$AA348:AF348)-SUM($AV$5:BB$5)*$J348-SUM($AV$6:BB$6)*$K348</f>
        <v>-120</v>
      </c>
      <c r="BC348" s="1">
        <f>SUM($AT348,$AA348:AG348)-SUM($AV$5:BC$5)*$J348-SUM($AV$6:BC$6)*$K348</f>
        <v>-160</v>
      </c>
      <c r="BD348" s="1">
        <f>SUM($AT348,$AA348:AH348)-SUM($AV$5:BD$5)*$J348-SUM($AV$6:BD$6)*$K348</f>
        <v>-200</v>
      </c>
      <c r="BE348" s="1">
        <f>SUM($AT348,$AA348:AI348)-SUM($AV$5:BE$5)*$J348-SUM($AV$6:BE$6)*$K348</f>
        <v>-240</v>
      </c>
      <c r="BF348" s="1">
        <f>SUM($AT348,$AA348:AJ348)-SUM($AV$5:BF$5)*$J348-SUM($AV$6:BF$6)*$K348</f>
        <v>-280</v>
      </c>
      <c r="BG348" s="1">
        <f>SUM($AT348,$AA348:AK348)-SUM($AV$5:BG$5)*$J348-SUM($AV$6:BG$6)*$K348</f>
        <v>-320</v>
      </c>
      <c r="BH348" s="1">
        <f>SUM($AT348,$AA348:AL348)-SUM($AV$5:BH$5)*$J348-SUM($AV$6:BH$6)*$K348</f>
        <v>-360</v>
      </c>
      <c r="BI348" s="1">
        <f>SUM($AT348,$AA348:AM348)-SUM($AV$5:BI$5)*$J348-SUM($AV$6:BI$6)*$K348</f>
        <v>-400</v>
      </c>
      <c r="BJ348" s="1">
        <f>SUM($AT348,$AA348:AN348)-SUM($AV$5:BJ$5)*$J348-SUM($AV$6:BJ$6)*$K348</f>
        <v>-440</v>
      </c>
      <c r="BK348" s="1">
        <f>SUM($AT348,$AA348:AO348)-SUM($AV$5:BK$5)*$J348-SUM($AV$6:BK$6)*$K348</f>
        <v>-480</v>
      </c>
      <c r="BL348" s="1">
        <f>SUM($AT348,$AA348:AP348)-SUM($AV$5:BL$5)*$J348-SUM($AV$6:BL$6)*$K348</f>
        <v>-520</v>
      </c>
      <c r="BM348" s="1">
        <f>SUM($AT348,$AA348:AQ348)-SUM($AV$5:BM$5)*$J348-SUM($AV$6:BM$6)*$K348</f>
        <v>-560</v>
      </c>
      <c r="BN348" s="1">
        <f>SUM($AT348,$AA348:AR348)-SUM($AV$5:BN$5)*$J348-SUM($AV$6:BN$6)*$K348</f>
        <v>-582</v>
      </c>
    </row>
    <row r="349" spans="1:66">
      <c r="A349" s="1">
        <v>421</v>
      </c>
      <c r="B349" s="28" t="s">
        <v>1064</v>
      </c>
      <c r="C349" s="1" t="s">
        <v>40</v>
      </c>
      <c r="D349" s="2">
        <v>400253610</v>
      </c>
      <c r="E349" s="3" t="s">
        <v>1065</v>
      </c>
      <c r="F349" s="1" t="s">
        <v>1066</v>
      </c>
      <c r="G349" s="1" t="s">
        <v>42</v>
      </c>
      <c r="H349" s="1">
        <v>2</v>
      </c>
      <c r="I349" s="1">
        <v>10</v>
      </c>
      <c r="J349" s="1">
        <v>10</v>
      </c>
      <c r="K349" s="1">
        <v>0</v>
      </c>
      <c r="L349" s="1">
        <v>0</v>
      </c>
      <c r="M349" s="1">
        <f t="shared" si="12"/>
        <v>5820</v>
      </c>
      <c r="N349" s="1">
        <f t="shared" si="13"/>
        <v>5820</v>
      </c>
      <c r="O349" s="2" t="s">
        <v>401</v>
      </c>
      <c r="P349" s="1"/>
      <c r="Q349" s="1">
        <v>0.32</v>
      </c>
      <c r="R349" s="1" t="s">
        <v>44</v>
      </c>
      <c r="S349" s="30" t="s">
        <v>62</v>
      </c>
      <c r="T349" s="31" t="s">
        <v>402</v>
      </c>
      <c r="U349" s="1"/>
      <c r="V349" s="1">
        <v>500</v>
      </c>
      <c r="W349" s="1" t="s">
        <v>403</v>
      </c>
      <c r="X349" s="32" t="s">
        <v>404</v>
      </c>
      <c r="Y349" s="1" t="s">
        <v>405</v>
      </c>
      <c r="Z349" s="2" t="s">
        <v>401</v>
      </c>
      <c r="AA349" s="1"/>
      <c r="AB349" s="1"/>
      <c r="AC349" s="1"/>
      <c r="AD349" s="1"/>
      <c r="AE349" s="1"/>
      <c r="AF349" s="1"/>
      <c r="AG349" s="1"/>
      <c r="AH349" s="1"/>
      <c r="AI349" s="1"/>
      <c r="AJ349" s="1"/>
      <c r="AK349" s="1"/>
      <c r="AL349" s="1"/>
      <c r="AM349" s="1"/>
      <c r="AN349" s="1"/>
      <c r="AO349" s="1"/>
      <c r="AP349" s="1"/>
      <c r="AQ349" s="1"/>
      <c r="AR349" s="1"/>
      <c r="AS349" s="1"/>
      <c r="AT349" s="1"/>
      <c r="AU349" s="1"/>
      <c r="AV349" s="1">
        <f>SUM($AT349,Z349:$AA349)-SUM($AV$5:AV$5)*$J349-SUM($AV$6:AV$6)*$K349</f>
        <v>0</v>
      </c>
      <c r="AW349" s="1">
        <f>SUM($AT349,$AA349:AA349)-SUM($AV$5:AW$5)*$J349-SUM($AV$6:AW$6)*$K349</f>
        <v>0</v>
      </c>
      <c r="AX349" s="1">
        <f>SUM($AT349,$AA349:AB349)-SUM($AV$5:AX$5)*$J349-SUM($AV$6:AX$6)*$K349</f>
        <v>0</v>
      </c>
      <c r="AY349" s="1">
        <f>SUM($AT349,$AA349:AC349)-SUM($AV$5:AY$5)*$J349-SUM($AV$6:AY$6)*$K349</f>
        <v>0</v>
      </c>
      <c r="AZ349" s="1">
        <f>SUM($AT349,$AA349:AD349)-SUM($AV$5:AZ$5)*$J349-SUM($AV$6:AZ$6)*$K349</f>
        <v>-400</v>
      </c>
      <c r="BA349" s="1">
        <f>SUM($AT349,$AA349:AE349)-SUM($AV$5:BA$5)*$J349-SUM($AV$6:BA$6)*$K349</f>
        <v>-800</v>
      </c>
      <c r="BB349" s="1">
        <f>SUM($AT349,$AA349:AF349)-SUM($AV$5:BB$5)*$J349-SUM($AV$6:BB$6)*$K349</f>
        <v>-1200</v>
      </c>
      <c r="BC349" s="1">
        <f>SUM($AT349,$AA349:AG349)-SUM($AV$5:BC$5)*$J349-SUM($AV$6:BC$6)*$K349</f>
        <v>-1600</v>
      </c>
      <c r="BD349" s="1">
        <f>SUM($AT349,$AA349:AH349)-SUM($AV$5:BD$5)*$J349-SUM($AV$6:BD$6)*$K349</f>
        <v>-2000</v>
      </c>
      <c r="BE349" s="1">
        <f>SUM($AT349,$AA349:AI349)-SUM($AV$5:BE$5)*$J349-SUM($AV$6:BE$6)*$K349</f>
        <v>-2400</v>
      </c>
      <c r="BF349" s="1">
        <f>SUM($AT349,$AA349:AJ349)-SUM($AV$5:BF$5)*$J349-SUM($AV$6:BF$6)*$K349</f>
        <v>-2800</v>
      </c>
      <c r="BG349" s="1">
        <f>SUM($AT349,$AA349:AK349)-SUM($AV$5:BG$5)*$J349-SUM($AV$6:BG$6)*$K349</f>
        <v>-3200</v>
      </c>
      <c r="BH349" s="1">
        <f>SUM($AT349,$AA349:AL349)-SUM($AV$5:BH$5)*$J349-SUM($AV$6:BH$6)*$K349</f>
        <v>-3600</v>
      </c>
      <c r="BI349" s="1">
        <f>SUM($AT349,$AA349:AM349)-SUM($AV$5:BI$5)*$J349-SUM($AV$6:BI$6)*$K349</f>
        <v>-4000</v>
      </c>
      <c r="BJ349" s="1">
        <f>SUM($AT349,$AA349:AN349)-SUM($AV$5:BJ$5)*$J349-SUM($AV$6:BJ$6)*$K349</f>
        <v>-4400</v>
      </c>
      <c r="BK349" s="1">
        <f>SUM($AT349,$AA349:AO349)-SUM($AV$5:BK$5)*$J349-SUM($AV$6:BK$6)*$K349</f>
        <v>-4800</v>
      </c>
      <c r="BL349" s="1">
        <f>SUM($AT349,$AA349:AP349)-SUM($AV$5:BL$5)*$J349-SUM($AV$6:BL$6)*$K349</f>
        <v>-5200</v>
      </c>
      <c r="BM349" s="1">
        <f>SUM($AT349,$AA349:AQ349)-SUM($AV$5:BM$5)*$J349-SUM($AV$6:BM$6)*$K349</f>
        <v>-5600</v>
      </c>
      <c r="BN349" s="1">
        <f>SUM($AT349,$AA349:AR349)-SUM($AV$5:BN$5)*$J349-SUM($AV$6:BN$6)*$K349</f>
        <v>-5820</v>
      </c>
    </row>
    <row r="350" spans="1:66">
      <c r="A350" s="1">
        <v>422</v>
      </c>
      <c r="B350" s="28" t="s">
        <v>1067</v>
      </c>
      <c r="C350" s="1" t="s">
        <v>40</v>
      </c>
      <c r="D350" s="2">
        <v>400341043</v>
      </c>
      <c r="E350" s="3" t="s">
        <v>1068</v>
      </c>
      <c r="F350" s="1">
        <v>400346124</v>
      </c>
      <c r="G350" s="1" t="s">
        <v>42</v>
      </c>
      <c r="H350" s="1">
        <v>2</v>
      </c>
      <c r="I350" s="1">
        <v>6</v>
      </c>
      <c r="J350" s="1">
        <v>6</v>
      </c>
      <c r="K350" s="1">
        <v>0</v>
      </c>
      <c r="L350" s="1">
        <v>0</v>
      </c>
      <c r="M350" s="1">
        <f t="shared" si="12"/>
        <v>3492</v>
      </c>
      <c r="N350" s="1">
        <f t="shared" si="13"/>
        <v>3492</v>
      </c>
      <c r="O350" s="2" t="s">
        <v>401</v>
      </c>
      <c r="P350" s="1"/>
      <c r="Q350" s="1">
        <v>1.56</v>
      </c>
      <c r="R350" s="1" t="s">
        <v>44</v>
      </c>
      <c r="S350" s="30" t="s">
        <v>264</v>
      </c>
      <c r="T350" s="31" t="s">
        <v>402</v>
      </c>
      <c r="U350" s="1"/>
      <c r="V350" s="1">
        <v>500</v>
      </c>
      <c r="W350" s="1" t="s">
        <v>403</v>
      </c>
      <c r="X350" s="32" t="s">
        <v>404</v>
      </c>
      <c r="Y350" s="1" t="s">
        <v>405</v>
      </c>
      <c r="Z350" s="2" t="s">
        <v>401</v>
      </c>
      <c r="AA350" s="1"/>
      <c r="AB350" s="1"/>
      <c r="AC350" s="1"/>
      <c r="AD350" s="1"/>
      <c r="AE350" s="1"/>
      <c r="AF350" s="1"/>
      <c r="AG350" s="1"/>
      <c r="AH350" s="1"/>
      <c r="AI350" s="1"/>
      <c r="AJ350" s="1"/>
      <c r="AK350" s="1"/>
      <c r="AL350" s="1"/>
      <c r="AM350" s="1"/>
      <c r="AN350" s="1"/>
      <c r="AO350" s="1"/>
      <c r="AP350" s="1"/>
      <c r="AQ350" s="1"/>
      <c r="AR350" s="1"/>
      <c r="AS350" s="1"/>
      <c r="AT350" s="1"/>
      <c r="AU350" s="1"/>
      <c r="AV350" s="1">
        <f>SUM($AT350,Z350:$AA350)-SUM($AV$5:AV$5)*$J350-SUM($AV$6:AV$6)*$K350</f>
        <v>0</v>
      </c>
      <c r="AW350" s="1">
        <f>SUM($AT350,$AA350:AA350)-SUM($AV$5:AW$5)*$J350-SUM($AV$6:AW$6)*$K350</f>
        <v>0</v>
      </c>
      <c r="AX350" s="1">
        <f>SUM($AT350,$AA350:AB350)-SUM($AV$5:AX$5)*$J350-SUM($AV$6:AX$6)*$K350</f>
        <v>0</v>
      </c>
      <c r="AY350" s="1">
        <f>SUM($AT350,$AA350:AC350)-SUM($AV$5:AY$5)*$J350-SUM($AV$6:AY$6)*$K350</f>
        <v>0</v>
      </c>
      <c r="AZ350" s="1">
        <f>SUM($AT350,$AA350:AD350)-SUM($AV$5:AZ$5)*$J350-SUM($AV$6:AZ$6)*$K350</f>
        <v>-240</v>
      </c>
      <c r="BA350" s="1">
        <f>SUM($AT350,$AA350:AE350)-SUM($AV$5:BA$5)*$J350-SUM($AV$6:BA$6)*$K350</f>
        <v>-480</v>
      </c>
      <c r="BB350" s="1">
        <f>SUM($AT350,$AA350:AF350)-SUM($AV$5:BB$5)*$J350-SUM($AV$6:BB$6)*$K350</f>
        <v>-720</v>
      </c>
      <c r="BC350" s="1">
        <f>SUM($AT350,$AA350:AG350)-SUM($AV$5:BC$5)*$J350-SUM($AV$6:BC$6)*$K350</f>
        <v>-960</v>
      </c>
      <c r="BD350" s="1">
        <f>SUM($AT350,$AA350:AH350)-SUM($AV$5:BD$5)*$J350-SUM($AV$6:BD$6)*$K350</f>
        <v>-1200</v>
      </c>
      <c r="BE350" s="1">
        <f>SUM($AT350,$AA350:AI350)-SUM($AV$5:BE$5)*$J350-SUM($AV$6:BE$6)*$K350</f>
        <v>-1440</v>
      </c>
      <c r="BF350" s="1">
        <f>SUM($AT350,$AA350:AJ350)-SUM($AV$5:BF$5)*$J350-SUM($AV$6:BF$6)*$K350</f>
        <v>-1680</v>
      </c>
      <c r="BG350" s="1">
        <f>SUM($AT350,$AA350:AK350)-SUM($AV$5:BG$5)*$J350-SUM($AV$6:BG$6)*$K350</f>
        <v>-1920</v>
      </c>
      <c r="BH350" s="1">
        <f>SUM($AT350,$AA350:AL350)-SUM($AV$5:BH$5)*$J350-SUM($AV$6:BH$6)*$K350</f>
        <v>-2160</v>
      </c>
      <c r="BI350" s="1">
        <f>SUM($AT350,$AA350:AM350)-SUM($AV$5:BI$5)*$J350-SUM($AV$6:BI$6)*$K350</f>
        <v>-2400</v>
      </c>
      <c r="BJ350" s="1">
        <f>SUM($AT350,$AA350:AN350)-SUM($AV$5:BJ$5)*$J350-SUM($AV$6:BJ$6)*$K350</f>
        <v>-2640</v>
      </c>
      <c r="BK350" s="1">
        <f>SUM($AT350,$AA350:AO350)-SUM($AV$5:BK$5)*$J350-SUM($AV$6:BK$6)*$K350</f>
        <v>-2880</v>
      </c>
      <c r="BL350" s="1">
        <f>SUM($AT350,$AA350:AP350)-SUM($AV$5:BL$5)*$J350-SUM($AV$6:BL$6)*$K350</f>
        <v>-3120</v>
      </c>
      <c r="BM350" s="1">
        <f>SUM($AT350,$AA350:AQ350)-SUM($AV$5:BM$5)*$J350-SUM($AV$6:BM$6)*$K350</f>
        <v>-3360</v>
      </c>
      <c r="BN350" s="1">
        <f>SUM($AT350,$AA350:AR350)-SUM($AV$5:BN$5)*$J350-SUM($AV$6:BN$6)*$K350</f>
        <v>-3492</v>
      </c>
    </row>
    <row r="351" spans="1:66">
      <c r="A351" s="1">
        <v>423</v>
      </c>
      <c r="B351" s="28" t="s">
        <v>1069</v>
      </c>
      <c r="C351" s="1" t="s">
        <v>40</v>
      </c>
      <c r="D351" s="2">
        <v>400073673</v>
      </c>
      <c r="E351" s="3" t="s">
        <v>1070</v>
      </c>
      <c r="F351" s="1">
        <v>400341457</v>
      </c>
      <c r="G351" s="1" t="s">
        <v>42</v>
      </c>
      <c r="H351" s="1">
        <v>2</v>
      </c>
      <c r="I351" s="1">
        <v>5</v>
      </c>
      <c r="J351" s="1">
        <v>5</v>
      </c>
      <c r="K351" s="1">
        <v>0</v>
      </c>
      <c r="L351" s="1">
        <v>0</v>
      </c>
      <c r="M351" s="1">
        <f t="shared" ref="M351:M414" si="14">SUMPRODUCT(J351:L351,$J$2:$L$2)</f>
        <v>2910</v>
      </c>
      <c r="N351" s="1">
        <f t="shared" ref="N351:N414" si="15">SUMPRODUCT(J351:L351,$J$2:$L$2)</f>
        <v>2910</v>
      </c>
      <c r="O351" s="2" t="s">
        <v>401</v>
      </c>
      <c r="P351" s="1"/>
      <c r="Q351" s="1">
        <v>1.25</v>
      </c>
      <c r="R351" s="1" t="s">
        <v>44</v>
      </c>
      <c r="S351" s="30" t="s">
        <v>458</v>
      </c>
      <c r="T351" s="31" t="s">
        <v>402</v>
      </c>
      <c r="U351" s="1"/>
      <c r="V351" s="1">
        <v>500</v>
      </c>
      <c r="W351" s="1" t="s">
        <v>403</v>
      </c>
      <c r="X351" s="32" t="s">
        <v>404</v>
      </c>
      <c r="Y351" s="1" t="s">
        <v>405</v>
      </c>
      <c r="Z351" s="2" t="s">
        <v>401</v>
      </c>
      <c r="AA351" s="1"/>
      <c r="AB351" s="1"/>
      <c r="AC351" s="1"/>
      <c r="AD351" s="1"/>
      <c r="AE351" s="1"/>
      <c r="AF351" s="1"/>
      <c r="AG351" s="1"/>
      <c r="AH351" s="1"/>
      <c r="AI351" s="1"/>
      <c r="AJ351" s="1"/>
      <c r="AK351" s="1"/>
      <c r="AL351" s="1"/>
      <c r="AM351" s="1"/>
      <c r="AN351" s="1"/>
      <c r="AO351" s="1"/>
      <c r="AP351" s="1"/>
      <c r="AQ351" s="1"/>
      <c r="AR351" s="1"/>
      <c r="AS351" s="1"/>
      <c r="AT351" s="1"/>
      <c r="AU351" s="1"/>
      <c r="AV351" s="1">
        <f>SUM($AT351,Z351:$AA351)-SUM($AV$5:AV$5)*$J351-SUM($AV$6:AV$6)*$K351</f>
        <v>0</v>
      </c>
      <c r="AW351" s="1">
        <f>SUM($AT351,$AA351:AA351)-SUM($AV$5:AW$5)*$J351-SUM($AV$6:AW$6)*$K351</f>
        <v>0</v>
      </c>
      <c r="AX351" s="1">
        <f>SUM($AT351,$AA351:AB351)-SUM($AV$5:AX$5)*$J351-SUM($AV$6:AX$6)*$K351</f>
        <v>0</v>
      </c>
      <c r="AY351" s="1">
        <f>SUM($AT351,$AA351:AC351)-SUM($AV$5:AY$5)*$J351-SUM($AV$6:AY$6)*$K351</f>
        <v>0</v>
      </c>
      <c r="AZ351" s="1">
        <f>SUM($AT351,$AA351:AD351)-SUM($AV$5:AZ$5)*$J351-SUM($AV$6:AZ$6)*$K351</f>
        <v>-200</v>
      </c>
      <c r="BA351" s="1">
        <f>SUM($AT351,$AA351:AE351)-SUM($AV$5:BA$5)*$J351-SUM($AV$6:BA$6)*$K351</f>
        <v>-400</v>
      </c>
      <c r="BB351" s="1">
        <f>SUM($AT351,$AA351:AF351)-SUM($AV$5:BB$5)*$J351-SUM($AV$6:BB$6)*$K351</f>
        <v>-600</v>
      </c>
      <c r="BC351" s="1">
        <f>SUM($AT351,$AA351:AG351)-SUM($AV$5:BC$5)*$J351-SUM($AV$6:BC$6)*$K351</f>
        <v>-800</v>
      </c>
      <c r="BD351" s="1">
        <f>SUM($AT351,$AA351:AH351)-SUM($AV$5:BD$5)*$J351-SUM($AV$6:BD$6)*$K351</f>
        <v>-1000</v>
      </c>
      <c r="BE351" s="1">
        <f>SUM($AT351,$AA351:AI351)-SUM($AV$5:BE$5)*$J351-SUM($AV$6:BE$6)*$K351</f>
        <v>-1200</v>
      </c>
      <c r="BF351" s="1">
        <f>SUM($AT351,$AA351:AJ351)-SUM($AV$5:BF$5)*$J351-SUM($AV$6:BF$6)*$K351</f>
        <v>-1400</v>
      </c>
      <c r="BG351" s="1">
        <f>SUM($AT351,$AA351:AK351)-SUM($AV$5:BG$5)*$J351-SUM($AV$6:BG$6)*$K351</f>
        <v>-1600</v>
      </c>
      <c r="BH351" s="1">
        <f>SUM($AT351,$AA351:AL351)-SUM($AV$5:BH$5)*$J351-SUM($AV$6:BH$6)*$K351</f>
        <v>-1800</v>
      </c>
      <c r="BI351" s="1">
        <f>SUM($AT351,$AA351:AM351)-SUM($AV$5:BI$5)*$J351-SUM($AV$6:BI$6)*$K351</f>
        <v>-2000</v>
      </c>
      <c r="BJ351" s="1">
        <f>SUM($AT351,$AA351:AN351)-SUM($AV$5:BJ$5)*$J351-SUM($AV$6:BJ$6)*$K351</f>
        <v>-2200</v>
      </c>
      <c r="BK351" s="1">
        <f>SUM($AT351,$AA351:AO351)-SUM($AV$5:BK$5)*$J351-SUM($AV$6:BK$6)*$K351</f>
        <v>-2400</v>
      </c>
      <c r="BL351" s="1">
        <f>SUM($AT351,$AA351:AP351)-SUM($AV$5:BL$5)*$J351-SUM($AV$6:BL$6)*$K351</f>
        <v>-2600</v>
      </c>
      <c r="BM351" s="1">
        <f>SUM($AT351,$AA351:AQ351)-SUM($AV$5:BM$5)*$J351-SUM($AV$6:BM$6)*$K351</f>
        <v>-2800</v>
      </c>
      <c r="BN351" s="1">
        <f>SUM($AT351,$AA351:AR351)-SUM($AV$5:BN$5)*$J351-SUM($AV$6:BN$6)*$K351</f>
        <v>-2910</v>
      </c>
    </row>
    <row r="352" spans="1:66">
      <c r="A352" s="1">
        <v>424</v>
      </c>
      <c r="B352" s="28" t="s">
        <v>1071</v>
      </c>
      <c r="C352" s="1" t="s">
        <v>40</v>
      </c>
      <c r="D352" s="2">
        <v>420905006</v>
      </c>
      <c r="E352" s="3" t="s">
        <v>1072</v>
      </c>
      <c r="F352" s="1"/>
      <c r="G352" s="1" t="s">
        <v>42</v>
      </c>
      <c r="H352" s="1">
        <v>2</v>
      </c>
      <c r="I352" s="1">
        <v>16</v>
      </c>
      <c r="J352" s="1">
        <v>16</v>
      </c>
      <c r="K352" s="1">
        <v>0</v>
      </c>
      <c r="L352" s="1">
        <v>0</v>
      </c>
      <c r="M352" s="1">
        <f t="shared" si="14"/>
        <v>9312</v>
      </c>
      <c r="N352" s="1">
        <f t="shared" si="15"/>
        <v>9312</v>
      </c>
      <c r="O352" s="2" t="s">
        <v>1073</v>
      </c>
      <c r="P352" s="1"/>
      <c r="Q352" s="1">
        <v>11.5</v>
      </c>
      <c r="R352" s="1" t="s">
        <v>44</v>
      </c>
      <c r="S352" s="30" t="s">
        <v>961</v>
      </c>
      <c r="T352" s="31" t="s">
        <v>402</v>
      </c>
      <c r="U352" s="1"/>
      <c r="V352" s="1">
        <v>250</v>
      </c>
      <c r="W352" s="1" t="s">
        <v>403</v>
      </c>
      <c r="X352" s="32" t="s">
        <v>404</v>
      </c>
      <c r="Y352" s="1" t="s">
        <v>405</v>
      </c>
      <c r="Z352" s="2" t="s">
        <v>1073</v>
      </c>
      <c r="AA352" s="1"/>
      <c r="AB352" s="1"/>
      <c r="AC352" s="1"/>
      <c r="AD352" s="1"/>
      <c r="AE352" s="1"/>
      <c r="AF352" s="1"/>
      <c r="AG352" s="1"/>
      <c r="AH352" s="1"/>
      <c r="AI352" s="1"/>
      <c r="AJ352" s="1"/>
      <c r="AK352" s="1"/>
      <c r="AL352" s="1"/>
      <c r="AM352" s="1"/>
      <c r="AN352" s="1"/>
      <c r="AO352" s="1"/>
      <c r="AP352" s="1"/>
      <c r="AQ352" s="1"/>
      <c r="AR352" s="1"/>
      <c r="AS352" s="1"/>
      <c r="AT352" s="1"/>
      <c r="AU352" s="1"/>
      <c r="AV352" s="1">
        <f>SUM($AT352,Z352:$AA352)-SUM($AV$5:AV$5)*$J352-SUM($AV$6:AV$6)*$K352</f>
        <v>0</v>
      </c>
      <c r="AW352" s="1">
        <f>SUM($AT352,$AA352:AA352)-SUM($AV$5:AW$5)*$J352-SUM($AV$6:AW$6)*$K352</f>
        <v>0</v>
      </c>
      <c r="AX352" s="1">
        <f>SUM($AT352,$AA352:AB352)-SUM($AV$5:AX$5)*$J352-SUM($AV$6:AX$6)*$K352</f>
        <v>0</v>
      </c>
      <c r="AY352" s="1">
        <f>SUM($AT352,$AA352:AC352)-SUM($AV$5:AY$5)*$J352-SUM($AV$6:AY$6)*$K352</f>
        <v>0</v>
      </c>
      <c r="AZ352" s="1">
        <f>SUM($AT352,$AA352:AD352)-SUM($AV$5:AZ$5)*$J352-SUM($AV$6:AZ$6)*$K352</f>
        <v>-640</v>
      </c>
      <c r="BA352" s="1">
        <f>SUM($AT352,$AA352:AE352)-SUM($AV$5:BA$5)*$J352-SUM($AV$6:BA$6)*$K352</f>
        <v>-1280</v>
      </c>
      <c r="BB352" s="1">
        <f>SUM($AT352,$AA352:AF352)-SUM($AV$5:BB$5)*$J352-SUM($AV$6:BB$6)*$K352</f>
        <v>-1920</v>
      </c>
      <c r="BC352" s="1">
        <f>SUM($AT352,$AA352:AG352)-SUM($AV$5:BC$5)*$J352-SUM($AV$6:BC$6)*$K352</f>
        <v>-2560</v>
      </c>
      <c r="BD352" s="1">
        <f>SUM($AT352,$AA352:AH352)-SUM($AV$5:BD$5)*$J352-SUM($AV$6:BD$6)*$K352</f>
        <v>-3200</v>
      </c>
      <c r="BE352" s="1">
        <f>SUM($AT352,$AA352:AI352)-SUM($AV$5:BE$5)*$J352-SUM($AV$6:BE$6)*$K352</f>
        <v>-3840</v>
      </c>
      <c r="BF352" s="1">
        <f>SUM($AT352,$AA352:AJ352)-SUM($AV$5:BF$5)*$J352-SUM($AV$6:BF$6)*$K352</f>
        <v>-4480</v>
      </c>
      <c r="BG352" s="1">
        <f>SUM($AT352,$AA352:AK352)-SUM($AV$5:BG$5)*$J352-SUM($AV$6:BG$6)*$K352</f>
        <v>-5120</v>
      </c>
      <c r="BH352" s="1">
        <f>SUM($AT352,$AA352:AL352)-SUM($AV$5:BH$5)*$J352-SUM($AV$6:BH$6)*$K352</f>
        <v>-5760</v>
      </c>
      <c r="BI352" s="1">
        <f>SUM($AT352,$AA352:AM352)-SUM($AV$5:BI$5)*$J352-SUM($AV$6:BI$6)*$K352</f>
        <v>-6400</v>
      </c>
      <c r="BJ352" s="1">
        <f>SUM($AT352,$AA352:AN352)-SUM($AV$5:BJ$5)*$J352-SUM($AV$6:BJ$6)*$K352</f>
        <v>-7040</v>
      </c>
      <c r="BK352" s="1">
        <f>SUM($AT352,$AA352:AO352)-SUM($AV$5:BK$5)*$J352-SUM($AV$6:BK$6)*$K352</f>
        <v>-7680</v>
      </c>
      <c r="BL352" s="1">
        <f>SUM($AT352,$AA352:AP352)-SUM($AV$5:BL$5)*$J352-SUM($AV$6:BL$6)*$K352</f>
        <v>-8320</v>
      </c>
      <c r="BM352" s="1">
        <f>SUM($AT352,$AA352:AQ352)-SUM($AV$5:BM$5)*$J352-SUM($AV$6:BM$6)*$K352</f>
        <v>-8960</v>
      </c>
      <c r="BN352" s="1">
        <f>SUM($AT352,$AA352:AR352)-SUM($AV$5:BN$5)*$J352-SUM($AV$6:BN$6)*$K352</f>
        <v>-9312</v>
      </c>
    </row>
    <row r="353" spans="1:66">
      <c r="A353" s="1">
        <v>425</v>
      </c>
      <c r="B353" s="28" t="s">
        <v>1074</v>
      </c>
      <c r="C353" s="1" t="s">
        <v>40</v>
      </c>
      <c r="D353" s="2">
        <v>417531785</v>
      </c>
      <c r="E353" s="3" t="s">
        <v>1075</v>
      </c>
      <c r="F353" s="1">
        <v>411160889</v>
      </c>
      <c r="G353" s="1" t="s">
        <v>42</v>
      </c>
      <c r="H353" s="1">
        <v>2</v>
      </c>
      <c r="I353" s="1">
        <v>46</v>
      </c>
      <c r="J353" s="1">
        <v>46</v>
      </c>
      <c r="K353" s="1">
        <v>0</v>
      </c>
      <c r="L353" s="1">
        <v>0</v>
      </c>
      <c r="M353" s="1">
        <f t="shared" si="14"/>
        <v>26772</v>
      </c>
      <c r="N353" s="1">
        <f t="shared" si="15"/>
        <v>26772</v>
      </c>
      <c r="O353" s="2" t="s">
        <v>253</v>
      </c>
      <c r="P353" s="1"/>
      <c r="Q353" s="1">
        <v>0.19</v>
      </c>
      <c r="R353" s="1" t="s">
        <v>44</v>
      </c>
      <c r="S353" s="30" t="s">
        <v>423</v>
      </c>
      <c r="T353" s="31" t="s">
        <v>238</v>
      </c>
      <c r="U353" s="1"/>
      <c r="V353" s="1">
        <v>500</v>
      </c>
      <c r="W353" s="1" t="s">
        <v>239</v>
      </c>
      <c r="X353" s="32" t="s">
        <v>240</v>
      </c>
      <c r="Y353" s="1" t="s">
        <v>241</v>
      </c>
      <c r="Z353" s="2" t="s">
        <v>242</v>
      </c>
      <c r="AA353" s="1"/>
      <c r="AB353" s="1"/>
      <c r="AC353" s="1"/>
      <c r="AD353" s="1"/>
      <c r="AE353" s="1"/>
      <c r="AF353" s="1"/>
      <c r="AG353" s="1"/>
      <c r="AH353" s="1"/>
      <c r="AI353" s="1"/>
      <c r="AJ353" s="1"/>
      <c r="AK353" s="1"/>
      <c r="AL353" s="1"/>
      <c r="AM353" s="1"/>
      <c r="AN353" s="1"/>
      <c r="AO353" s="1"/>
      <c r="AP353" s="1"/>
      <c r="AQ353" s="1"/>
      <c r="AR353" s="1"/>
      <c r="AS353" s="1"/>
      <c r="AT353" s="1"/>
      <c r="AU353" s="1"/>
      <c r="AV353" s="1">
        <f>SUM($AT353,Z353:$AA353)-SUM($AV$5:AV$5)*$J353-SUM($AV$6:AV$6)*$K353</f>
        <v>0</v>
      </c>
      <c r="AW353" s="1">
        <f>SUM($AT353,$AA353:AA353)-SUM($AV$5:AW$5)*$J353-SUM($AV$6:AW$6)*$K353</f>
        <v>0</v>
      </c>
      <c r="AX353" s="1">
        <f>SUM($AT353,$AA353:AB353)-SUM($AV$5:AX$5)*$J353-SUM($AV$6:AX$6)*$K353</f>
        <v>0</v>
      </c>
      <c r="AY353" s="1">
        <f>SUM($AT353,$AA353:AC353)-SUM($AV$5:AY$5)*$J353-SUM($AV$6:AY$6)*$K353</f>
        <v>0</v>
      </c>
      <c r="AZ353" s="1">
        <f>SUM($AT353,$AA353:AD353)-SUM($AV$5:AZ$5)*$J353-SUM($AV$6:AZ$6)*$K353</f>
        <v>-1840</v>
      </c>
      <c r="BA353" s="1">
        <f>SUM($AT353,$AA353:AE353)-SUM($AV$5:BA$5)*$J353-SUM($AV$6:BA$6)*$K353</f>
        <v>-3680</v>
      </c>
      <c r="BB353" s="1">
        <f>SUM($AT353,$AA353:AF353)-SUM($AV$5:BB$5)*$J353-SUM($AV$6:BB$6)*$K353</f>
        <v>-5520</v>
      </c>
      <c r="BC353" s="1">
        <f>SUM($AT353,$AA353:AG353)-SUM($AV$5:BC$5)*$J353-SUM($AV$6:BC$6)*$K353</f>
        <v>-7360</v>
      </c>
      <c r="BD353" s="1">
        <f>SUM($AT353,$AA353:AH353)-SUM($AV$5:BD$5)*$J353-SUM($AV$6:BD$6)*$K353</f>
        <v>-9200</v>
      </c>
      <c r="BE353" s="1">
        <f>SUM($AT353,$AA353:AI353)-SUM($AV$5:BE$5)*$J353-SUM($AV$6:BE$6)*$K353</f>
        <v>-11040</v>
      </c>
      <c r="BF353" s="1">
        <f>SUM($AT353,$AA353:AJ353)-SUM($AV$5:BF$5)*$J353-SUM($AV$6:BF$6)*$K353</f>
        <v>-12880</v>
      </c>
      <c r="BG353" s="1">
        <f>SUM($AT353,$AA353:AK353)-SUM($AV$5:BG$5)*$J353-SUM($AV$6:BG$6)*$K353</f>
        <v>-14720</v>
      </c>
      <c r="BH353" s="1">
        <f>SUM($AT353,$AA353:AL353)-SUM($AV$5:BH$5)*$J353-SUM($AV$6:BH$6)*$K353</f>
        <v>-16560</v>
      </c>
      <c r="BI353" s="1">
        <f>SUM($AT353,$AA353:AM353)-SUM($AV$5:BI$5)*$J353-SUM($AV$6:BI$6)*$K353</f>
        <v>-18400</v>
      </c>
      <c r="BJ353" s="1">
        <f>SUM($AT353,$AA353:AN353)-SUM($AV$5:BJ$5)*$J353-SUM($AV$6:BJ$6)*$K353</f>
        <v>-20240</v>
      </c>
      <c r="BK353" s="1">
        <f>SUM($AT353,$AA353:AO353)-SUM($AV$5:BK$5)*$J353-SUM($AV$6:BK$6)*$K353</f>
        <v>-22080</v>
      </c>
      <c r="BL353" s="1">
        <f>SUM($AT353,$AA353:AP353)-SUM($AV$5:BL$5)*$J353-SUM($AV$6:BL$6)*$K353</f>
        <v>-23920</v>
      </c>
      <c r="BM353" s="1">
        <f>SUM($AT353,$AA353:AQ353)-SUM($AV$5:BM$5)*$J353-SUM($AV$6:BM$6)*$K353</f>
        <v>-25760</v>
      </c>
      <c r="BN353" s="1">
        <f>SUM($AT353,$AA353:AR353)-SUM($AV$5:BN$5)*$J353-SUM($AV$6:BN$6)*$K353</f>
        <v>-26772</v>
      </c>
    </row>
    <row r="354" spans="1:66">
      <c r="A354" s="1">
        <v>365</v>
      </c>
      <c r="B354" s="28" t="s">
        <v>1076</v>
      </c>
      <c r="C354" s="1" t="s">
        <v>40</v>
      </c>
      <c r="D354" s="2">
        <v>514201177</v>
      </c>
      <c r="E354" s="3" t="s">
        <v>1077</v>
      </c>
      <c r="F354" s="1"/>
      <c r="G354" s="1" t="s">
        <v>42</v>
      </c>
      <c r="H354" s="1">
        <v>2</v>
      </c>
      <c r="I354" s="1">
        <v>22</v>
      </c>
      <c r="J354" s="1">
        <v>4</v>
      </c>
      <c r="K354" s="1">
        <v>14</v>
      </c>
      <c r="L354" s="1">
        <v>4</v>
      </c>
      <c r="M354" s="1">
        <f t="shared" si="14"/>
        <v>7296</v>
      </c>
      <c r="N354" s="1">
        <f t="shared" si="15"/>
        <v>7296</v>
      </c>
      <c r="O354" s="2" t="s">
        <v>1049</v>
      </c>
      <c r="P354" s="1"/>
      <c r="Q354" s="1">
        <v>1.9E-2</v>
      </c>
      <c r="R354" s="1" t="s">
        <v>44</v>
      </c>
      <c r="S354" s="30" t="s">
        <v>8</v>
      </c>
      <c r="T354" s="12" t="s">
        <v>493</v>
      </c>
      <c r="U354" s="1">
        <v>1</v>
      </c>
      <c r="V354" s="1">
        <v>1</v>
      </c>
      <c r="W354" s="1" t="s">
        <v>494</v>
      </c>
      <c r="X354" s="33" t="s">
        <v>495</v>
      </c>
      <c r="Y354" s="1" t="s">
        <v>496</v>
      </c>
      <c r="Z354" s="2" t="s">
        <v>1049</v>
      </c>
      <c r="AA354" s="1"/>
      <c r="AB354" s="1"/>
      <c r="AC354" s="1"/>
      <c r="AD354" s="1"/>
      <c r="AE354" s="1"/>
      <c r="AF354" s="1"/>
      <c r="AG354" s="1"/>
      <c r="AH354" s="1"/>
      <c r="AI354" s="1"/>
      <c r="AJ354" s="1"/>
      <c r="AK354" s="1"/>
      <c r="AL354" s="1"/>
      <c r="AM354" s="1"/>
      <c r="AN354" s="1"/>
      <c r="AO354" s="1"/>
      <c r="AP354" s="1"/>
      <c r="AQ354" s="1"/>
      <c r="AR354" s="1"/>
      <c r="AS354" s="1"/>
      <c r="AT354" s="1"/>
      <c r="AU354" s="1"/>
      <c r="AV354" s="1">
        <f>SUM($AT354,Z354:$AA354)-SUM($AV$5:AV$5)*$J354-SUM($AV$6:AV$6)*$K354</f>
        <v>0</v>
      </c>
      <c r="AW354" s="1">
        <f>SUM($AT354,$AA354:AA354)-SUM($AV$5:AW$5)*$J354-SUM($AV$6:AW$6)*$K354</f>
        <v>0</v>
      </c>
      <c r="AX354" s="1">
        <f>SUM($AT354,$AA354:AB354)-SUM($AV$5:AX$5)*$J354-SUM($AV$6:AX$6)*$K354</f>
        <v>0</v>
      </c>
      <c r="AY354" s="1">
        <f>SUM($AT354,$AA354:AC354)-SUM($AV$5:AY$5)*$J354-SUM($AV$6:AY$6)*$K354</f>
        <v>0</v>
      </c>
      <c r="AZ354" s="1">
        <f>SUM($AT354,$AA354:AD354)-SUM($AV$5:AZ$5)*$J354-SUM($AV$6:AZ$6)*$K354</f>
        <v>-300</v>
      </c>
      <c r="BA354" s="1">
        <f>SUM($AT354,$AA354:AE354)-SUM($AV$5:BA$5)*$J354-SUM($AV$6:BA$6)*$K354</f>
        <v>-740</v>
      </c>
      <c r="BB354" s="1">
        <f>SUM($AT354,$AA354:AF354)-SUM($AV$5:BB$5)*$J354-SUM($AV$6:BB$6)*$K354</f>
        <v>-2160</v>
      </c>
      <c r="BC354" s="1">
        <f>SUM($AT354,$AA354:AG354)-SUM($AV$5:BC$5)*$J354-SUM($AV$6:BC$6)*$K354</f>
        <v>-3580</v>
      </c>
      <c r="BD354" s="1">
        <f>SUM($AT354,$AA354:AH354)-SUM($AV$5:BD$5)*$J354-SUM($AV$6:BD$6)*$K354</f>
        <v>-4664</v>
      </c>
      <c r="BE354" s="1">
        <f>SUM($AT354,$AA354:AI354)-SUM($AV$5:BE$5)*$J354-SUM($AV$6:BE$6)*$K354</f>
        <v>-4824</v>
      </c>
      <c r="BF354" s="1">
        <f>SUM($AT354,$AA354:AJ354)-SUM($AV$5:BF$5)*$J354-SUM($AV$6:BF$6)*$K354</f>
        <v>-4984</v>
      </c>
      <c r="BG354" s="1">
        <f>SUM($AT354,$AA354:AK354)-SUM($AV$5:BG$5)*$J354-SUM($AV$6:BG$6)*$K354</f>
        <v>-5144</v>
      </c>
      <c r="BH354" s="1">
        <f>SUM($AT354,$AA354:AL354)-SUM($AV$5:BH$5)*$J354-SUM($AV$6:BH$6)*$K354</f>
        <v>-5304</v>
      </c>
      <c r="BI354" s="1">
        <f>SUM($AT354,$AA354:AM354)-SUM($AV$5:BI$5)*$J354-SUM($AV$6:BI$6)*$K354</f>
        <v>-5464</v>
      </c>
      <c r="BJ354" s="1">
        <f>SUM($AT354,$AA354:AN354)-SUM($AV$5:BJ$5)*$J354-SUM($AV$6:BJ$6)*$K354</f>
        <v>-5624</v>
      </c>
      <c r="BK354" s="1">
        <f>SUM($AT354,$AA354:AO354)-SUM($AV$5:BK$5)*$J354-SUM($AV$6:BK$6)*$K354</f>
        <v>-5784</v>
      </c>
      <c r="BL354" s="1">
        <f>SUM($AT354,$AA354:AP354)-SUM($AV$5:BL$5)*$J354-SUM($AV$6:BL$6)*$K354</f>
        <v>-5944</v>
      </c>
      <c r="BM354" s="1">
        <f>SUM($AT354,$AA354:AQ354)-SUM($AV$5:BM$5)*$J354-SUM($AV$6:BM$6)*$K354</f>
        <v>-6104</v>
      </c>
      <c r="BN354" s="1">
        <f>SUM($AT354,$AA354:AR354)-SUM($AV$5:BN$5)*$J354-SUM($AV$6:BN$6)*$K354</f>
        <v>-6192</v>
      </c>
    </row>
    <row r="355" spans="1:66">
      <c r="A355" s="1">
        <v>366</v>
      </c>
      <c r="B355" s="28" t="s">
        <v>1078</v>
      </c>
      <c r="C355" s="1" t="s">
        <v>40</v>
      </c>
      <c r="D355" s="2">
        <v>514200799</v>
      </c>
      <c r="E355" s="3" t="s">
        <v>1079</v>
      </c>
      <c r="F355" s="1"/>
      <c r="G355" s="1" t="s">
        <v>42</v>
      </c>
      <c r="H355" s="1">
        <v>2</v>
      </c>
      <c r="I355" s="1">
        <v>34</v>
      </c>
      <c r="J355" s="1">
        <v>2</v>
      </c>
      <c r="K355" s="1">
        <v>32</v>
      </c>
      <c r="L355" s="1">
        <v>0</v>
      </c>
      <c r="M355" s="1">
        <f t="shared" si="14"/>
        <v>9996</v>
      </c>
      <c r="N355" s="1">
        <f t="shared" si="15"/>
        <v>9996</v>
      </c>
      <c r="O355" s="2" t="s">
        <v>1049</v>
      </c>
      <c r="P355" s="1"/>
      <c r="Q355" s="31">
        <v>1.7999999999999999E-2</v>
      </c>
      <c r="R355" s="1" t="s">
        <v>44</v>
      </c>
      <c r="S355" s="30" t="s">
        <v>8</v>
      </c>
      <c r="T355" s="31" t="e">
        <f>#REF!</f>
        <v>#REF!</v>
      </c>
      <c r="U355" s="1">
        <v>1</v>
      </c>
      <c r="V355" s="1">
        <v>1</v>
      </c>
      <c r="W355" s="1" t="s">
        <v>494</v>
      </c>
      <c r="X355" s="33" t="s">
        <v>495</v>
      </c>
      <c r="Y355" s="1" t="s">
        <v>496</v>
      </c>
      <c r="Z355" s="2" t="s">
        <v>1049</v>
      </c>
      <c r="AA355" s="1"/>
      <c r="AB355" s="1"/>
      <c r="AC355" s="1"/>
      <c r="AD355" s="1"/>
      <c r="AE355" s="1"/>
      <c r="AF355" s="1"/>
      <c r="AG355" s="1"/>
      <c r="AH355" s="1"/>
      <c r="AI355" s="1"/>
      <c r="AJ355" s="1"/>
      <c r="AK355" s="1"/>
      <c r="AL355" s="1"/>
      <c r="AM355" s="1"/>
      <c r="AN355" s="1"/>
      <c r="AO355" s="1"/>
      <c r="AP355" s="1"/>
      <c r="AQ355" s="1"/>
      <c r="AR355" s="1"/>
      <c r="AS355" s="1"/>
      <c r="AT355" s="1"/>
      <c r="AU355" s="1"/>
      <c r="AV355" s="1">
        <f>SUM($AT355,Z355:$AA355)-SUM($AV$5:AV$5)*$J355-SUM($AV$6:AV$6)*$K355</f>
        <v>0</v>
      </c>
      <c r="AW355" s="1">
        <f>SUM($AT355,$AA355:AA355)-SUM($AV$5:AW$5)*$J355-SUM($AV$6:AW$6)*$K355</f>
        <v>0</v>
      </c>
      <c r="AX355" s="1">
        <f>SUM($AT355,$AA355:AB355)-SUM($AV$5:AX$5)*$J355-SUM($AV$6:AX$6)*$K355</f>
        <v>0</v>
      </c>
      <c r="AY355" s="1">
        <f>SUM($AT355,$AA355:AC355)-SUM($AV$5:AY$5)*$J355-SUM($AV$6:AY$6)*$K355</f>
        <v>0</v>
      </c>
      <c r="AZ355" s="1">
        <f>SUM($AT355,$AA355:AD355)-SUM($AV$5:AZ$5)*$J355-SUM($AV$6:AZ$6)*$K355</f>
        <v>-400</v>
      </c>
      <c r="BA355" s="1">
        <f>SUM($AT355,$AA355:AE355)-SUM($AV$5:BA$5)*$J355-SUM($AV$6:BA$6)*$K355</f>
        <v>-1120</v>
      </c>
      <c r="BB355" s="1">
        <f>SUM($AT355,$AA355:AF355)-SUM($AV$5:BB$5)*$J355-SUM($AV$6:BB$6)*$K355</f>
        <v>-4080</v>
      </c>
      <c r="BC355" s="1">
        <f>SUM($AT355,$AA355:AG355)-SUM($AV$5:BC$5)*$J355-SUM($AV$6:BC$6)*$K355</f>
        <v>-7040</v>
      </c>
      <c r="BD355" s="1">
        <f>SUM($AT355,$AA355:AH355)-SUM($AV$5:BD$5)*$J355-SUM($AV$6:BD$6)*$K355</f>
        <v>-9232</v>
      </c>
      <c r="BE355" s="1">
        <f>SUM($AT355,$AA355:AI355)-SUM($AV$5:BE$5)*$J355-SUM($AV$6:BE$6)*$K355</f>
        <v>-9312</v>
      </c>
      <c r="BF355" s="1">
        <f>SUM($AT355,$AA355:AJ355)-SUM($AV$5:BF$5)*$J355-SUM($AV$6:BF$6)*$K355</f>
        <v>-9392</v>
      </c>
      <c r="BG355" s="1">
        <f>SUM($AT355,$AA355:AK355)-SUM($AV$5:BG$5)*$J355-SUM($AV$6:BG$6)*$K355</f>
        <v>-9472</v>
      </c>
      <c r="BH355" s="1">
        <f>SUM($AT355,$AA355:AL355)-SUM($AV$5:BH$5)*$J355-SUM($AV$6:BH$6)*$K355</f>
        <v>-9552</v>
      </c>
      <c r="BI355" s="1">
        <f>SUM($AT355,$AA355:AM355)-SUM($AV$5:BI$5)*$J355-SUM($AV$6:BI$6)*$K355</f>
        <v>-9632</v>
      </c>
      <c r="BJ355" s="1">
        <f>SUM($AT355,$AA355:AN355)-SUM($AV$5:BJ$5)*$J355-SUM($AV$6:BJ$6)*$K355</f>
        <v>-9712</v>
      </c>
      <c r="BK355" s="1">
        <f>SUM($AT355,$AA355:AO355)-SUM($AV$5:BK$5)*$J355-SUM($AV$6:BK$6)*$K355</f>
        <v>-9792</v>
      </c>
      <c r="BL355" s="1">
        <f>SUM($AT355,$AA355:AP355)-SUM($AV$5:BL$5)*$J355-SUM($AV$6:BL$6)*$K355</f>
        <v>-9872</v>
      </c>
      <c r="BM355" s="1">
        <f>SUM($AT355,$AA355:AQ355)-SUM($AV$5:BM$5)*$J355-SUM($AV$6:BM$6)*$K355</f>
        <v>-9952</v>
      </c>
      <c r="BN355" s="1">
        <f>SUM($AT355,$AA355:AR355)-SUM($AV$5:BN$5)*$J355-SUM($AV$6:BN$6)*$K355</f>
        <v>-9996</v>
      </c>
    </row>
    <row r="356" spans="1:66">
      <c r="A356" s="1">
        <v>367</v>
      </c>
      <c r="B356" s="28" t="s">
        <v>1080</v>
      </c>
      <c r="C356" s="1" t="s">
        <v>40</v>
      </c>
      <c r="D356" s="2">
        <v>512212457</v>
      </c>
      <c r="E356" s="3" t="s">
        <v>1048</v>
      </c>
      <c r="F356" s="1"/>
      <c r="G356" s="1" t="s">
        <v>42</v>
      </c>
      <c r="H356" s="1">
        <v>2</v>
      </c>
      <c r="I356" s="1">
        <v>3</v>
      </c>
      <c r="J356" s="1">
        <v>0</v>
      </c>
      <c r="K356" s="1">
        <v>3</v>
      </c>
      <c r="L356" s="1">
        <v>0</v>
      </c>
      <c r="M356" s="1">
        <f t="shared" si="14"/>
        <v>828</v>
      </c>
      <c r="N356" s="1">
        <f t="shared" si="15"/>
        <v>828</v>
      </c>
      <c r="O356" s="2" t="s">
        <v>1049</v>
      </c>
      <c r="P356" s="1"/>
      <c r="Q356" s="31">
        <v>0.06</v>
      </c>
      <c r="R356" s="1" t="s">
        <v>44</v>
      </c>
      <c r="S356" s="30" t="s">
        <v>1046</v>
      </c>
      <c r="T356" s="12" t="s">
        <v>493</v>
      </c>
      <c r="U356" s="1">
        <v>1</v>
      </c>
      <c r="V356" s="1">
        <v>1</v>
      </c>
      <c r="W356" s="1" t="s">
        <v>494</v>
      </c>
      <c r="X356" s="33" t="s">
        <v>495</v>
      </c>
      <c r="Y356" s="1" t="s">
        <v>496</v>
      </c>
      <c r="Z356" s="2" t="s">
        <v>1049</v>
      </c>
      <c r="AA356" s="1"/>
      <c r="AB356" s="1"/>
      <c r="AC356" s="1"/>
      <c r="AD356" s="1"/>
      <c r="AE356" s="1"/>
      <c r="AF356" s="1"/>
      <c r="AG356" s="1"/>
      <c r="AH356" s="1"/>
      <c r="AI356" s="1"/>
      <c r="AJ356" s="1"/>
      <c r="AK356" s="1"/>
      <c r="AL356" s="1"/>
      <c r="AM356" s="1"/>
      <c r="AN356" s="1"/>
      <c r="AO356" s="1"/>
      <c r="AP356" s="1"/>
      <c r="AQ356" s="1"/>
      <c r="AR356" s="1"/>
      <c r="AS356" s="1"/>
      <c r="AT356" s="1"/>
      <c r="AU356" s="1"/>
      <c r="AV356" s="1">
        <f>SUM($AT356,Z356:$AA356)-SUM($AV$5:AV$5)*$J356-SUM($AV$6:AV$6)*$K356</f>
        <v>0</v>
      </c>
      <c r="AW356" s="1">
        <f>SUM($AT356,$AA356:AA356)-SUM($AV$5:AW$5)*$J356-SUM($AV$6:AW$6)*$K356</f>
        <v>0</v>
      </c>
      <c r="AX356" s="1">
        <f>SUM($AT356,$AA356:AB356)-SUM($AV$5:AX$5)*$J356-SUM($AV$6:AX$6)*$K356</f>
        <v>0</v>
      </c>
      <c r="AY356" s="1">
        <f>SUM($AT356,$AA356:AC356)-SUM($AV$5:AY$5)*$J356-SUM($AV$6:AY$6)*$K356</f>
        <v>0</v>
      </c>
      <c r="AZ356" s="1">
        <f>SUM($AT356,$AA356:AD356)-SUM($AV$5:AZ$5)*$J356-SUM($AV$6:AZ$6)*$K356</f>
        <v>-30</v>
      </c>
      <c r="BA356" s="1">
        <f>SUM($AT356,$AA356:AE356)-SUM($AV$5:BA$5)*$J356-SUM($AV$6:BA$6)*$K356</f>
        <v>-90</v>
      </c>
      <c r="BB356" s="1">
        <f>SUM($AT356,$AA356:AF356)-SUM($AV$5:BB$5)*$J356-SUM($AV$6:BB$6)*$K356</f>
        <v>-360</v>
      </c>
      <c r="BC356" s="1">
        <f>SUM($AT356,$AA356:AG356)-SUM($AV$5:BC$5)*$J356-SUM($AV$6:BC$6)*$K356</f>
        <v>-630</v>
      </c>
      <c r="BD356" s="1">
        <f>SUM($AT356,$AA356:AH356)-SUM($AV$5:BD$5)*$J356-SUM($AV$6:BD$6)*$K356</f>
        <v>-828</v>
      </c>
      <c r="BE356" s="1">
        <f>SUM($AT356,$AA356:AI356)-SUM($AV$5:BE$5)*$J356-SUM($AV$6:BE$6)*$K356</f>
        <v>-828</v>
      </c>
      <c r="BF356" s="1">
        <f>SUM($AT356,$AA356:AJ356)-SUM($AV$5:BF$5)*$J356-SUM($AV$6:BF$6)*$K356</f>
        <v>-828</v>
      </c>
      <c r="BG356" s="1">
        <f>SUM($AT356,$AA356:AK356)-SUM($AV$5:BG$5)*$J356-SUM($AV$6:BG$6)*$K356</f>
        <v>-828</v>
      </c>
      <c r="BH356" s="1">
        <f>SUM($AT356,$AA356:AL356)-SUM($AV$5:BH$5)*$J356-SUM($AV$6:BH$6)*$K356</f>
        <v>-828</v>
      </c>
      <c r="BI356" s="1">
        <f>SUM($AT356,$AA356:AM356)-SUM($AV$5:BI$5)*$J356-SUM($AV$6:BI$6)*$K356</f>
        <v>-828</v>
      </c>
      <c r="BJ356" s="1">
        <f>SUM($AT356,$AA356:AN356)-SUM($AV$5:BJ$5)*$J356-SUM($AV$6:BJ$6)*$K356</f>
        <v>-828</v>
      </c>
      <c r="BK356" s="1">
        <f>SUM($AT356,$AA356:AO356)-SUM($AV$5:BK$5)*$J356-SUM($AV$6:BK$6)*$K356</f>
        <v>-828</v>
      </c>
      <c r="BL356" s="1">
        <f>SUM($AT356,$AA356:AP356)-SUM($AV$5:BL$5)*$J356-SUM($AV$6:BL$6)*$K356</f>
        <v>-828</v>
      </c>
      <c r="BM356" s="1">
        <f>SUM($AT356,$AA356:AQ356)-SUM($AV$5:BM$5)*$J356-SUM($AV$6:BM$6)*$K356</f>
        <v>-828</v>
      </c>
      <c r="BN356" s="1">
        <f>SUM($AT356,$AA356:AR356)-SUM($AV$5:BN$5)*$J356-SUM($AV$6:BN$6)*$K356</f>
        <v>-828</v>
      </c>
    </row>
    <row r="357" spans="1:66">
      <c r="A357" s="1">
        <v>368</v>
      </c>
      <c r="B357" s="28" t="s">
        <v>1081</v>
      </c>
      <c r="C357" s="1" t="s">
        <v>40</v>
      </c>
      <c r="D357" s="2">
        <v>513206524</v>
      </c>
      <c r="E357" s="3" t="s">
        <v>1082</v>
      </c>
      <c r="F357" s="1"/>
      <c r="G357" s="1" t="s">
        <v>42</v>
      </c>
      <c r="H357" s="1">
        <v>2</v>
      </c>
      <c r="I357" s="1">
        <v>2</v>
      </c>
      <c r="J357" s="1">
        <v>2</v>
      </c>
      <c r="K357" s="1">
        <v>0</v>
      </c>
      <c r="L357" s="1">
        <v>0</v>
      </c>
      <c r="M357" s="1">
        <f t="shared" si="14"/>
        <v>1164</v>
      </c>
      <c r="N357" s="1">
        <f t="shared" si="15"/>
        <v>1164</v>
      </c>
      <c r="O357" s="2" t="s">
        <v>1049</v>
      </c>
      <c r="P357" s="1"/>
      <c r="Q357" s="1">
        <v>0.26</v>
      </c>
      <c r="R357" s="1" t="s">
        <v>44</v>
      </c>
      <c r="S357" s="30" t="s">
        <v>8</v>
      </c>
      <c r="T357" s="31" t="e">
        <f>#REF!</f>
        <v>#REF!</v>
      </c>
      <c r="U357" s="1">
        <v>1</v>
      </c>
      <c r="V357" s="1">
        <v>1</v>
      </c>
      <c r="W357" s="1" t="s">
        <v>494</v>
      </c>
      <c r="X357" s="33" t="s">
        <v>495</v>
      </c>
      <c r="Y357" s="1" t="s">
        <v>496</v>
      </c>
      <c r="Z357" s="2" t="s">
        <v>1049</v>
      </c>
      <c r="AA357" s="1"/>
      <c r="AB357" s="1"/>
      <c r="AC357" s="1"/>
      <c r="AD357" s="1"/>
      <c r="AE357" s="1"/>
      <c r="AF357" s="1"/>
      <c r="AG357" s="1"/>
      <c r="AH357" s="1"/>
      <c r="AI357" s="1"/>
      <c r="AJ357" s="1"/>
      <c r="AK357" s="1"/>
      <c r="AL357" s="1"/>
      <c r="AM357" s="1"/>
      <c r="AN357" s="1"/>
      <c r="AO357" s="1"/>
      <c r="AP357" s="1"/>
      <c r="AQ357" s="1"/>
      <c r="AR357" s="1"/>
      <c r="AS357" s="1"/>
      <c r="AT357" s="1"/>
      <c r="AU357" s="1"/>
      <c r="AV357" s="1">
        <f>SUM($AT357,Z357:$AA357)-SUM($AV$5:AV$5)*$J357-SUM($AV$6:AV$6)*$K357</f>
        <v>0</v>
      </c>
      <c r="AW357" s="1">
        <f>SUM($AT357,$AA357:AA357)-SUM($AV$5:AW$5)*$J357-SUM($AV$6:AW$6)*$K357</f>
        <v>0</v>
      </c>
      <c r="AX357" s="1">
        <f>SUM($AT357,$AA357:AB357)-SUM($AV$5:AX$5)*$J357-SUM($AV$6:AX$6)*$K357</f>
        <v>0</v>
      </c>
      <c r="AY357" s="1">
        <f>SUM($AT357,$AA357:AC357)-SUM($AV$5:AY$5)*$J357-SUM($AV$6:AY$6)*$K357</f>
        <v>0</v>
      </c>
      <c r="AZ357" s="1">
        <f>SUM($AT357,$AA357:AD357)-SUM($AV$5:AZ$5)*$J357-SUM($AV$6:AZ$6)*$K357</f>
        <v>-80</v>
      </c>
      <c r="BA357" s="1">
        <f>SUM($AT357,$AA357:AE357)-SUM($AV$5:BA$5)*$J357-SUM($AV$6:BA$6)*$K357</f>
        <v>-160</v>
      </c>
      <c r="BB357" s="1">
        <f>SUM($AT357,$AA357:AF357)-SUM($AV$5:BB$5)*$J357-SUM($AV$6:BB$6)*$K357</f>
        <v>-240</v>
      </c>
      <c r="BC357" s="1">
        <f>SUM($AT357,$AA357:AG357)-SUM($AV$5:BC$5)*$J357-SUM($AV$6:BC$6)*$K357</f>
        <v>-320</v>
      </c>
      <c r="BD357" s="1">
        <f>SUM($AT357,$AA357:AH357)-SUM($AV$5:BD$5)*$J357-SUM($AV$6:BD$6)*$K357</f>
        <v>-400</v>
      </c>
      <c r="BE357" s="1">
        <f>SUM($AT357,$AA357:AI357)-SUM($AV$5:BE$5)*$J357-SUM($AV$6:BE$6)*$K357</f>
        <v>-480</v>
      </c>
      <c r="BF357" s="1">
        <f>SUM($AT357,$AA357:AJ357)-SUM($AV$5:BF$5)*$J357-SUM($AV$6:BF$6)*$K357</f>
        <v>-560</v>
      </c>
      <c r="BG357" s="1">
        <f>SUM($AT357,$AA357:AK357)-SUM($AV$5:BG$5)*$J357-SUM($AV$6:BG$6)*$K357</f>
        <v>-640</v>
      </c>
      <c r="BH357" s="1">
        <f>SUM($AT357,$AA357:AL357)-SUM($AV$5:BH$5)*$J357-SUM($AV$6:BH$6)*$K357</f>
        <v>-720</v>
      </c>
      <c r="BI357" s="1">
        <f>SUM($AT357,$AA357:AM357)-SUM($AV$5:BI$5)*$J357-SUM($AV$6:BI$6)*$K357</f>
        <v>-800</v>
      </c>
      <c r="BJ357" s="1">
        <f>SUM($AT357,$AA357:AN357)-SUM($AV$5:BJ$5)*$J357-SUM($AV$6:BJ$6)*$K357</f>
        <v>-880</v>
      </c>
      <c r="BK357" s="1">
        <f>SUM($AT357,$AA357:AO357)-SUM($AV$5:BK$5)*$J357-SUM($AV$6:BK$6)*$K357</f>
        <v>-960</v>
      </c>
      <c r="BL357" s="1">
        <f>SUM($AT357,$AA357:AP357)-SUM($AV$5:BL$5)*$J357-SUM($AV$6:BL$6)*$K357</f>
        <v>-1040</v>
      </c>
      <c r="BM357" s="1">
        <f>SUM($AT357,$AA357:AQ357)-SUM($AV$5:BM$5)*$J357-SUM($AV$6:BM$6)*$K357</f>
        <v>-1120</v>
      </c>
      <c r="BN357" s="1">
        <f>SUM($AT357,$AA357:AR357)-SUM($AV$5:BN$5)*$J357-SUM($AV$6:BN$6)*$K357</f>
        <v>-1164</v>
      </c>
    </row>
    <row r="358" spans="1:66">
      <c r="A358" s="1">
        <v>426</v>
      </c>
      <c r="B358" s="28" t="s">
        <v>1083</v>
      </c>
      <c r="C358" s="1" t="s">
        <v>40</v>
      </c>
      <c r="D358" s="2">
        <v>400629736</v>
      </c>
      <c r="E358" s="3" t="s">
        <v>1084</v>
      </c>
      <c r="F358" s="1"/>
      <c r="G358" s="1" t="s">
        <v>42</v>
      </c>
      <c r="H358" s="1">
        <v>2</v>
      </c>
      <c r="I358" s="1">
        <v>1</v>
      </c>
      <c r="J358" s="1">
        <v>1</v>
      </c>
      <c r="K358" s="1">
        <v>0</v>
      </c>
      <c r="L358" s="1">
        <v>0</v>
      </c>
      <c r="M358" s="1">
        <f t="shared" si="14"/>
        <v>582</v>
      </c>
      <c r="N358" s="1">
        <f t="shared" si="15"/>
        <v>582</v>
      </c>
      <c r="O358" s="2" t="s">
        <v>1085</v>
      </c>
      <c r="P358" s="1"/>
      <c r="Q358" s="1">
        <v>5.5</v>
      </c>
      <c r="R358" s="1" t="s">
        <v>44</v>
      </c>
      <c r="S358" s="30" t="s">
        <v>303</v>
      </c>
      <c r="T358" s="31" t="s">
        <v>1086</v>
      </c>
      <c r="U358" s="1"/>
      <c r="V358" s="1">
        <v>100</v>
      </c>
      <c r="W358" s="1" t="s">
        <v>1087</v>
      </c>
      <c r="X358" s="32" t="s">
        <v>1088</v>
      </c>
      <c r="Y358" s="1" t="s">
        <v>1089</v>
      </c>
      <c r="Z358" s="2" t="s">
        <v>1085</v>
      </c>
      <c r="AA358" s="1"/>
      <c r="AB358" s="1"/>
      <c r="AC358" s="1"/>
      <c r="AD358" s="1"/>
      <c r="AE358" s="1"/>
      <c r="AF358" s="1"/>
      <c r="AG358" s="1"/>
      <c r="AH358" s="1"/>
      <c r="AI358" s="1"/>
      <c r="AJ358" s="1"/>
      <c r="AK358" s="1"/>
      <c r="AL358" s="1"/>
      <c r="AM358" s="1"/>
      <c r="AN358" s="1"/>
      <c r="AO358" s="1"/>
      <c r="AP358" s="1"/>
      <c r="AQ358" s="1"/>
      <c r="AR358" s="1"/>
      <c r="AS358" s="1"/>
      <c r="AT358" s="1"/>
      <c r="AU358" s="1"/>
      <c r="AV358" s="1">
        <f>SUM($AT358,Z358:$AA358)-SUM($AV$5:AV$5)*$J358-SUM($AV$6:AV$6)*$K358</f>
        <v>0</v>
      </c>
      <c r="AW358" s="1">
        <f>SUM($AT358,$AA358:AA358)-SUM($AV$5:AW$5)*$J358-SUM($AV$6:AW$6)*$K358</f>
        <v>0</v>
      </c>
      <c r="AX358" s="1">
        <f>SUM($AT358,$AA358:AB358)-SUM($AV$5:AX$5)*$J358-SUM($AV$6:AX$6)*$K358</f>
        <v>0</v>
      </c>
      <c r="AY358" s="1">
        <f>SUM($AT358,$AA358:AC358)-SUM($AV$5:AY$5)*$J358-SUM($AV$6:AY$6)*$K358</f>
        <v>0</v>
      </c>
      <c r="AZ358" s="1">
        <f>SUM($AT358,$AA358:AD358)-SUM($AV$5:AZ$5)*$J358-SUM($AV$6:AZ$6)*$K358</f>
        <v>-40</v>
      </c>
      <c r="BA358" s="1">
        <f>SUM($AT358,$AA358:AE358)-SUM($AV$5:BA$5)*$J358-SUM($AV$6:BA$6)*$K358</f>
        <v>-80</v>
      </c>
      <c r="BB358" s="1">
        <f>SUM($AT358,$AA358:AF358)-SUM($AV$5:BB$5)*$J358-SUM($AV$6:BB$6)*$K358</f>
        <v>-120</v>
      </c>
      <c r="BC358" s="1">
        <f>SUM($AT358,$AA358:AG358)-SUM($AV$5:BC$5)*$J358-SUM($AV$6:BC$6)*$K358</f>
        <v>-160</v>
      </c>
      <c r="BD358" s="1">
        <f>SUM($AT358,$AA358:AH358)-SUM($AV$5:BD$5)*$J358-SUM($AV$6:BD$6)*$K358</f>
        <v>-200</v>
      </c>
      <c r="BE358" s="1">
        <f>SUM($AT358,$AA358:AI358)-SUM($AV$5:BE$5)*$J358-SUM($AV$6:BE$6)*$K358</f>
        <v>-240</v>
      </c>
      <c r="BF358" s="1">
        <f>SUM($AT358,$AA358:AJ358)-SUM($AV$5:BF$5)*$J358-SUM($AV$6:BF$6)*$K358</f>
        <v>-280</v>
      </c>
      <c r="BG358" s="1">
        <f>SUM($AT358,$AA358:AK358)-SUM($AV$5:BG$5)*$J358-SUM($AV$6:BG$6)*$K358</f>
        <v>-320</v>
      </c>
      <c r="BH358" s="1">
        <f>SUM($AT358,$AA358:AL358)-SUM($AV$5:BH$5)*$J358-SUM($AV$6:BH$6)*$K358</f>
        <v>-360</v>
      </c>
      <c r="BI358" s="1">
        <f>SUM($AT358,$AA358:AM358)-SUM($AV$5:BI$5)*$J358-SUM($AV$6:BI$6)*$K358</f>
        <v>-400</v>
      </c>
      <c r="BJ358" s="1">
        <f>SUM($AT358,$AA358:AN358)-SUM($AV$5:BJ$5)*$J358-SUM($AV$6:BJ$6)*$K358</f>
        <v>-440</v>
      </c>
      <c r="BK358" s="1">
        <f>SUM($AT358,$AA358:AO358)-SUM($AV$5:BK$5)*$J358-SUM($AV$6:BK$6)*$K358</f>
        <v>-480</v>
      </c>
      <c r="BL358" s="1">
        <f>SUM($AT358,$AA358:AP358)-SUM($AV$5:BL$5)*$J358-SUM($AV$6:BL$6)*$K358</f>
        <v>-520</v>
      </c>
      <c r="BM358" s="1">
        <f>SUM($AT358,$AA358:AQ358)-SUM($AV$5:BM$5)*$J358-SUM($AV$6:BM$6)*$K358</f>
        <v>-560</v>
      </c>
      <c r="BN358" s="1">
        <f>SUM($AT358,$AA358:AR358)-SUM($AV$5:BN$5)*$J358-SUM($AV$6:BN$6)*$K358</f>
        <v>-582</v>
      </c>
    </row>
    <row r="359" spans="1:66">
      <c r="A359" s="1">
        <v>370</v>
      </c>
      <c r="B359" s="28" t="s">
        <v>1090</v>
      </c>
      <c r="C359" s="1" t="s">
        <v>40</v>
      </c>
      <c r="D359" s="2" t="s">
        <v>1091</v>
      </c>
      <c r="E359" s="3" t="s">
        <v>1092</v>
      </c>
      <c r="F359" s="1">
        <v>406426682</v>
      </c>
      <c r="G359" s="1" t="s">
        <v>42</v>
      </c>
      <c r="H359" s="1">
        <v>2</v>
      </c>
      <c r="I359" s="1">
        <v>1</v>
      </c>
      <c r="J359" s="1">
        <v>0</v>
      </c>
      <c r="K359" s="1">
        <v>0</v>
      </c>
      <c r="L359" s="1">
        <v>1</v>
      </c>
      <c r="M359" s="1">
        <f t="shared" si="14"/>
        <v>276</v>
      </c>
      <c r="N359" s="1">
        <f t="shared" si="15"/>
        <v>276</v>
      </c>
      <c r="O359" s="2" t="s">
        <v>969</v>
      </c>
      <c r="P359" s="1"/>
      <c r="Q359" s="31">
        <v>3.2070000000000001E-2</v>
      </c>
      <c r="R359" s="1" t="s">
        <v>292</v>
      </c>
      <c r="S359" s="30" t="s">
        <v>780</v>
      </c>
      <c r="T359" s="31" t="s">
        <v>417</v>
      </c>
      <c r="U359" s="1">
        <v>3000</v>
      </c>
      <c r="V359" s="1">
        <v>3000</v>
      </c>
      <c r="W359" s="1" t="s">
        <v>418</v>
      </c>
      <c r="X359" s="33" t="s">
        <v>419</v>
      </c>
      <c r="Y359" s="1" t="s">
        <v>420</v>
      </c>
      <c r="Z359" s="2" t="s">
        <v>969</v>
      </c>
      <c r="AA359" s="1"/>
      <c r="AB359" s="1"/>
      <c r="AC359" s="1"/>
      <c r="AD359" s="1"/>
      <c r="AE359" s="1"/>
      <c r="AF359" s="1"/>
      <c r="AG359" s="1"/>
      <c r="AH359" s="1"/>
      <c r="AI359" s="1"/>
      <c r="AJ359" s="1"/>
      <c r="AK359" s="1"/>
      <c r="AL359" s="1"/>
      <c r="AM359" s="1"/>
      <c r="AN359" s="1"/>
      <c r="AO359" s="1"/>
      <c r="AP359" s="1"/>
      <c r="AQ359" s="1"/>
      <c r="AR359" s="1"/>
      <c r="AS359" s="1"/>
      <c r="AT359" s="1"/>
      <c r="AU359" s="1"/>
      <c r="AV359" s="1">
        <f>SUM($AT359,Z359:$AA359)-SUM($AV$5:AV$5)*$J359-SUM($AV$6:AV$6)*$K359</f>
        <v>0</v>
      </c>
      <c r="AW359" s="1">
        <f>SUM($AT359,$AA359:AA359)-SUM($AV$5:AW$5)*$J359-SUM($AV$6:AW$6)*$K359</f>
        <v>0</v>
      </c>
      <c r="AX359" s="1">
        <f>SUM($AT359,$AA359:AB359)-SUM($AV$5:AX$5)*$J359-SUM($AV$6:AX$6)*$K359</f>
        <v>0</v>
      </c>
      <c r="AY359" s="1">
        <f>SUM($AT359,$AA359:AC359)-SUM($AV$5:AY$5)*$J359-SUM($AV$6:AY$6)*$K359</f>
        <v>0</v>
      </c>
      <c r="AZ359" s="1">
        <f>SUM($AT359,$AA359:AD359)-SUM($AV$5:AZ$5)*$J359-SUM($AV$6:AZ$6)*$K359</f>
        <v>0</v>
      </c>
      <c r="BA359" s="1">
        <f>SUM($AT359,$AA359:AE359)-SUM($AV$5:BA$5)*$J359-SUM($AV$6:BA$6)*$K359</f>
        <v>0</v>
      </c>
      <c r="BB359" s="1">
        <f>SUM($AT359,$AA359:AF359)-SUM($AV$5:BB$5)*$J359-SUM($AV$6:BB$6)*$K359</f>
        <v>0</v>
      </c>
      <c r="BC359" s="1">
        <f>SUM($AT359,$AA359:AG359)-SUM($AV$5:BC$5)*$J359-SUM($AV$6:BC$6)*$K359</f>
        <v>0</v>
      </c>
      <c r="BD359" s="1">
        <f>SUM($AT359,$AA359:AH359)-SUM($AV$5:BD$5)*$J359-SUM($AV$6:BD$6)*$K359</f>
        <v>0</v>
      </c>
      <c r="BE359" s="1">
        <f>SUM($AT359,$AA359:AI359)-SUM($AV$5:BE$5)*$J359-SUM($AV$6:BE$6)*$K359</f>
        <v>0</v>
      </c>
      <c r="BF359" s="1">
        <f>SUM($AT359,$AA359:AJ359)-SUM($AV$5:BF$5)*$J359-SUM($AV$6:BF$6)*$K359</f>
        <v>0</v>
      </c>
      <c r="BG359" s="1">
        <f>SUM($AT359,$AA359:AK359)-SUM($AV$5:BG$5)*$J359-SUM($AV$6:BG$6)*$K359</f>
        <v>0</v>
      </c>
      <c r="BH359" s="1">
        <f>SUM($AT359,$AA359:AL359)-SUM($AV$5:BH$5)*$J359-SUM($AV$6:BH$6)*$K359</f>
        <v>0</v>
      </c>
      <c r="BI359" s="1">
        <f>SUM($AT359,$AA359:AM359)-SUM($AV$5:BI$5)*$J359-SUM($AV$6:BI$6)*$K359</f>
        <v>0</v>
      </c>
      <c r="BJ359" s="1">
        <f>SUM($AT359,$AA359:AN359)-SUM($AV$5:BJ$5)*$J359-SUM($AV$6:BJ$6)*$K359</f>
        <v>0</v>
      </c>
      <c r="BK359" s="1">
        <f>SUM($AT359,$AA359:AO359)-SUM($AV$5:BK$5)*$J359-SUM($AV$6:BK$6)*$K359</f>
        <v>0</v>
      </c>
      <c r="BL359" s="1">
        <f>SUM($AT359,$AA359:AP359)-SUM($AV$5:BL$5)*$J359-SUM($AV$6:BL$6)*$K359</f>
        <v>0</v>
      </c>
      <c r="BM359" s="1">
        <f>SUM($AT359,$AA359:AQ359)-SUM($AV$5:BM$5)*$J359-SUM($AV$6:BM$6)*$K359</f>
        <v>0</v>
      </c>
      <c r="BN359" s="1">
        <f>SUM($AT359,$AA359:AR359)-SUM($AV$5:BN$5)*$J359-SUM($AV$6:BN$6)*$K359</f>
        <v>0</v>
      </c>
    </row>
    <row r="360" spans="1:66">
      <c r="A360" s="1">
        <v>427</v>
      </c>
      <c r="B360" s="28" t="s">
        <v>1093</v>
      </c>
      <c r="C360" s="1" t="s">
        <v>40</v>
      </c>
      <c r="D360" s="2">
        <v>400629744</v>
      </c>
      <c r="E360" s="3" t="s">
        <v>1094</v>
      </c>
      <c r="F360" s="1"/>
      <c r="G360" s="1" t="s">
        <v>42</v>
      </c>
      <c r="H360" s="1">
        <v>2</v>
      </c>
      <c r="I360" s="1">
        <v>2</v>
      </c>
      <c r="J360" s="1">
        <v>2</v>
      </c>
      <c r="K360" s="1">
        <v>0</v>
      </c>
      <c r="L360" s="1">
        <v>0</v>
      </c>
      <c r="M360" s="1">
        <f t="shared" si="14"/>
        <v>1164</v>
      </c>
      <c r="N360" s="1">
        <f t="shared" si="15"/>
        <v>1164</v>
      </c>
      <c r="O360" s="2" t="s">
        <v>1085</v>
      </c>
      <c r="P360" s="1"/>
      <c r="Q360" s="1">
        <v>3.5</v>
      </c>
      <c r="R360" s="1" t="s">
        <v>44</v>
      </c>
      <c r="S360" s="30" t="s">
        <v>303</v>
      </c>
      <c r="T360" s="31" t="s">
        <v>1086</v>
      </c>
      <c r="U360" s="1"/>
      <c r="V360" s="1">
        <v>100</v>
      </c>
      <c r="W360" s="1" t="s">
        <v>1087</v>
      </c>
      <c r="X360" s="32" t="s">
        <v>1088</v>
      </c>
      <c r="Y360" s="1" t="s">
        <v>1089</v>
      </c>
      <c r="Z360" s="2" t="s">
        <v>1085</v>
      </c>
      <c r="AA360" s="1"/>
      <c r="AB360" s="1"/>
      <c r="AC360" s="1"/>
      <c r="AD360" s="1"/>
      <c r="AE360" s="1"/>
      <c r="AF360" s="1"/>
      <c r="AG360" s="1"/>
      <c r="AH360" s="1"/>
      <c r="AI360" s="1"/>
      <c r="AJ360" s="1"/>
      <c r="AK360" s="1"/>
      <c r="AL360" s="1"/>
      <c r="AM360" s="1"/>
      <c r="AN360" s="1"/>
      <c r="AO360" s="1"/>
      <c r="AP360" s="1"/>
      <c r="AQ360" s="1"/>
      <c r="AR360" s="1"/>
      <c r="AS360" s="1"/>
      <c r="AT360" s="1"/>
      <c r="AU360" s="1"/>
      <c r="AV360" s="1">
        <f>SUM($AT360,Z360:$AA360)-SUM($AV$5:AV$5)*$J360-SUM($AV$6:AV$6)*$K360</f>
        <v>0</v>
      </c>
      <c r="AW360" s="1">
        <f>SUM($AT360,$AA360:AA360)-SUM($AV$5:AW$5)*$J360-SUM($AV$6:AW$6)*$K360</f>
        <v>0</v>
      </c>
      <c r="AX360" s="1">
        <f>SUM($AT360,$AA360:AB360)-SUM($AV$5:AX$5)*$J360-SUM($AV$6:AX$6)*$K360</f>
        <v>0</v>
      </c>
      <c r="AY360" s="1">
        <f>SUM($AT360,$AA360:AC360)-SUM($AV$5:AY$5)*$J360-SUM($AV$6:AY$6)*$K360</f>
        <v>0</v>
      </c>
      <c r="AZ360" s="1">
        <f>SUM($AT360,$AA360:AD360)-SUM($AV$5:AZ$5)*$J360-SUM($AV$6:AZ$6)*$K360</f>
        <v>-80</v>
      </c>
      <c r="BA360" s="1">
        <f>SUM($AT360,$AA360:AE360)-SUM($AV$5:BA$5)*$J360-SUM($AV$6:BA$6)*$K360</f>
        <v>-160</v>
      </c>
      <c r="BB360" s="1">
        <f>SUM($AT360,$AA360:AF360)-SUM($AV$5:BB$5)*$J360-SUM($AV$6:BB$6)*$K360</f>
        <v>-240</v>
      </c>
      <c r="BC360" s="1">
        <f>SUM($AT360,$AA360:AG360)-SUM($AV$5:BC$5)*$J360-SUM($AV$6:BC$6)*$K360</f>
        <v>-320</v>
      </c>
      <c r="BD360" s="1">
        <f>SUM($AT360,$AA360:AH360)-SUM($AV$5:BD$5)*$J360-SUM($AV$6:BD$6)*$K360</f>
        <v>-400</v>
      </c>
      <c r="BE360" s="1">
        <f>SUM($AT360,$AA360:AI360)-SUM($AV$5:BE$5)*$J360-SUM($AV$6:BE$6)*$K360</f>
        <v>-480</v>
      </c>
      <c r="BF360" s="1">
        <f>SUM($AT360,$AA360:AJ360)-SUM($AV$5:BF$5)*$J360-SUM($AV$6:BF$6)*$K360</f>
        <v>-560</v>
      </c>
      <c r="BG360" s="1">
        <f>SUM($AT360,$AA360:AK360)-SUM($AV$5:BG$5)*$J360-SUM($AV$6:BG$6)*$K360</f>
        <v>-640</v>
      </c>
      <c r="BH360" s="1">
        <f>SUM($AT360,$AA360:AL360)-SUM($AV$5:BH$5)*$J360-SUM($AV$6:BH$6)*$K360</f>
        <v>-720</v>
      </c>
      <c r="BI360" s="1">
        <f>SUM($AT360,$AA360:AM360)-SUM($AV$5:BI$5)*$J360-SUM($AV$6:BI$6)*$K360</f>
        <v>-800</v>
      </c>
      <c r="BJ360" s="1">
        <f>SUM($AT360,$AA360:AN360)-SUM($AV$5:BJ$5)*$J360-SUM($AV$6:BJ$6)*$K360</f>
        <v>-880</v>
      </c>
      <c r="BK360" s="1">
        <f>SUM($AT360,$AA360:AO360)-SUM($AV$5:BK$5)*$J360-SUM($AV$6:BK$6)*$K360</f>
        <v>-960</v>
      </c>
      <c r="BL360" s="1">
        <f>SUM($AT360,$AA360:AP360)-SUM($AV$5:BL$5)*$J360-SUM($AV$6:BL$6)*$K360</f>
        <v>-1040</v>
      </c>
      <c r="BM360" s="1">
        <f>SUM($AT360,$AA360:AQ360)-SUM($AV$5:BM$5)*$J360-SUM($AV$6:BM$6)*$K360</f>
        <v>-1120</v>
      </c>
      <c r="BN360" s="1">
        <f>SUM($AT360,$AA360:AR360)-SUM($AV$5:BN$5)*$J360-SUM($AV$6:BN$6)*$K360</f>
        <v>-1164</v>
      </c>
    </row>
    <row r="361" spans="1:66">
      <c r="A361" s="1">
        <v>440</v>
      </c>
      <c r="B361" s="28" t="s">
        <v>1095</v>
      </c>
      <c r="C361" s="1" t="s">
        <v>176</v>
      </c>
      <c r="D361" s="2" t="s">
        <v>1096</v>
      </c>
      <c r="E361" s="3" t="s">
        <v>1097</v>
      </c>
      <c r="F361" s="1"/>
      <c r="G361" s="1" t="s">
        <v>42</v>
      </c>
      <c r="H361" s="1">
        <v>2</v>
      </c>
      <c r="I361" s="1">
        <v>1</v>
      </c>
      <c r="J361" s="1">
        <v>0</v>
      </c>
      <c r="K361" s="1">
        <v>0</v>
      </c>
      <c r="L361" s="1">
        <v>1</v>
      </c>
      <c r="M361" s="1">
        <f t="shared" si="14"/>
        <v>276</v>
      </c>
      <c r="N361" s="1">
        <f t="shared" si="15"/>
        <v>276</v>
      </c>
      <c r="O361" s="2" t="s">
        <v>951</v>
      </c>
      <c r="P361" s="1"/>
      <c r="Q361" s="1">
        <v>1.8</v>
      </c>
      <c r="R361" s="1" t="s">
        <v>44</v>
      </c>
      <c r="S361" s="30"/>
      <c r="T361" s="31" t="s">
        <v>952</v>
      </c>
      <c r="U361" s="1"/>
      <c r="V361" s="1">
        <v>1000</v>
      </c>
      <c r="W361" s="1" t="s">
        <v>953</v>
      </c>
      <c r="X361" s="33" t="s">
        <v>954</v>
      </c>
      <c r="Y361" s="1" t="s">
        <v>955</v>
      </c>
      <c r="Z361" s="2" t="s">
        <v>951</v>
      </c>
      <c r="AA361" s="1"/>
      <c r="AB361" s="1"/>
      <c r="AC361" s="1"/>
      <c r="AD361" s="1"/>
      <c r="AE361" s="1"/>
      <c r="AF361" s="1"/>
      <c r="AG361" s="1"/>
      <c r="AH361" s="1"/>
      <c r="AI361" s="1"/>
      <c r="AJ361" s="1"/>
      <c r="AK361" s="1"/>
      <c r="AL361" s="1"/>
      <c r="AM361" s="1"/>
      <c r="AN361" s="1"/>
      <c r="AO361" s="1"/>
      <c r="AP361" s="1"/>
      <c r="AQ361" s="1"/>
      <c r="AR361" s="1"/>
      <c r="AS361" s="1"/>
      <c r="AT361" s="1"/>
      <c r="AU361" s="1"/>
      <c r="AV361" s="1">
        <f>SUM($AT361,Z361:$AA361)-SUM($AV$5:AV$5)*$J361-SUM($AV$6:AV$6)*$K361</f>
        <v>0</v>
      </c>
      <c r="AW361" s="1">
        <f>SUM($AT361,$AA361:AA361)-SUM($AV$5:AW$5)*$J361-SUM($AV$6:AW$6)*$K361</f>
        <v>0</v>
      </c>
      <c r="AX361" s="1">
        <f>SUM($AT361,$AA361:AB361)-SUM($AV$5:AX$5)*$J361-SUM($AV$6:AX$6)*$K361</f>
        <v>0</v>
      </c>
      <c r="AY361" s="1">
        <f>SUM($AT361,$AA361:AC361)-SUM($AV$5:AY$5)*$J361-SUM($AV$6:AY$6)*$K361</f>
        <v>0</v>
      </c>
      <c r="AZ361" s="1">
        <f>SUM($AT361,$AA361:AD361)-SUM($AV$5:AZ$5)*$J361-SUM($AV$6:AZ$6)*$K361</f>
        <v>0</v>
      </c>
      <c r="BA361" s="1">
        <f>SUM($AT361,$AA361:AE361)-SUM($AV$5:BA$5)*$J361-SUM($AV$6:BA$6)*$K361</f>
        <v>0</v>
      </c>
      <c r="BB361" s="1">
        <f>SUM($AT361,$AA361:AF361)-SUM($AV$5:BB$5)*$J361-SUM($AV$6:BB$6)*$K361</f>
        <v>0</v>
      </c>
      <c r="BC361" s="1">
        <f>SUM($AT361,$AA361:AG361)-SUM($AV$5:BC$5)*$J361-SUM($AV$6:BC$6)*$K361</f>
        <v>0</v>
      </c>
      <c r="BD361" s="1">
        <f>SUM($AT361,$AA361:AH361)-SUM($AV$5:BD$5)*$J361-SUM($AV$6:BD$6)*$K361</f>
        <v>0</v>
      </c>
      <c r="BE361" s="1">
        <f>SUM($AT361,$AA361:AI361)-SUM($AV$5:BE$5)*$J361-SUM($AV$6:BE$6)*$K361</f>
        <v>0</v>
      </c>
      <c r="BF361" s="1">
        <f>SUM($AT361,$AA361:AJ361)-SUM($AV$5:BF$5)*$J361-SUM($AV$6:BF$6)*$K361</f>
        <v>0</v>
      </c>
      <c r="BG361" s="1">
        <f>SUM($AT361,$AA361:AK361)-SUM($AV$5:BG$5)*$J361-SUM($AV$6:BG$6)*$K361</f>
        <v>0</v>
      </c>
      <c r="BH361" s="1">
        <f>SUM($AT361,$AA361:AL361)-SUM($AV$5:BH$5)*$J361-SUM($AV$6:BH$6)*$K361</f>
        <v>0</v>
      </c>
      <c r="BI361" s="1">
        <f>SUM($AT361,$AA361:AM361)-SUM($AV$5:BI$5)*$J361-SUM($AV$6:BI$6)*$K361</f>
        <v>0</v>
      </c>
      <c r="BJ361" s="1">
        <f>SUM($AT361,$AA361:AN361)-SUM($AV$5:BJ$5)*$J361-SUM($AV$6:BJ$6)*$K361</f>
        <v>0</v>
      </c>
      <c r="BK361" s="1">
        <f>SUM($AT361,$AA361:AO361)-SUM($AV$5:BK$5)*$J361-SUM($AV$6:BK$6)*$K361</f>
        <v>0</v>
      </c>
      <c r="BL361" s="1">
        <f>SUM($AT361,$AA361:AP361)-SUM($AV$5:BL$5)*$J361-SUM($AV$6:BL$6)*$K361</f>
        <v>0</v>
      </c>
      <c r="BM361" s="1">
        <f>SUM($AT361,$AA361:AQ361)-SUM($AV$5:BM$5)*$J361-SUM($AV$6:BM$6)*$K361</f>
        <v>0</v>
      </c>
      <c r="BN361" s="1">
        <f>SUM($AT361,$AA361:AR361)-SUM($AV$5:BN$5)*$J361-SUM($AV$6:BN$6)*$K361</f>
        <v>0</v>
      </c>
    </row>
    <row r="362" spans="1:66">
      <c r="A362" s="1">
        <v>373</v>
      </c>
      <c r="B362" s="28" t="s">
        <v>1098</v>
      </c>
      <c r="C362" s="1" t="s">
        <v>40</v>
      </c>
      <c r="D362" s="2" t="s">
        <v>1099</v>
      </c>
      <c r="E362" s="3" t="s">
        <v>1100</v>
      </c>
      <c r="F362" s="1">
        <v>400563215</v>
      </c>
      <c r="G362" s="1" t="s">
        <v>42</v>
      </c>
      <c r="H362" s="1">
        <v>2</v>
      </c>
      <c r="I362" s="1">
        <v>1</v>
      </c>
      <c r="J362" s="1">
        <v>0</v>
      </c>
      <c r="K362" s="1">
        <v>0</v>
      </c>
      <c r="L362" s="1">
        <v>1</v>
      </c>
      <c r="M362" s="1">
        <f t="shared" si="14"/>
        <v>276</v>
      </c>
      <c r="N362" s="1">
        <f t="shared" si="15"/>
        <v>276</v>
      </c>
      <c r="O362" s="2" t="s">
        <v>765</v>
      </c>
      <c r="P362" s="1"/>
      <c r="Q362" s="31">
        <v>5.0869999999999999E-2</v>
      </c>
      <c r="R362" s="1" t="s">
        <v>292</v>
      </c>
      <c r="S362" s="30" t="s">
        <v>780</v>
      </c>
      <c r="T362" s="31" t="s">
        <v>417</v>
      </c>
      <c r="U362" s="1">
        <v>3000</v>
      </c>
      <c r="V362" s="1">
        <v>3000</v>
      </c>
      <c r="W362" s="1" t="s">
        <v>418</v>
      </c>
      <c r="X362" s="33" t="s">
        <v>419</v>
      </c>
      <c r="Y362" s="1" t="s">
        <v>420</v>
      </c>
      <c r="Z362" s="2" t="s">
        <v>765</v>
      </c>
      <c r="AA362" s="1"/>
      <c r="AB362" s="1"/>
      <c r="AC362" s="1"/>
      <c r="AD362" s="1"/>
      <c r="AE362" s="1"/>
      <c r="AF362" s="1"/>
      <c r="AG362" s="1"/>
      <c r="AH362" s="1"/>
      <c r="AI362" s="1"/>
      <c r="AJ362" s="1"/>
      <c r="AK362" s="1"/>
      <c r="AL362" s="1"/>
      <c r="AM362" s="1"/>
      <c r="AN362" s="1"/>
      <c r="AO362" s="1"/>
      <c r="AP362" s="1"/>
      <c r="AQ362" s="1"/>
      <c r="AR362" s="1"/>
      <c r="AS362" s="1"/>
      <c r="AT362" s="1"/>
      <c r="AU362" s="1"/>
      <c r="AV362" s="1">
        <f>SUM($AT362,Z362:$AA362)-SUM($AV$5:AV$5)*$J362-SUM($AV$6:AV$6)*$K362</f>
        <v>0</v>
      </c>
      <c r="AW362" s="1">
        <f>SUM($AT362,$AA362:AA362)-SUM($AV$5:AW$5)*$J362-SUM($AV$6:AW$6)*$K362</f>
        <v>0</v>
      </c>
      <c r="AX362" s="1">
        <f>SUM($AT362,$AA362:AB362)-SUM($AV$5:AX$5)*$J362-SUM($AV$6:AX$6)*$K362</f>
        <v>0</v>
      </c>
      <c r="AY362" s="1">
        <f>SUM($AT362,$AA362:AC362)-SUM($AV$5:AY$5)*$J362-SUM($AV$6:AY$6)*$K362</f>
        <v>0</v>
      </c>
      <c r="AZ362" s="1">
        <f>SUM($AT362,$AA362:AD362)-SUM($AV$5:AZ$5)*$J362-SUM($AV$6:AZ$6)*$K362</f>
        <v>0</v>
      </c>
      <c r="BA362" s="1">
        <f>SUM($AT362,$AA362:AE362)-SUM($AV$5:BA$5)*$J362-SUM($AV$6:BA$6)*$K362</f>
        <v>0</v>
      </c>
      <c r="BB362" s="1">
        <f>SUM($AT362,$AA362:AF362)-SUM($AV$5:BB$5)*$J362-SUM($AV$6:BB$6)*$K362</f>
        <v>0</v>
      </c>
      <c r="BC362" s="1">
        <f>SUM($AT362,$AA362:AG362)-SUM($AV$5:BC$5)*$J362-SUM($AV$6:BC$6)*$K362</f>
        <v>0</v>
      </c>
      <c r="BD362" s="1">
        <f>SUM($AT362,$AA362:AH362)-SUM($AV$5:BD$5)*$J362-SUM($AV$6:BD$6)*$K362</f>
        <v>0</v>
      </c>
      <c r="BE362" s="1">
        <f>SUM($AT362,$AA362:AI362)-SUM($AV$5:BE$5)*$J362-SUM($AV$6:BE$6)*$K362</f>
        <v>0</v>
      </c>
      <c r="BF362" s="1">
        <f>SUM($AT362,$AA362:AJ362)-SUM($AV$5:BF$5)*$J362-SUM($AV$6:BF$6)*$K362</f>
        <v>0</v>
      </c>
      <c r="BG362" s="1">
        <f>SUM($AT362,$AA362:AK362)-SUM($AV$5:BG$5)*$J362-SUM($AV$6:BG$6)*$K362</f>
        <v>0</v>
      </c>
      <c r="BH362" s="1">
        <f>SUM($AT362,$AA362:AL362)-SUM($AV$5:BH$5)*$J362-SUM($AV$6:BH$6)*$K362</f>
        <v>0</v>
      </c>
      <c r="BI362" s="1">
        <f>SUM($AT362,$AA362:AM362)-SUM($AV$5:BI$5)*$J362-SUM($AV$6:BI$6)*$K362</f>
        <v>0</v>
      </c>
      <c r="BJ362" s="1">
        <f>SUM($AT362,$AA362:AN362)-SUM($AV$5:BJ$5)*$J362-SUM($AV$6:BJ$6)*$K362</f>
        <v>0</v>
      </c>
      <c r="BK362" s="1">
        <f>SUM($AT362,$AA362:AO362)-SUM($AV$5:BK$5)*$J362-SUM($AV$6:BK$6)*$K362</f>
        <v>0</v>
      </c>
      <c r="BL362" s="1">
        <f>SUM($AT362,$AA362:AP362)-SUM($AV$5:BL$5)*$J362-SUM($AV$6:BL$6)*$K362</f>
        <v>0</v>
      </c>
      <c r="BM362" s="1">
        <f>SUM($AT362,$AA362:AQ362)-SUM($AV$5:BM$5)*$J362-SUM($AV$6:BM$6)*$K362</f>
        <v>0</v>
      </c>
      <c r="BN362" s="1">
        <f>SUM($AT362,$AA362:AR362)-SUM($AV$5:BN$5)*$J362-SUM($AV$6:BN$6)*$K362</f>
        <v>0</v>
      </c>
    </row>
    <row r="363" spans="1:66">
      <c r="A363" s="1">
        <v>374</v>
      </c>
      <c r="B363" s="28" t="s">
        <v>1101</v>
      </c>
      <c r="C363" s="1" t="s">
        <v>40</v>
      </c>
      <c r="D363" s="2">
        <v>406647198</v>
      </c>
      <c r="E363" s="3" t="s">
        <v>1102</v>
      </c>
      <c r="F363" s="1"/>
      <c r="G363" s="1" t="s">
        <v>42</v>
      </c>
      <c r="H363" s="1">
        <v>1</v>
      </c>
      <c r="I363" s="1">
        <v>8</v>
      </c>
      <c r="J363" s="1">
        <v>0</v>
      </c>
      <c r="K363" s="1">
        <v>0</v>
      </c>
      <c r="L363" s="1">
        <v>8</v>
      </c>
      <c r="M363" s="1">
        <f t="shared" si="14"/>
        <v>2208</v>
      </c>
      <c r="N363" s="1">
        <f t="shared" si="15"/>
        <v>2208</v>
      </c>
      <c r="O363" s="2" t="s">
        <v>383</v>
      </c>
      <c r="P363" s="1"/>
      <c r="Q363" s="1">
        <v>5.1999999999999998E-2</v>
      </c>
      <c r="R363" s="1" t="s">
        <v>44</v>
      </c>
      <c r="S363" s="30" t="s">
        <v>386</v>
      </c>
      <c r="T363" s="31" t="s">
        <v>369</v>
      </c>
      <c r="U363" s="1">
        <v>4000</v>
      </c>
      <c r="V363" s="1">
        <v>4000</v>
      </c>
      <c r="W363" s="1" t="s">
        <v>1035</v>
      </c>
      <c r="X363" s="33" t="s">
        <v>371</v>
      </c>
      <c r="Y363" s="1" t="s">
        <v>372</v>
      </c>
      <c r="Z363" s="2" t="s">
        <v>383</v>
      </c>
      <c r="AA363" s="1"/>
      <c r="AB363" s="1"/>
      <c r="AC363" s="1"/>
      <c r="AD363" s="1"/>
      <c r="AE363" s="1"/>
      <c r="AF363" s="1"/>
      <c r="AG363" s="1"/>
      <c r="AH363" s="1"/>
      <c r="AI363" s="1"/>
      <c r="AJ363" s="1"/>
      <c r="AK363" s="1"/>
      <c r="AL363" s="1"/>
      <c r="AM363" s="1"/>
      <c r="AN363" s="1"/>
      <c r="AO363" s="1"/>
      <c r="AP363" s="1"/>
      <c r="AQ363" s="1"/>
      <c r="AR363" s="1"/>
      <c r="AS363" s="1"/>
      <c r="AT363" s="1"/>
      <c r="AU363" s="1"/>
      <c r="AV363" s="1">
        <f>SUM($AT363,Z363:$AA363)-SUM($AV$5:AV$5)*$J363-SUM($AV$6:AV$6)*$K363</f>
        <v>0</v>
      </c>
      <c r="AW363" s="1">
        <f>SUM($AT363,$AA363:AA363)-SUM($AV$5:AW$5)*$J363-SUM($AV$6:AW$6)*$K363</f>
        <v>0</v>
      </c>
      <c r="AX363" s="1">
        <f>SUM($AT363,$AA363:AB363)-SUM($AV$5:AX$5)*$J363-SUM($AV$6:AX$6)*$K363</f>
        <v>0</v>
      </c>
      <c r="AY363" s="1">
        <f>SUM($AT363,$AA363:AC363)-SUM($AV$5:AY$5)*$J363-SUM($AV$6:AY$6)*$K363</f>
        <v>0</v>
      </c>
      <c r="AZ363" s="1">
        <f>SUM($AT363,$AA363:AD363)-SUM($AV$5:AZ$5)*$J363-SUM($AV$6:AZ$6)*$K363</f>
        <v>0</v>
      </c>
      <c r="BA363" s="1">
        <f>SUM($AT363,$AA363:AE363)-SUM($AV$5:BA$5)*$J363-SUM($AV$6:BA$6)*$K363</f>
        <v>0</v>
      </c>
      <c r="BB363" s="1">
        <f>SUM($AT363,$AA363:AF363)-SUM($AV$5:BB$5)*$J363-SUM($AV$6:BB$6)*$K363</f>
        <v>0</v>
      </c>
      <c r="BC363" s="1">
        <f>SUM($AT363,$AA363:AG363)-SUM($AV$5:BC$5)*$J363-SUM($AV$6:BC$6)*$K363</f>
        <v>0</v>
      </c>
      <c r="BD363" s="1">
        <f>SUM($AT363,$AA363:AH363)-SUM($AV$5:BD$5)*$J363-SUM($AV$6:BD$6)*$K363</f>
        <v>0</v>
      </c>
      <c r="BE363" s="1">
        <f>SUM($AT363,$AA363:AI363)-SUM($AV$5:BE$5)*$J363-SUM($AV$6:BE$6)*$K363</f>
        <v>0</v>
      </c>
      <c r="BF363" s="1">
        <f>SUM($AT363,$AA363:AJ363)-SUM($AV$5:BF$5)*$J363-SUM($AV$6:BF$6)*$K363</f>
        <v>0</v>
      </c>
      <c r="BG363" s="1">
        <f>SUM($AT363,$AA363:AK363)-SUM($AV$5:BG$5)*$J363-SUM($AV$6:BG$6)*$K363</f>
        <v>0</v>
      </c>
      <c r="BH363" s="1">
        <f>SUM($AT363,$AA363:AL363)-SUM($AV$5:BH$5)*$J363-SUM($AV$6:BH$6)*$K363</f>
        <v>0</v>
      </c>
      <c r="BI363" s="1">
        <f>SUM($AT363,$AA363:AM363)-SUM($AV$5:BI$5)*$J363-SUM($AV$6:BI$6)*$K363</f>
        <v>0</v>
      </c>
      <c r="BJ363" s="1">
        <f>SUM($AT363,$AA363:AN363)-SUM($AV$5:BJ$5)*$J363-SUM($AV$6:BJ$6)*$K363</f>
        <v>0</v>
      </c>
      <c r="BK363" s="1">
        <f>SUM($AT363,$AA363:AO363)-SUM($AV$5:BK$5)*$J363-SUM($AV$6:BK$6)*$K363</f>
        <v>0</v>
      </c>
      <c r="BL363" s="1">
        <f>SUM($AT363,$AA363:AP363)-SUM($AV$5:BL$5)*$J363-SUM($AV$6:BL$6)*$K363</f>
        <v>0</v>
      </c>
      <c r="BM363" s="1">
        <f>SUM($AT363,$AA363:AQ363)-SUM($AV$5:BM$5)*$J363-SUM($AV$6:BM$6)*$K363</f>
        <v>0</v>
      </c>
      <c r="BN363" s="1">
        <f>SUM($AT363,$AA363:AR363)-SUM($AV$5:BN$5)*$J363-SUM($AV$6:BN$6)*$K363</f>
        <v>0</v>
      </c>
    </row>
    <row r="364" spans="1:66">
      <c r="A364" s="1">
        <v>375</v>
      </c>
      <c r="B364" s="28" t="s">
        <v>1103</v>
      </c>
      <c r="C364" s="1" t="s">
        <v>40</v>
      </c>
      <c r="D364" s="2">
        <v>401354460</v>
      </c>
      <c r="E364" s="3" t="s">
        <v>1104</v>
      </c>
      <c r="F364" s="1">
        <v>401424469</v>
      </c>
      <c r="G364" s="1" t="s">
        <v>42</v>
      </c>
      <c r="H364" s="1">
        <v>2</v>
      </c>
      <c r="I364" s="1">
        <v>8</v>
      </c>
      <c r="J364" s="1">
        <v>0</v>
      </c>
      <c r="K364" s="1">
        <v>0</v>
      </c>
      <c r="L364" s="1">
        <v>8</v>
      </c>
      <c r="M364" s="1">
        <f t="shared" si="14"/>
        <v>2208</v>
      </c>
      <c r="N364" s="1">
        <f t="shared" si="15"/>
        <v>2208</v>
      </c>
      <c r="O364" s="2" t="s">
        <v>1105</v>
      </c>
      <c r="P364" s="1"/>
      <c r="Q364" s="1">
        <v>2.06</v>
      </c>
      <c r="R364" s="1" t="s">
        <v>44</v>
      </c>
      <c r="S364" s="30" t="s">
        <v>66</v>
      </c>
      <c r="T364" s="31" t="s">
        <v>1106</v>
      </c>
      <c r="U364" s="1"/>
      <c r="V364" s="1">
        <v>3500</v>
      </c>
      <c r="W364" s="1" t="s">
        <v>1107</v>
      </c>
      <c r="X364" s="33" t="s">
        <v>1108</v>
      </c>
      <c r="Y364" s="1" t="s">
        <v>1109</v>
      </c>
      <c r="Z364" s="2" t="s">
        <v>1105</v>
      </c>
      <c r="AA364" s="1"/>
      <c r="AB364" s="1"/>
      <c r="AC364" s="1"/>
      <c r="AD364" s="1"/>
      <c r="AE364" s="1"/>
      <c r="AF364" s="1"/>
      <c r="AG364" s="1"/>
      <c r="AH364" s="1"/>
      <c r="AI364" s="1"/>
      <c r="AJ364" s="1"/>
      <c r="AK364" s="1"/>
      <c r="AL364" s="1"/>
      <c r="AM364" s="1"/>
      <c r="AN364" s="1"/>
      <c r="AO364" s="1"/>
      <c r="AP364" s="1"/>
      <c r="AQ364" s="1"/>
      <c r="AR364" s="1"/>
      <c r="AS364" s="1"/>
      <c r="AT364" s="1"/>
      <c r="AU364" s="1"/>
      <c r="AV364" s="1">
        <f>SUM($AT364,Z364:$AA364)-SUM($AV$5:AV$5)*$J364-SUM($AV$6:AV$6)*$K364</f>
        <v>0</v>
      </c>
      <c r="AW364" s="1">
        <f>SUM($AT364,$AA364:AA364)-SUM($AV$5:AW$5)*$J364-SUM($AV$6:AW$6)*$K364</f>
        <v>0</v>
      </c>
      <c r="AX364" s="1">
        <f>SUM($AT364,$AA364:AB364)-SUM($AV$5:AX$5)*$J364-SUM($AV$6:AX$6)*$K364</f>
        <v>0</v>
      </c>
      <c r="AY364" s="1">
        <f>SUM($AT364,$AA364:AC364)-SUM($AV$5:AY$5)*$J364-SUM($AV$6:AY$6)*$K364</f>
        <v>0</v>
      </c>
      <c r="AZ364" s="1">
        <f>SUM($AT364,$AA364:AD364)-SUM($AV$5:AZ$5)*$J364-SUM($AV$6:AZ$6)*$K364</f>
        <v>0</v>
      </c>
      <c r="BA364" s="1">
        <f>SUM($AT364,$AA364:AE364)-SUM($AV$5:BA$5)*$J364-SUM($AV$6:BA$6)*$K364</f>
        <v>0</v>
      </c>
      <c r="BB364" s="1">
        <f>SUM($AT364,$AA364:AF364)-SUM($AV$5:BB$5)*$J364-SUM($AV$6:BB$6)*$K364</f>
        <v>0</v>
      </c>
      <c r="BC364" s="1">
        <f>SUM($AT364,$AA364:AG364)-SUM($AV$5:BC$5)*$J364-SUM($AV$6:BC$6)*$K364</f>
        <v>0</v>
      </c>
      <c r="BD364" s="1">
        <f>SUM($AT364,$AA364:AH364)-SUM($AV$5:BD$5)*$J364-SUM($AV$6:BD$6)*$K364</f>
        <v>0</v>
      </c>
      <c r="BE364" s="1">
        <f>SUM($AT364,$AA364:AI364)-SUM($AV$5:BE$5)*$J364-SUM($AV$6:BE$6)*$K364</f>
        <v>0</v>
      </c>
      <c r="BF364" s="1">
        <f>SUM($AT364,$AA364:AJ364)-SUM($AV$5:BF$5)*$J364-SUM($AV$6:BF$6)*$K364</f>
        <v>0</v>
      </c>
      <c r="BG364" s="1">
        <f>SUM($AT364,$AA364:AK364)-SUM($AV$5:BG$5)*$J364-SUM($AV$6:BG$6)*$K364</f>
        <v>0</v>
      </c>
      <c r="BH364" s="1">
        <f>SUM($AT364,$AA364:AL364)-SUM($AV$5:BH$5)*$J364-SUM($AV$6:BH$6)*$K364</f>
        <v>0</v>
      </c>
      <c r="BI364" s="1">
        <f>SUM($AT364,$AA364:AM364)-SUM($AV$5:BI$5)*$J364-SUM($AV$6:BI$6)*$K364</f>
        <v>0</v>
      </c>
      <c r="BJ364" s="1">
        <f>SUM($AT364,$AA364:AN364)-SUM($AV$5:BJ$5)*$J364-SUM($AV$6:BJ$6)*$K364</f>
        <v>0</v>
      </c>
      <c r="BK364" s="1">
        <f>SUM($AT364,$AA364:AO364)-SUM($AV$5:BK$5)*$J364-SUM($AV$6:BK$6)*$K364</f>
        <v>0</v>
      </c>
      <c r="BL364" s="1">
        <f>SUM($AT364,$AA364:AP364)-SUM($AV$5:BL$5)*$J364-SUM($AV$6:BL$6)*$K364</f>
        <v>0</v>
      </c>
      <c r="BM364" s="1">
        <f>SUM($AT364,$AA364:AQ364)-SUM($AV$5:BM$5)*$J364-SUM($AV$6:BM$6)*$K364</f>
        <v>0</v>
      </c>
      <c r="BN364" s="1">
        <f>SUM($AT364,$AA364:AR364)-SUM($AV$5:BN$5)*$J364-SUM($AV$6:BN$6)*$K364</f>
        <v>0</v>
      </c>
    </row>
    <row r="365" spans="1:66">
      <c r="A365" s="1">
        <v>430</v>
      </c>
      <c r="B365" s="28" t="s">
        <v>1110</v>
      </c>
      <c r="C365" s="1" t="s">
        <v>40</v>
      </c>
      <c r="D365" s="2" t="s">
        <v>1111</v>
      </c>
      <c r="E365" s="3" t="s">
        <v>1112</v>
      </c>
      <c r="F365" s="1"/>
      <c r="G365" s="1" t="s">
        <v>42</v>
      </c>
      <c r="H365" s="1">
        <v>2</v>
      </c>
      <c r="I365" s="1">
        <v>1</v>
      </c>
      <c r="J365" s="1">
        <v>1</v>
      </c>
      <c r="K365" s="1">
        <v>0</v>
      </c>
      <c r="L365" s="1">
        <v>0</v>
      </c>
      <c r="M365" s="1">
        <f t="shared" si="14"/>
        <v>582</v>
      </c>
      <c r="N365" s="1">
        <f t="shared" si="15"/>
        <v>582</v>
      </c>
      <c r="O365" s="2" t="s">
        <v>505</v>
      </c>
      <c r="P365" s="1"/>
      <c r="Q365" s="1">
        <v>4.55</v>
      </c>
      <c r="R365" s="1" t="s">
        <v>44</v>
      </c>
      <c r="S365" s="30" t="s">
        <v>45</v>
      </c>
      <c r="T365" s="31" t="s">
        <v>505</v>
      </c>
      <c r="U365" s="1"/>
      <c r="V365" s="1">
        <v>375</v>
      </c>
      <c r="W365" s="1" t="s">
        <v>506</v>
      </c>
      <c r="X365" s="32" t="s">
        <v>507</v>
      </c>
      <c r="Y365" s="1" t="s">
        <v>508</v>
      </c>
      <c r="Z365" s="2" t="s">
        <v>505</v>
      </c>
      <c r="AA365" s="1"/>
      <c r="AB365" s="1"/>
      <c r="AC365" s="1">
        <v>750</v>
      </c>
      <c r="AD365" s="1"/>
      <c r="AE365" s="1"/>
      <c r="AF365" s="1"/>
      <c r="AG365" s="1"/>
      <c r="AH365" s="1"/>
      <c r="AI365" s="1"/>
      <c r="AJ365" s="1"/>
      <c r="AK365" s="1"/>
      <c r="AL365" s="1"/>
      <c r="AM365" s="1"/>
      <c r="AN365" s="1"/>
      <c r="AO365" s="1"/>
      <c r="AP365" s="1"/>
      <c r="AQ365" s="1"/>
      <c r="AR365" s="1"/>
      <c r="AS365" s="1"/>
      <c r="AT365" s="1"/>
      <c r="AU365" s="1"/>
      <c r="AV365" s="1">
        <f>SUM($AT365,Z365:$AA365)-SUM($AV$5:AV$5)*$J365-SUM($AV$6:AV$6)*$K365</f>
        <v>0</v>
      </c>
      <c r="AW365" s="1">
        <f>SUM($AT365,$AA365:AA365)-SUM($AV$5:AW$5)*$J365-SUM($AV$6:AW$6)*$K365</f>
        <v>0</v>
      </c>
      <c r="AX365" s="1">
        <f>SUM($AT365,$AA365:AB365)-SUM($AV$5:AX$5)*$J365-SUM($AV$6:AX$6)*$K365</f>
        <v>0</v>
      </c>
      <c r="AY365" s="1">
        <f>SUM($AT365,$AA365:AC365)-SUM($AV$5:AY$5)*$J365-SUM($AV$6:AY$6)*$K365</f>
        <v>750</v>
      </c>
      <c r="AZ365" s="1">
        <f>SUM($AT365,$AA365:AD365)-SUM($AV$5:AZ$5)*$J365-SUM($AV$6:AZ$6)*$K365</f>
        <v>710</v>
      </c>
      <c r="BA365" s="1">
        <f>SUM($AT365,$AA365:AE365)-SUM($AV$5:BA$5)*$J365-SUM($AV$6:BA$6)*$K365</f>
        <v>670</v>
      </c>
      <c r="BB365" s="1">
        <f>SUM($AT365,$AA365:AF365)-SUM($AV$5:BB$5)*$J365-SUM($AV$6:BB$6)*$K365</f>
        <v>630</v>
      </c>
      <c r="BC365" s="1">
        <f>SUM($AT365,$AA365:AG365)-SUM($AV$5:BC$5)*$J365-SUM($AV$6:BC$6)*$K365</f>
        <v>590</v>
      </c>
      <c r="BD365" s="1">
        <f>SUM($AT365,$AA365:AH365)-SUM($AV$5:BD$5)*$J365-SUM($AV$6:BD$6)*$K365</f>
        <v>550</v>
      </c>
      <c r="BE365" s="1">
        <f>SUM($AT365,$AA365:AI365)-SUM($AV$5:BE$5)*$J365-SUM($AV$6:BE$6)*$K365</f>
        <v>510</v>
      </c>
      <c r="BF365" s="1">
        <f>SUM($AT365,$AA365:AJ365)-SUM($AV$5:BF$5)*$J365-SUM($AV$6:BF$6)*$K365</f>
        <v>470</v>
      </c>
      <c r="BG365" s="1">
        <f>SUM($AT365,$AA365:AK365)-SUM($AV$5:BG$5)*$J365-SUM($AV$6:BG$6)*$K365</f>
        <v>430</v>
      </c>
      <c r="BH365" s="1">
        <f>SUM($AT365,$AA365:AL365)-SUM($AV$5:BH$5)*$J365-SUM($AV$6:BH$6)*$K365</f>
        <v>390</v>
      </c>
      <c r="BI365" s="1">
        <f>SUM($AT365,$AA365:AM365)-SUM($AV$5:BI$5)*$J365-SUM($AV$6:BI$6)*$K365</f>
        <v>350</v>
      </c>
      <c r="BJ365" s="1">
        <f>SUM($AT365,$AA365:AN365)-SUM($AV$5:BJ$5)*$J365-SUM($AV$6:BJ$6)*$K365</f>
        <v>310</v>
      </c>
      <c r="BK365" s="1">
        <f>SUM($AT365,$AA365:AO365)-SUM($AV$5:BK$5)*$J365-SUM($AV$6:BK$6)*$K365</f>
        <v>270</v>
      </c>
      <c r="BL365" s="1">
        <f>SUM($AT365,$AA365:AP365)-SUM($AV$5:BL$5)*$J365-SUM($AV$6:BL$6)*$K365</f>
        <v>230</v>
      </c>
      <c r="BM365" s="1">
        <f>SUM($AT365,$AA365:AQ365)-SUM($AV$5:BM$5)*$J365-SUM($AV$6:BM$6)*$K365</f>
        <v>190</v>
      </c>
      <c r="BN365" s="1">
        <f>SUM($AT365,$AA365:AR365)-SUM($AV$5:BN$5)*$J365-SUM($AV$6:BN$6)*$K365</f>
        <v>168</v>
      </c>
    </row>
    <row r="366" spans="1:66">
      <c r="A366" s="1">
        <v>435</v>
      </c>
      <c r="B366" s="28" t="s">
        <v>1113</v>
      </c>
      <c r="C366" s="1" t="s">
        <v>40</v>
      </c>
      <c r="D366" s="2">
        <v>400557075</v>
      </c>
      <c r="E366" s="3" t="s">
        <v>1114</v>
      </c>
      <c r="F366" s="1">
        <v>406607275</v>
      </c>
      <c r="G366" s="1" t="s">
        <v>42</v>
      </c>
      <c r="H366" s="1">
        <v>2</v>
      </c>
      <c r="I366" s="1">
        <v>4</v>
      </c>
      <c r="J366" s="1">
        <v>4</v>
      </c>
      <c r="K366" s="1">
        <v>0</v>
      </c>
      <c r="L366" s="1">
        <v>0</v>
      </c>
      <c r="M366" s="1">
        <f t="shared" si="14"/>
        <v>2328</v>
      </c>
      <c r="N366" s="1">
        <f t="shared" si="15"/>
        <v>2328</v>
      </c>
      <c r="O366" s="2" t="s">
        <v>358</v>
      </c>
      <c r="P366" s="1"/>
      <c r="Q366" s="1">
        <v>0.3</v>
      </c>
      <c r="R366" s="1" t="s">
        <v>44</v>
      </c>
      <c r="S366" s="30" t="s">
        <v>359</v>
      </c>
      <c r="T366" s="31" t="s">
        <v>360</v>
      </c>
      <c r="U366" s="1"/>
      <c r="V366" s="1">
        <v>250</v>
      </c>
      <c r="W366" s="1" t="s">
        <v>361</v>
      </c>
      <c r="X366" s="32" t="s">
        <v>362</v>
      </c>
      <c r="Y366" s="1" t="s">
        <v>363</v>
      </c>
      <c r="Z366" s="2" t="s">
        <v>358</v>
      </c>
      <c r="AA366" s="1"/>
      <c r="AB366" s="1"/>
      <c r="AC366" s="1"/>
      <c r="AD366" s="1"/>
      <c r="AE366" s="1"/>
      <c r="AF366" s="1"/>
      <c r="AG366" s="1"/>
      <c r="AH366" s="1"/>
      <c r="AI366" s="1"/>
      <c r="AJ366" s="1"/>
      <c r="AK366" s="1"/>
      <c r="AL366" s="1"/>
      <c r="AM366" s="1"/>
      <c r="AN366" s="1"/>
      <c r="AO366" s="1"/>
      <c r="AP366" s="1"/>
      <c r="AQ366" s="1"/>
      <c r="AR366" s="1"/>
      <c r="AS366" s="1"/>
      <c r="AT366" s="1"/>
      <c r="AU366" s="1"/>
      <c r="AV366" s="1">
        <f>SUM($AT366,Z366:$AA366)-SUM($AV$5:AV$5)*$J366-SUM($AV$6:AV$6)*$K366</f>
        <v>0</v>
      </c>
      <c r="AW366" s="1">
        <f>SUM($AT366,$AA366:AA366)-SUM($AV$5:AW$5)*$J366-SUM($AV$6:AW$6)*$K366</f>
        <v>0</v>
      </c>
      <c r="AX366" s="1">
        <f>SUM($AT366,$AA366:AB366)-SUM($AV$5:AX$5)*$J366-SUM($AV$6:AX$6)*$K366</f>
        <v>0</v>
      </c>
      <c r="AY366" s="1">
        <f>SUM($AT366,$AA366:AC366)-SUM($AV$5:AY$5)*$J366-SUM($AV$6:AY$6)*$K366</f>
        <v>0</v>
      </c>
      <c r="AZ366" s="1">
        <f>SUM($AT366,$AA366:AD366)-SUM($AV$5:AZ$5)*$J366-SUM($AV$6:AZ$6)*$K366</f>
        <v>-160</v>
      </c>
      <c r="BA366" s="1">
        <f>SUM($AT366,$AA366:AE366)-SUM($AV$5:BA$5)*$J366-SUM($AV$6:BA$6)*$K366</f>
        <v>-320</v>
      </c>
      <c r="BB366" s="1">
        <f>SUM($AT366,$AA366:AF366)-SUM($AV$5:BB$5)*$J366-SUM($AV$6:BB$6)*$K366</f>
        <v>-480</v>
      </c>
      <c r="BC366" s="1">
        <f>SUM($AT366,$AA366:AG366)-SUM($AV$5:BC$5)*$J366-SUM($AV$6:BC$6)*$K366</f>
        <v>-640</v>
      </c>
      <c r="BD366" s="1">
        <f>SUM($AT366,$AA366:AH366)-SUM($AV$5:BD$5)*$J366-SUM($AV$6:BD$6)*$K366</f>
        <v>-800</v>
      </c>
      <c r="BE366" s="1">
        <f>SUM($AT366,$AA366:AI366)-SUM($AV$5:BE$5)*$J366-SUM($AV$6:BE$6)*$K366</f>
        <v>-960</v>
      </c>
      <c r="BF366" s="1">
        <f>SUM($AT366,$AA366:AJ366)-SUM($AV$5:BF$5)*$J366-SUM($AV$6:BF$6)*$K366</f>
        <v>-1120</v>
      </c>
      <c r="BG366" s="1">
        <f>SUM($AT366,$AA366:AK366)-SUM($AV$5:BG$5)*$J366-SUM($AV$6:BG$6)*$K366</f>
        <v>-1280</v>
      </c>
      <c r="BH366" s="1">
        <f>SUM($AT366,$AA366:AL366)-SUM($AV$5:BH$5)*$J366-SUM($AV$6:BH$6)*$K366</f>
        <v>-1440</v>
      </c>
      <c r="BI366" s="1">
        <f>SUM($AT366,$AA366:AM366)-SUM($AV$5:BI$5)*$J366-SUM($AV$6:BI$6)*$K366</f>
        <v>-1600</v>
      </c>
      <c r="BJ366" s="1">
        <f>SUM($AT366,$AA366:AN366)-SUM($AV$5:BJ$5)*$J366-SUM($AV$6:BJ$6)*$K366</f>
        <v>-1760</v>
      </c>
      <c r="BK366" s="1">
        <f>SUM($AT366,$AA366:AO366)-SUM($AV$5:BK$5)*$J366-SUM($AV$6:BK$6)*$K366</f>
        <v>-1920</v>
      </c>
      <c r="BL366" s="1">
        <f>SUM($AT366,$AA366:AP366)-SUM($AV$5:BL$5)*$J366-SUM($AV$6:BL$6)*$K366</f>
        <v>-2080</v>
      </c>
      <c r="BM366" s="1">
        <f>SUM($AT366,$AA366:AQ366)-SUM($AV$5:BM$5)*$J366-SUM($AV$6:BM$6)*$K366</f>
        <v>-2240</v>
      </c>
      <c r="BN366" s="1">
        <f>SUM($AT366,$AA366:AR366)-SUM($AV$5:BN$5)*$J366-SUM($AV$6:BN$6)*$K366</f>
        <v>-2328</v>
      </c>
    </row>
    <row r="367" spans="1:66">
      <c r="A367" s="1">
        <v>381</v>
      </c>
      <c r="B367" s="45" t="s">
        <v>1115</v>
      </c>
      <c r="C367" s="1" t="s">
        <v>40</v>
      </c>
      <c r="D367" s="2">
        <v>405979951</v>
      </c>
      <c r="E367" s="3" t="s">
        <v>1116</v>
      </c>
      <c r="F367" s="1">
        <v>407346721</v>
      </c>
      <c r="G367" s="1" t="s">
        <v>42</v>
      </c>
      <c r="H367" s="1">
        <v>1</v>
      </c>
      <c r="I367" s="1">
        <v>9</v>
      </c>
      <c r="J367" s="1">
        <v>0</v>
      </c>
      <c r="K367" s="1">
        <v>0</v>
      </c>
      <c r="L367" s="1">
        <v>9</v>
      </c>
      <c r="M367" s="1">
        <f t="shared" si="14"/>
        <v>2484</v>
      </c>
      <c r="N367" s="1">
        <f t="shared" si="15"/>
        <v>2484</v>
      </c>
      <c r="O367" s="2" t="s">
        <v>1117</v>
      </c>
      <c r="P367" s="1"/>
      <c r="Q367" s="1">
        <v>5.59</v>
      </c>
      <c r="R367" s="1" t="s">
        <v>44</v>
      </c>
      <c r="S367" s="30" t="s">
        <v>73</v>
      </c>
      <c r="T367" s="31" t="s">
        <v>273</v>
      </c>
      <c r="U367" s="1"/>
      <c r="V367" s="1">
        <v>3000</v>
      </c>
      <c r="W367" s="1" t="s">
        <v>1118</v>
      </c>
      <c r="X367" s="33" t="s">
        <v>275</v>
      </c>
      <c r="Y367" s="1" t="s">
        <v>276</v>
      </c>
      <c r="Z367" s="2" t="s">
        <v>1117</v>
      </c>
      <c r="AA367" s="1"/>
      <c r="AB367" s="1"/>
      <c r="AC367" s="1"/>
      <c r="AD367" s="1"/>
      <c r="AE367" s="1"/>
      <c r="AF367" s="1"/>
      <c r="AG367" s="1"/>
      <c r="AH367" s="1"/>
      <c r="AI367" s="1"/>
      <c r="AJ367" s="1"/>
      <c r="AK367" s="1"/>
      <c r="AL367" s="1"/>
      <c r="AM367" s="1"/>
      <c r="AN367" s="1"/>
      <c r="AO367" s="1"/>
      <c r="AP367" s="1"/>
      <c r="AQ367" s="1"/>
      <c r="AR367" s="1"/>
      <c r="AS367" s="1"/>
      <c r="AT367" s="1"/>
      <c r="AU367" s="1"/>
      <c r="AV367" s="1">
        <f>SUM($AT367,Z367:$AA367)-SUM($AV$5:AV$5)*$J367-SUM($AV$6:AV$6)*$K367</f>
        <v>0</v>
      </c>
      <c r="AW367" s="1">
        <f>SUM($AT367,$AA367:AA367)-SUM($AV$5:AW$5)*$J367-SUM($AV$6:AW$6)*$K367</f>
        <v>0</v>
      </c>
      <c r="AX367" s="1">
        <f>SUM($AT367,$AA367:AB367)-SUM($AV$5:AX$5)*$J367-SUM($AV$6:AX$6)*$K367</f>
        <v>0</v>
      </c>
      <c r="AY367" s="1">
        <f>SUM($AT367,$AA367:AC367)-SUM($AV$5:AY$5)*$J367-SUM($AV$6:AY$6)*$K367</f>
        <v>0</v>
      </c>
      <c r="AZ367" s="1">
        <f>SUM($AT367,$AA367:AD367)-SUM($AV$5:AZ$5)*$J367-SUM($AV$6:AZ$6)*$K367</f>
        <v>0</v>
      </c>
      <c r="BA367" s="1">
        <f>SUM($AT367,$AA367:AE367)-SUM($AV$5:BA$5)*$J367-SUM($AV$6:BA$6)*$K367</f>
        <v>0</v>
      </c>
      <c r="BB367" s="1">
        <f>SUM($AT367,$AA367:AF367)-SUM($AV$5:BB$5)*$J367-SUM($AV$6:BB$6)*$K367</f>
        <v>0</v>
      </c>
      <c r="BC367" s="1">
        <f>SUM($AT367,$AA367:AG367)-SUM($AV$5:BC$5)*$J367-SUM($AV$6:BC$6)*$K367</f>
        <v>0</v>
      </c>
      <c r="BD367" s="1">
        <f>SUM($AT367,$AA367:AH367)-SUM($AV$5:BD$5)*$J367-SUM($AV$6:BD$6)*$K367</f>
        <v>0</v>
      </c>
      <c r="BE367" s="1">
        <f>SUM($AT367,$AA367:AI367)-SUM($AV$5:BE$5)*$J367-SUM($AV$6:BE$6)*$K367</f>
        <v>0</v>
      </c>
      <c r="BF367" s="1">
        <f>SUM($AT367,$AA367:AJ367)-SUM($AV$5:BF$5)*$J367-SUM($AV$6:BF$6)*$K367</f>
        <v>0</v>
      </c>
      <c r="BG367" s="1">
        <f>SUM($AT367,$AA367:AK367)-SUM($AV$5:BG$5)*$J367-SUM($AV$6:BG$6)*$K367</f>
        <v>0</v>
      </c>
      <c r="BH367" s="1">
        <f>SUM($AT367,$AA367:AL367)-SUM($AV$5:BH$5)*$J367-SUM($AV$6:BH$6)*$K367</f>
        <v>0</v>
      </c>
      <c r="BI367" s="1">
        <f>SUM($AT367,$AA367:AM367)-SUM($AV$5:BI$5)*$J367-SUM($AV$6:BI$6)*$K367</f>
        <v>0</v>
      </c>
      <c r="BJ367" s="1">
        <f>SUM($AT367,$AA367:AN367)-SUM($AV$5:BJ$5)*$J367-SUM($AV$6:BJ$6)*$K367</f>
        <v>0</v>
      </c>
      <c r="BK367" s="1">
        <f>SUM($AT367,$AA367:AO367)-SUM($AV$5:BK$5)*$J367-SUM($AV$6:BK$6)*$K367</f>
        <v>0</v>
      </c>
      <c r="BL367" s="1">
        <f>SUM($AT367,$AA367:AP367)-SUM($AV$5:BL$5)*$J367-SUM($AV$6:BL$6)*$K367</f>
        <v>0</v>
      </c>
      <c r="BM367" s="1">
        <f>SUM($AT367,$AA367:AQ367)-SUM($AV$5:BM$5)*$J367-SUM($AV$6:BM$6)*$K367</f>
        <v>0</v>
      </c>
      <c r="BN367" s="1">
        <f>SUM($AT367,$AA367:AR367)-SUM($AV$5:BN$5)*$J367-SUM($AV$6:BN$6)*$K367</f>
        <v>0</v>
      </c>
    </row>
    <row r="368" spans="1:66">
      <c r="A368" s="1">
        <v>441</v>
      </c>
      <c r="B368" s="28" t="s">
        <v>1119</v>
      </c>
      <c r="C368" s="1" t="s">
        <v>40</v>
      </c>
      <c r="D368" s="2">
        <v>400653140</v>
      </c>
      <c r="E368" s="3" t="s">
        <v>1120</v>
      </c>
      <c r="F368" s="1"/>
      <c r="G368" s="1" t="s">
        <v>42</v>
      </c>
      <c r="H368" s="1">
        <v>2</v>
      </c>
      <c r="I368" s="1">
        <v>2</v>
      </c>
      <c r="J368" s="1">
        <v>0</v>
      </c>
      <c r="K368" s="1">
        <v>0</v>
      </c>
      <c r="L368" s="1">
        <v>2</v>
      </c>
      <c r="M368" s="1">
        <f t="shared" si="14"/>
        <v>552</v>
      </c>
      <c r="N368" s="1">
        <f t="shared" si="15"/>
        <v>552</v>
      </c>
      <c r="O368" s="2" t="s">
        <v>951</v>
      </c>
      <c r="P368" s="1"/>
      <c r="Q368" s="1">
        <v>3.37</v>
      </c>
      <c r="R368" s="1" t="s">
        <v>44</v>
      </c>
      <c r="S368" s="30"/>
      <c r="T368" s="31" t="s">
        <v>952</v>
      </c>
      <c r="U368" s="1"/>
      <c r="V368" s="1">
        <v>250</v>
      </c>
      <c r="W368" s="1" t="s">
        <v>953</v>
      </c>
      <c r="X368" s="33" t="s">
        <v>954</v>
      </c>
      <c r="Y368" s="1" t="s">
        <v>955</v>
      </c>
      <c r="Z368" s="2" t="s">
        <v>951</v>
      </c>
      <c r="AA368" s="1"/>
      <c r="AB368" s="1"/>
      <c r="AC368" s="1"/>
      <c r="AD368" s="1"/>
      <c r="AE368" s="1"/>
      <c r="AF368" s="1"/>
      <c r="AG368" s="1"/>
      <c r="AH368" s="1"/>
      <c r="AI368" s="1"/>
      <c r="AJ368" s="1"/>
      <c r="AK368" s="1"/>
      <c r="AL368" s="1"/>
      <c r="AM368" s="1"/>
      <c r="AN368" s="1"/>
      <c r="AO368" s="1"/>
      <c r="AP368" s="1"/>
      <c r="AQ368" s="1"/>
      <c r="AR368" s="1"/>
      <c r="AS368" s="1"/>
      <c r="AT368" s="1"/>
      <c r="AU368" s="1"/>
      <c r="AV368" s="1">
        <f>SUM($AT368,Z368:$AA368)-SUM($AV$5:AV$5)*$J368-SUM($AV$6:AV$6)*$K368</f>
        <v>0</v>
      </c>
      <c r="AW368" s="1">
        <f>SUM($AT368,$AA368:AA368)-SUM($AV$5:AW$5)*$J368-SUM($AV$6:AW$6)*$K368</f>
        <v>0</v>
      </c>
      <c r="AX368" s="1">
        <f>SUM($AT368,$AA368:AB368)-SUM($AV$5:AX$5)*$J368-SUM($AV$6:AX$6)*$K368</f>
        <v>0</v>
      </c>
      <c r="AY368" s="1">
        <f>SUM($AT368,$AA368:AC368)-SUM($AV$5:AY$5)*$J368-SUM($AV$6:AY$6)*$K368</f>
        <v>0</v>
      </c>
      <c r="AZ368" s="1">
        <f>SUM($AT368,$AA368:AD368)-SUM($AV$5:AZ$5)*$J368-SUM($AV$6:AZ$6)*$K368</f>
        <v>0</v>
      </c>
      <c r="BA368" s="1">
        <f>SUM($AT368,$AA368:AE368)-SUM($AV$5:BA$5)*$J368-SUM($AV$6:BA$6)*$K368</f>
        <v>0</v>
      </c>
      <c r="BB368" s="1">
        <f>SUM($AT368,$AA368:AF368)-SUM($AV$5:BB$5)*$J368-SUM($AV$6:BB$6)*$K368</f>
        <v>0</v>
      </c>
      <c r="BC368" s="1">
        <f>SUM($AT368,$AA368:AG368)-SUM($AV$5:BC$5)*$J368-SUM($AV$6:BC$6)*$K368</f>
        <v>0</v>
      </c>
      <c r="BD368" s="1">
        <f>SUM($AT368,$AA368:AH368)-SUM($AV$5:BD$5)*$J368-SUM($AV$6:BD$6)*$K368</f>
        <v>0</v>
      </c>
      <c r="BE368" s="1">
        <f>SUM($AT368,$AA368:AI368)-SUM($AV$5:BE$5)*$J368-SUM($AV$6:BE$6)*$K368</f>
        <v>0</v>
      </c>
      <c r="BF368" s="1">
        <f>SUM($AT368,$AA368:AJ368)-SUM($AV$5:BF$5)*$J368-SUM($AV$6:BF$6)*$K368</f>
        <v>0</v>
      </c>
      <c r="BG368" s="1">
        <f>SUM($AT368,$AA368:AK368)-SUM($AV$5:BG$5)*$J368-SUM($AV$6:BG$6)*$K368</f>
        <v>0</v>
      </c>
      <c r="BH368" s="1">
        <f>SUM($AT368,$AA368:AL368)-SUM($AV$5:BH$5)*$J368-SUM($AV$6:BH$6)*$K368</f>
        <v>0</v>
      </c>
      <c r="BI368" s="1">
        <f>SUM($AT368,$AA368:AM368)-SUM($AV$5:BI$5)*$J368-SUM($AV$6:BI$6)*$K368</f>
        <v>0</v>
      </c>
      <c r="BJ368" s="1">
        <f>SUM($AT368,$AA368:AN368)-SUM($AV$5:BJ$5)*$J368-SUM($AV$6:BJ$6)*$K368</f>
        <v>0</v>
      </c>
      <c r="BK368" s="1">
        <f>SUM($AT368,$AA368:AO368)-SUM($AV$5:BK$5)*$J368-SUM($AV$6:BK$6)*$K368</f>
        <v>0</v>
      </c>
      <c r="BL368" s="1">
        <f>SUM($AT368,$AA368:AP368)-SUM($AV$5:BL$5)*$J368-SUM($AV$6:BL$6)*$K368</f>
        <v>0</v>
      </c>
      <c r="BM368" s="1">
        <f>SUM($AT368,$AA368:AQ368)-SUM($AV$5:BM$5)*$J368-SUM($AV$6:BM$6)*$K368</f>
        <v>0</v>
      </c>
      <c r="BN368" s="1">
        <f>SUM($AT368,$AA368:AR368)-SUM($AV$5:BN$5)*$J368-SUM($AV$6:BN$6)*$K368</f>
        <v>0</v>
      </c>
    </row>
    <row r="369" spans="1:66">
      <c r="A369" s="1">
        <v>442</v>
      </c>
      <c r="B369" s="28" t="s">
        <v>1121</v>
      </c>
      <c r="C369" s="1" t="s">
        <v>40</v>
      </c>
      <c r="D369" s="2">
        <v>400653151</v>
      </c>
      <c r="E369" s="3" t="s">
        <v>1122</v>
      </c>
      <c r="F369" s="1"/>
      <c r="G369" s="1" t="s">
        <v>42</v>
      </c>
      <c r="H369" s="1">
        <v>2</v>
      </c>
      <c r="I369" s="1">
        <v>4</v>
      </c>
      <c r="J369" s="1">
        <v>0</v>
      </c>
      <c r="K369" s="1">
        <v>0</v>
      </c>
      <c r="L369" s="1">
        <v>4</v>
      </c>
      <c r="M369" s="1">
        <f t="shared" si="14"/>
        <v>1104</v>
      </c>
      <c r="N369" s="1">
        <f t="shared" si="15"/>
        <v>1104</v>
      </c>
      <c r="O369" s="2" t="s">
        <v>951</v>
      </c>
      <c r="P369" s="1"/>
      <c r="Q369" s="1">
        <v>3.31</v>
      </c>
      <c r="R369" s="1" t="s">
        <v>44</v>
      </c>
      <c r="S369" s="30"/>
      <c r="T369" s="31" t="s">
        <v>952</v>
      </c>
      <c r="U369" s="1"/>
      <c r="V369" s="1">
        <v>250</v>
      </c>
      <c r="W369" s="1" t="s">
        <v>953</v>
      </c>
      <c r="X369" s="33" t="s">
        <v>954</v>
      </c>
      <c r="Y369" s="1" t="s">
        <v>955</v>
      </c>
      <c r="Z369" s="2" t="s">
        <v>951</v>
      </c>
      <c r="AA369" s="1"/>
      <c r="AB369" s="1"/>
      <c r="AC369" s="1"/>
      <c r="AD369" s="1"/>
      <c r="AE369" s="1"/>
      <c r="AF369" s="1"/>
      <c r="AG369" s="1"/>
      <c r="AH369" s="1"/>
      <c r="AI369" s="1"/>
      <c r="AJ369" s="1"/>
      <c r="AK369" s="1"/>
      <c r="AL369" s="1"/>
      <c r="AM369" s="1"/>
      <c r="AN369" s="1"/>
      <c r="AO369" s="1"/>
      <c r="AP369" s="1"/>
      <c r="AQ369" s="1"/>
      <c r="AR369" s="1"/>
      <c r="AS369" s="1"/>
      <c r="AT369" s="1"/>
      <c r="AU369" s="1"/>
      <c r="AV369" s="1">
        <f>SUM($AT369,Z369:$AA369)-SUM($AV$5:AV$5)*$J369-SUM($AV$6:AV$6)*$K369</f>
        <v>0</v>
      </c>
      <c r="AW369" s="1">
        <f>SUM($AT369,$AA369:AA369)-SUM($AV$5:AW$5)*$J369-SUM($AV$6:AW$6)*$K369</f>
        <v>0</v>
      </c>
      <c r="AX369" s="1">
        <f>SUM($AT369,$AA369:AB369)-SUM($AV$5:AX$5)*$J369-SUM($AV$6:AX$6)*$K369</f>
        <v>0</v>
      </c>
      <c r="AY369" s="1">
        <f>SUM($AT369,$AA369:AC369)-SUM($AV$5:AY$5)*$J369-SUM($AV$6:AY$6)*$K369</f>
        <v>0</v>
      </c>
      <c r="AZ369" s="1">
        <f>SUM($AT369,$AA369:AD369)-SUM($AV$5:AZ$5)*$J369-SUM($AV$6:AZ$6)*$K369</f>
        <v>0</v>
      </c>
      <c r="BA369" s="1">
        <f>SUM($AT369,$AA369:AE369)-SUM($AV$5:BA$5)*$J369-SUM($AV$6:BA$6)*$K369</f>
        <v>0</v>
      </c>
      <c r="BB369" s="1">
        <f>SUM($AT369,$AA369:AF369)-SUM($AV$5:BB$5)*$J369-SUM($AV$6:BB$6)*$K369</f>
        <v>0</v>
      </c>
      <c r="BC369" s="1">
        <f>SUM($AT369,$AA369:AG369)-SUM($AV$5:BC$5)*$J369-SUM($AV$6:BC$6)*$K369</f>
        <v>0</v>
      </c>
      <c r="BD369" s="1">
        <f>SUM($AT369,$AA369:AH369)-SUM($AV$5:BD$5)*$J369-SUM($AV$6:BD$6)*$K369</f>
        <v>0</v>
      </c>
      <c r="BE369" s="1">
        <f>SUM($AT369,$AA369:AI369)-SUM($AV$5:BE$5)*$J369-SUM($AV$6:BE$6)*$K369</f>
        <v>0</v>
      </c>
      <c r="BF369" s="1">
        <f>SUM($AT369,$AA369:AJ369)-SUM($AV$5:BF$5)*$J369-SUM($AV$6:BF$6)*$K369</f>
        <v>0</v>
      </c>
      <c r="BG369" s="1">
        <f>SUM($AT369,$AA369:AK369)-SUM($AV$5:BG$5)*$J369-SUM($AV$6:BG$6)*$K369</f>
        <v>0</v>
      </c>
      <c r="BH369" s="1">
        <f>SUM($AT369,$AA369:AL369)-SUM($AV$5:BH$5)*$J369-SUM($AV$6:BH$6)*$K369</f>
        <v>0</v>
      </c>
      <c r="BI369" s="1">
        <f>SUM($AT369,$AA369:AM369)-SUM($AV$5:BI$5)*$J369-SUM($AV$6:BI$6)*$K369</f>
        <v>0</v>
      </c>
      <c r="BJ369" s="1">
        <f>SUM($AT369,$AA369:AN369)-SUM($AV$5:BJ$5)*$J369-SUM($AV$6:BJ$6)*$K369</f>
        <v>0</v>
      </c>
      <c r="BK369" s="1">
        <f>SUM($AT369,$AA369:AO369)-SUM($AV$5:BK$5)*$J369-SUM($AV$6:BK$6)*$K369</f>
        <v>0</v>
      </c>
      <c r="BL369" s="1">
        <f>SUM($AT369,$AA369:AP369)-SUM($AV$5:BL$5)*$J369-SUM($AV$6:BL$6)*$K369</f>
        <v>0</v>
      </c>
      <c r="BM369" s="1">
        <f>SUM($AT369,$AA369:AQ369)-SUM($AV$5:BM$5)*$J369-SUM($AV$6:BM$6)*$K369</f>
        <v>0</v>
      </c>
      <c r="BN369" s="1">
        <f>SUM($AT369,$AA369:AR369)-SUM($AV$5:BN$5)*$J369-SUM($AV$6:BN$6)*$K369</f>
        <v>0</v>
      </c>
    </row>
    <row r="370" spans="1:66">
      <c r="A370" s="1">
        <v>44</v>
      </c>
      <c r="B370" s="28" t="s">
        <v>1123</v>
      </c>
      <c r="C370" s="1" t="s">
        <v>151</v>
      </c>
      <c r="D370" s="2">
        <v>415251806</v>
      </c>
      <c r="E370" s="3" t="s">
        <v>1124</v>
      </c>
      <c r="F370" s="1"/>
      <c r="G370" s="1" t="s">
        <v>42</v>
      </c>
      <c r="H370" s="1">
        <v>2</v>
      </c>
      <c r="I370" s="1">
        <v>2</v>
      </c>
      <c r="J370" s="1">
        <v>0</v>
      </c>
      <c r="K370" s="1">
        <v>2</v>
      </c>
      <c r="L370" s="1">
        <v>0</v>
      </c>
      <c r="M370" s="1">
        <f t="shared" si="14"/>
        <v>552</v>
      </c>
      <c r="N370" s="1">
        <f t="shared" si="15"/>
        <v>552</v>
      </c>
      <c r="O370" s="31" t="s">
        <v>1125</v>
      </c>
      <c r="P370" s="1"/>
      <c r="Q370" s="1">
        <v>9.9</v>
      </c>
      <c r="R370" s="1" t="s">
        <v>44</v>
      </c>
      <c r="S370" s="30"/>
      <c r="T370" s="31" t="s">
        <v>1125</v>
      </c>
      <c r="U370" s="1">
        <v>1</v>
      </c>
      <c r="V370" s="1">
        <v>1</v>
      </c>
      <c r="W370" s="1" t="s">
        <v>1126</v>
      </c>
      <c r="X370" s="33" t="s">
        <v>1127</v>
      </c>
      <c r="Y370" s="1" t="s">
        <v>1109</v>
      </c>
      <c r="Z370" s="2" t="s">
        <v>1128</v>
      </c>
      <c r="AA370" s="1"/>
      <c r="AB370" s="1"/>
      <c r="AC370" s="1"/>
      <c r="AD370" s="1"/>
      <c r="AE370" s="1"/>
      <c r="AF370" s="1"/>
      <c r="AG370" s="1"/>
      <c r="AH370" s="1"/>
      <c r="AI370" s="1"/>
      <c r="AJ370" s="1"/>
      <c r="AK370" s="1"/>
      <c r="AL370" s="1"/>
      <c r="AM370" s="1"/>
      <c r="AN370" s="1"/>
      <c r="AO370" s="1"/>
      <c r="AP370" s="1"/>
      <c r="AQ370" s="1"/>
      <c r="AR370" s="1"/>
      <c r="AS370" s="1"/>
      <c r="AT370" s="1"/>
      <c r="AU370" s="1"/>
      <c r="AV370" s="1">
        <f>SUM($AT370,Z370:$AA370)-SUM($AV$5:AV$5)*$J370-SUM($AV$6:AV$6)*$K370</f>
        <v>0</v>
      </c>
      <c r="AW370" s="1">
        <f>SUM($AT370,$AA370:AA370)-SUM($AV$5:AW$5)*$J370-SUM($AV$6:AW$6)*$K370</f>
        <v>0</v>
      </c>
      <c r="AX370" s="1">
        <f>SUM($AT370,$AA370:AB370)-SUM($AV$5:AX$5)*$J370-SUM($AV$6:AX$6)*$K370</f>
        <v>0</v>
      </c>
      <c r="AY370" s="1">
        <f>SUM($AT370,$AA370:AC370)-SUM($AV$5:AY$5)*$J370-SUM($AV$6:AY$6)*$K370</f>
        <v>0</v>
      </c>
      <c r="AZ370" s="1">
        <f>SUM($AT370,$AA370:AD370)-SUM($AV$5:AZ$5)*$J370-SUM($AV$6:AZ$6)*$K370</f>
        <v>-20</v>
      </c>
      <c r="BA370" s="1">
        <f>SUM($AT370,$AA370:AE370)-SUM($AV$5:BA$5)*$J370-SUM($AV$6:BA$6)*$K370</f>
        <v>-60</v>
      </c>
      <c r="BB370" s="1">
        <f>SUM($AT370,$AA370:AF370)-SUM($AV$5:BB$5)*$J370-SUM($AV$6:BB$6)*$K370</f>
        <v>-240</v>
      </c>
      <c r="BC370" s="1">
        <f>SUM($AT370,$AA370:AG370)-SUM($AV$5:BC$5)*$J370-SUM($AV$6:BC$6)*$K370</f>
        <v>-420</v>
      </c>
      <c r="BD370" s="1">
        <f>SUM($AT370,$AA370:AH370)-SUM($AV$5:BD$5)*$J370-SUM($AV$6:BD$6)*$K370</f>
        <v>-552</v>
      </c>
      <c r="BE370" s="1">
        <f>SUM($AT370,$AA370:AI370)-SUM($AV$5:BE$5)*$J370-SUM($AV$6:BE$6)*$K370</f>
        <v>-552</v>
      </c>
      <c r="BF370" s="1">
        <f>SUM($AT370,$AA370:AJ370)-SUM($AV$5:BF$5)*$J370-SUM($AV$6:BF$6)*$K370</f>
        <v>-552</v>
      </c>
      <c r="BG370" s="1">
        <f>SUM($AT370,$AA370:AK370)-SUM($AV$5:BG$5)*$J370-SUM($AV$6:BG$6)*$K370</f>
        <v>-552</v>
      </c>
      <c r="BH370" s="1">
        <f>SUM($AT370,$AA370:AL370)-SUM($AV$5:BH$5)*$J370-SUM($AV$6:BH$6)*$K370</f>
        <v>-552</v>
      </c>
      <c r="BI370" s="1">
        <f>SUM($AT370,$AA370:AM370)-SUM($AV$5:BI$5)*$J370-SUM($AV$6:BI$6)*$K370</f>
        <v>-552</v>
      </c>
      <c r="BJ370" s="1">
        <f>SUM($AT370,$AA370:AN370)-SUM($AV$5:BJ$5)*$J370-SUM($AV$6:BJ$6)*$K370</f>
        <v>-552</v>
      </c>
      <c r="BK370" s="1">
        <f>SUM($AT370,$AA370:AO370)-SUM($AV$5:BK$5)*$J370-SUM($AV$6:BK$6)*$K370</f>
        <v>-552</v>
      </c>
      <c r="BL370" s="1">
        <f>SUM($AT370,$AA370:AP370)-SUM($AV$5:BL$5)*$J370-SUM($AV$6:BL$6)*$K370</f>
        <v>-552</v>
      </c>
      <c r="BM370" s="1">
        <f>SUM($AT370,$AA370:AQ370)-SUM($AV$5:BM$5)*$J370-SUM($AV$6:BM$6)*$K370</f>
        <v>-552</v>
      </c>
      <c r="BN370" s="1">
        <f>SUM($AT370,$AA370:AR370)-SUM($AV$5:BN$5)*$J370-SUM($AV$6:BN$6)*$K370</f>
        <v>-552</v>
      </c>
    </row>
    <row r="371" spans="1:66">
      <c r="A371" s="1">
        <v>47</v>
      </c>
      <c r="B371" s="28" t="s">
        <v>1129</v>
      </c>
      <c r="C371" s="1" t="s">
        <v>151</v>
      </c>
      <c r="D371" s="2">
        <v>415431827</v>
      </c>
      <c r="E371" s="3" t="s">
        <v>1130</v>
      </c>
      <c r="F371" s="1"/>
      <c r="G371" s="1" t="s">
        <v>42</v>
      </c>
      <c r="H371" s="1">
        <v>1</v>
      </c>
      <c r="I371" s="1">
        <v>4</v>
      </c>
      <c r="J371" s="1">
        <v>0</v>
      </c>
      <c r="K371" s="1">
        <v>0</v>
      </c>
      <c r="L371" s="1">
        <v>4</v>
      </c>
      <c r="M371" s="1">
        <f t="shared" si="14"/>
        <v>1104</v>
      </c>
      <c r="N371" s="1">
        <f t="shared" si="15"/>
        <v>1104</v>
      </c>
      <c r="O371" s="31" t="s">
        <v>1125</v>
      </c>
      <c r="P371" s="1"/>
      <c r="Q371" s="1">
        <v>2.85</v>
      </c>
      <c r="R371" s="1" t="s">
        <v>44</v>
      </c>
      <c r="S371" s="30"/>
      <c r="T371" s="31" t="s">
        <v>1125</v>
      </c>
      <c r="U371" s="1">
        <v>1</v>
      </c>
      <c r="V371" s="1">
        <v>1</v>
      </c>
      <c r="W371" s="1" t="s">
        <v>1126</v>
      </c>
      <c r="X371" s="33" t="s">
        <v>1127</v>
      </c>
      <c r="Y371" s="1" t="s">
        <v>1109</v>
      </c>
      <c r="Z371" s="2" t="s">
        <v>1128</v>
      </c>
      <c r="AA371" s="1"/>
      <c r="AB371" s="1"/>
      <c r="AC371" s="1"/>
      <c r="AD371" s="1"/>
      <c r="AE371" s="1"/>
      <c r="AF371" s="1"/>
      <c r="AG371" s="1"/>
      <c r="AH371" s="1"/>
      <c r="AI371" s="1"/>
      <c r="AJ371" s="1"/>
      <c r="AK371" s="1"/>
      <c r="AL371" s="1"/>
      <c r="AM371" s="1"/>
      <c r="AN371" s="1"/>
      <c r="AO371" s="1"/>
      <c r="AP371" s="1"/>
      <c r="AQ371" s="1"/>
      <c r="AR371" s="1"/>
      <c r="AS371" s="1"/>
      <c r="AT371" s="1"/>
      <c r="AU371" s="1"/>
      <c r="AV371" s="1">
        <f>SUM($AT371,Z371:$AA371)-SUM($AV$5:AV$5)*$J371-SUM($AV$6:AV$6)*$K371</f>
        <v>0</v>
      </c>
      <c r="AW371" s="1">
        <f>SUM($AT371,$AA371:AA371)-SUM($AV$5:AW$5)*$J371-SUM($AV$6:AW$6)*$K371</f>
        <v>0</v>
      </c>
      <c r="AX371" s="1">
        <f>SUM($AT371,$AA371:AB371)-SUM($AV$5:AX$5)*$J371-SUM($AV$6:AX$6)*$K371</f>
        <v>0</v>
      </c>
      <c r="AY371" s="1">
        <f>SUM($AT371,$AA371:AC371)-SUM($AV$5:AY$5)*$J371-SUM($AV$6:AY$6)*$K371</f>
        <v>0</v>
      </c>
      <c r="AZ371" s="1">
        <f>SUM($AT371,$AA371:AD371)-SUM($AV$5:AZ$5)*$J371-SUM($AV$6:AZ$6)*$K371</f>
        <v>0</v>
      </c>
      <c r="BA371" s="1">
        <f>SUM($AT371,$AA371:AE371)-SUM($AV$5:BA$5)*$J371-SUM($AV$6:BA$6)*$K371</f>
        <v>0</v>
      </c>
      <c r="BB371" s="1">
        <f>SUM($AT371,$AA371:AF371)-SUM($AV$5:BB$5)*$J371-SUM($AV$6:BB$6)*$K371</f>
        <v>0</v>
      </c>
      <c r="BC371" s="1">
        <f>SUM($AT371,$AA371:AG371)-SUM($AV$5:BC$5)*$J371-SUM($AV$6:BC$6)*$K371</f>
        <v>0</v>
      </c>
      <c r="BD371" s="1">
        <f>SUM($AT371,$AA371:AH371)-SUM($AV$5:BD$5)*$J371-SUM($AV$6:BD$6)*$K371</f>
        <v>0</v>
      </c>
      <c r="BE371" s="1">
        <f>SUM($AT371,$AA371:AI371)-SUM($AV$5:BE$5)*$J371-SUM($AV$6:BE$6)*$K371</f>
        <v>0</v>
      </c>
      <c r="BF371" s="1">
        <f>SUM($AT371,$AA371:AJ371)-SUM($AV$5:BF$5)*$J371-SUM($AV$6:BF$6)*$K371</f>
        <v>0</v>
      </c>
      <c r="BG371" s="1">
        <f>SUM($AT371,$AA371:AK371)-SUM($AV$5:BG$5)*$J371-SUM($AV$6:BG$6)*$K371</f>
        <v>0</v>
      </c>
      <c r="BH371" s="1">
        <f>SUM($AT371,$AA371:AL371)-SUM($AV$5:BH$5)*$J371-SUM($AV$6:BH$6)*$K371</f>
        <v>0</v>
      </c>
      <c r="BI371" s="1">
        <f>SUM($AT371,$AA371:AM371)-SUM($AV$5:BI$5)*$J371-SUM($AV$6:BI$6)*$K371</f>
        <v>0</v>
      </c>
      <c r="BJ371" s="1">
        <f>SUM($AT371,$AA371:AN371)-SUM($AV$5:BJ$5)*$J371-SUM($AV$6:BJ$6)*$K371</f>
        <v>0</v>
      </c>
      <c r="BK371" s="1">
        <f>SUM($AT371,$AA371:AO371)-SUM($AV$5:BK$5)*$J371-SUM($AV$6:BK$6)*$K371</f>
        <v>0</v>
      </c>
      <c r="BL371" s="1">
        <f>SUM($AT371,$AA371:AP371)-SUM($AV$5:BL$5)*$J371-SUM($AV$6:BL$6)*$K371</f>
        <v>0</v>
      </c>
      <c r="BM371" s="1">
        <f>SUM($AT371,$AA371:AQ371)-SUM($AV$5:BM$5)*$J371-SUM($AV$6:BM$6)*$K371</f>
        <v>0</v>
      </c>
      <c r="BN371" s="1">
        <f>SUM($AT371,$AA371:AR371)-SUM($AV$5:BN$5)*$J371-SUM($AV$6:BN$6)*$K371</f>
        <v>0</v>
      </c>
    </row>
    <row r="372" spans="1:66">
      <c r="A372" s="1">
        <v>48</v>
      </c>
      <c r="B372" s="28" t="s">
        <v>1131</v>
      </c>
      <c r="C372" s="1" t="s">
        <v>40</v>
      </c>
      <c r="D372" s="2">
        <v>401509544</v>
      </c>
      <c r="E372" s="3" t="s">
        <v>1132</v>
      </c>
      <c r="F372" s="1"/>
      <c r="G372" s="1" t="s">
        <v>42</v>
      </c>
      <c r="H372" s="1">
        <v>2</v>
      </c>
      <c r="I372" s="1">
        <v>2</v>
      </c>
      <c r="J372" s="1">
        <v>0</v>
      </c>
      <c r="K372" s="1">
        <v>2</v>
      </c>
      <c r="L372" s="1">
        <v>0</v>
      </c>
      <c r="M372" s="1">
        <f t="shared" si="14"/>
        <v>552</v>
      </c>
      <c r="N372" s="1">
        <f t="shared" si="15"/>
        <v>552</v>
      </c>
      <c r="O372" s="2" t="s">
        <v>1133</v>
      </c>
      <c r="P372" s="1"/>
      <c r="Q372" s="1">
        <v>39.71</v>
      </c>
      <c r="R372" s="1" t="s">
        <v>44</v>
      </c>
      <c r="S372" s="30" t="s">
        <v>145</v>
      </c>
      <c r="T372" s="31" t="s">
        <v>1086</v>
      </c>
      <c r="U372" s="1">
        <v>1</v>
      </c>
      <c r="V372" s="1">
        <v>1</v>
      </c>
      <c r="W372" s="1" t="s">
        <v>1087</v>
      </c>
      <c r="X372" s="46" t="s">
        <v>1088</v>
      </c>
      <c r="Y372" s="1" t="s">
        <v>1089</v>
      </c>
      <c r="Z372" s="2" t="s">
        <v>1133</v>
      </c>
      <c r="AA372" s="1"/>
      <c r="AB372" s="1"/>
      <c r="AC372" s="1"/>
      <c r="AD372" s="1"/>
      <c r="AE372" s="1"/>
      <c r="AF372" s="1"/>
      <c r="AG372" s="1"/>
      <c r="AH372" s="1"/>
      <c r="AI372" s="1"/>
      <c r="AJ372" s="1"/>
      <c r="AK372" s="1"/>
      <c r="AL372" s="1"/>
      <c r="AM372" s="1"/>
      <c r="AN372" s="1"/>
      <c r="AO372" s="1"/>
      <c r="AP372" s="1"/>
      <c r="AQ372" s="1"/>
      <c r="AR372" s="1"/>
      <c r="AS372" s="1"/>
      <c r="AT372" s="1"/>
      <c r="AU372" s="1"/>
      <c r="AV372" s="1">
        <f>SUM($AT372,Z372:$AA372)-SUM($AV$5:AV$5)*$J372-SUM($AV$6:AV$6)*$K372</f>
        <v>0</v>
      </c>
      <c r="AW372" s="1">
        <f>SUM($AT372,$AA372:AA372)-SUM($AV$5:AW$5)*$J372-SUM($AV$6:AW$6)*$K372</f>
        <v>0</v>
      </c>
      <c r="AX372" s="1">
        <f>SUM($AT372,$AA372:AB372)-SUM($AV$5:AX$5)*$J372-SUM($AV$6:AX$6)*$K372</f>
        <v>0</v>
      </c>
      <c r="AY372" s="1">
        <f>SUM($AT372,$AA372:AC372)-SUM($AV$5:AY$5)*$J372-SUM($AV$6:AY$6)*$K372</f>
        <v>0</v>
      </c>
      <c r="AZ372" s="1">
        <f>SUM($AT372,$AA372:AD372)-SUM($AV$5:AZ$5)*$J372-SUM($AV$6:AZ$6)*$K372</f>
        <v>-20</v>
      </c>
      <c r="BA372" s="1">
        <f>SUM($AT372,$AA372:AE372)-SUM($AV$5:BA$5)*$J372-SUM($AV$6:BA$6)*$K372</f>
        <v>-60</v>
      </c>
      <c r="BB372" s="1">
        <f>SUM($AT372,$AA372:AF372)-SUM($AV$5:BB$5)*$J372-SUM($AV$6:BB$6)*$K372</f>
        <v>-240</v>
      </c>
      <c r="BC372" s="1">
        <f>SUM($AT372,$AA372:AG372)-SUM($AV$5:BC$5)*$J372-SUM($AV$6:BC$6)*$K372</f>
        <v>-420</v>
      </c>
      <c r="BD372" s="1">
        <f>SUM($AT372,$AA372:AH372)-SUM($AV$5:BD$5)*$J372-SUM($AV$6:BD$6)*$K372</f>
        <v>-552</v>
      </c>
      <c r="BE372" s="1">
        <f>SUM($AT372,$AA372:AI372)-SUM($AV$5:BE$5)*$J372-SUM($AV$6:BE$6)*$K372</f>
        <v>-552</v>
      </c>
      <c r="BF372" s="1">
        <f>SUM($AT372,$AA372:AJ372)-SUM($AV$5:BF$5)*$J372-SUM($AV$6:BF$6)*$K372</f>
        <v>-552</v>
      </c>
      <c r="BG372" s="1">
        <f>SUM($AT372,$AA372:AK372)-SUM($AV$5:BG$5)*$J372-SUM($AV$6:BG$6)*$K372</f>
        <v>-552</v>
      </c>
      <c r="BH372" s="1">
        <f>SUM($AT372,$AA372:AL372)-SUM($AV$5:BH$5)*$J372-SUM($AV$6:BH$6)*$K372</f>
        <v>-552</v>
      </c>
      <c r="BI372" s="1">
        <f>SUM($AT372,$AA372:AM372)-SUM($AV$5:BI$5)*$J372-SUM($AV$6:BI$6)*$K372</f>
        <v>-552</v>
      </c>
      <c r="BJ372" s="1">
        <f>SUM($AT372,$AA372:AN372)-SUM($AV$5:BJ$5)*$J372-SUM($AV$6:BJ$6)*$K372</f>
        <v>-552</v>
      </c>
      <c r="BK372" s="1">
        <f>SUM($AT372,$AA372:AO372)-SUM($AV$5:BK$5)*$J372-SUM($AV$6:BK$6)*$K372</f>
        <v>-552</v>
      </c>
      <c r="BL372" s="1">
        <f>SUM($AT372,$AA372:AP372)-SUM($AV$5:BL$5)*$J372-SUM($AV$6:BL$6)*$K372</f>
        <v>-552</v>
      </c>
      <c r="BM372" s="1">
        <f>SUM($AT372,$AA372:AQ372)-SUM($AV$5:BM$5)*$J372-SUM($AV$6:BM$6)*$K372</f>
        <v>-552</v>
      </c>
      <c r="BN372" s="1">
        <f>SUM($AT372,$AA372:AR372)-SUM($AV$5:BN$5)*$J372-SUM($AV$6:BN$6)*$K372</f>
        <v>-552</v>
      </c>
    </row>
    <row r="373" spans="1:66">
      <c r="A373" s="1">
        <v>50</v>
      </c>
      <c r="B373" s="28" t="s">
        <v>1134</v>
      </c>
      <c r="C373" s="1" t="s">
        <v>40</v>
      </c>
      <c r="D373" s="2">
        <v>411067141</v>
      </c>
      <c r="E373" s="3" t="s">
        <v>1135</v>
      </c>
      <c r="F373" s="1"/>
      <c r="G373" s="1" t="s">
        <v>42</v>
      </c>
      <c r="H373" s="1">
        <v>1</v>
      </c>
      <c r="I373" s="1">
        <v>2</v>
      </c>
      <c r="J373" s="1">
        <v>0</v>
      </c>
      <c r="K373" s="1">
        <v>0</v>
      </c>
      <c r="L373" s="1">
        <v>2</v>
      </c>
      <c r="M373" s="1">
        <f t="shared" si="14"/>
        <v>552</v>
      </c>
      <c r="N373" s="1">
        <f t="shared" si="15"/>
        <v>552</v>
      </c>
      <c r="O373" s="2" t="s">
        <v>1136</v>
      </c>
      <c r="P373" s="1"/>
      <c r="Q373" s="1">
        <v>12.35</v>
      </c>
      <c r="R373" s="1" t="s">
        <v>44</v>
      </c>
      <c r="S373" s="30" t="s">
        <v>145</v>
      </c>
      <c r="T373" s="31" t="s">
        <v>1086</v>
      </c>
      <c r="U373" s="1">
        <v>1</v>
      </c>
      <c r="V373" s="1">
        <v>1</v>
      </c>
      <c r="W373" s="1" t="s">
        <v>1087</v>
      </c>
      <c r="X373" s="33" t="s">
        <v>1088</v>
      </c>
      <c r="Y373" s="1" t="s">
        <v>1089</v>
      </c>
      <c r="Z373" s="2" t="s">
        <v>1136</v>
      </c>
      <c r="AA373" s="1"/>
      <c r="AB373" s="1"/>
      <c r="AC373" s="1"/>
      <c r="AD373" s="1"/>
      <c r="AE373" s="1"/>
      <c r="AF373" s="1"/>
      <c r="AG373" s="1"/>
      <c r="AH373" s="1"/>
      <c r="AI373" s="1"/>
      <c r="AJ373" s="1"/>
      <c r="AK373" s="1"/>
      <c r="AL373" s="1"/>
      <c r="AM373" s="1"/>
      <c r="AN373" s="1"/>
      <c r="AO373" s="1"/>
      <c r="AP373" s="1"/>
      <c r="AQ373" s="1"/>
      <c r="AR373" s="1"/>
      <c r="AS373" s="1"/>
      <c r="AT373" s="1"/>
      <c r="AU373" s="1"/>
      <c r="AV373" s="1">
        <f>SUM($AT373,Z373:$AA373)-SUM($AV$5:AV$5)*$J373-SUM($AV$6:AV$6)*$K373</f>
        <v>0</v>
      </c>
      <c r="AW373" s="1">
        <f>SUM($AT373,$AA373:AA373)-SUM($AV$5:AW$5)*$J373-SUM($AV$6:AW$6)*$K373</f>
        <v>0</v>
      </c>
      <c r="AX373" s="1">
        <f>SUM($AT373,$AA373:AB373)-SUM($AV$5:AX$5)*$J373-SUM($AV$6:AX$6)*$K373</f>
        <v>0</v>
      </c>
      <c r="AY373" s="1">
        <f>SUM($AT373,$AA373:AC373)-SUM($AV$5:AY$5)*$J373-SUM($AV$6:AY$6)*$K373</f>
        <v>0</v>
      </c>
      <c r="AZ373" s="1">
        <f>SUM($AT373,$AA373:AD373)-SUM($AV$5:AZ$5)*$J373-SUM($AV$6:AZ$6)*$K373</f>
        <v>0</v>
      </c>
      <c r="BA373" s="1">
        <f>SUM($AT373,$AA373:AE373)-SUM($AV$5:BA$5)*$J373-SUM($AV$6:BA$6)*$K373</f>
        <v>0</v>
      </c>
      <c r="BB373" s="1">
        <f>SUM($AT373,$AA373:AF373)-SUM($AV$5:BB$5)*$J373-SUM($AV$6:BB$6)*$K373</f>
        <v>0</v>
      </c>
      <c r="BC373" s="1">
        <f>SUM($AT373,$AA373:AG373)-SUM($AV$5:BC$5)*$J373-SUM($AV$6:BC$6)*$K373</f>
        <v>0</v>
      </c>
      <c r="BD373" s="1">
        <f>SUM($AT373,$AA373:AH373)-SUM($AV$5:BD$5)*$J373-SUM($AV$6:BD$6)*$K373</f>
        <v>0</v>
      </c>
      <c r="BE373" s="1">
        <f>SUM($AT373,$AA373:AI373)-SUM($AV$5:BE$5)*$J373-SUM($AV$6:BE$6)*$K373</f>
        <v>0</v>
      </c>
      <c r="BF373" s="1">
        <f>SUM($AT373,$AA373:AJ373)-SUM($AV$5:BF$5)*$J373-SUM($AV$6:BF$6)*$K373</f>
        <v>0</v>
      </c>
      <c r="BG373" s="1">
        <f>SUM($AT373,$AA373:AK373)-SUM($AV$5:BG$5)*$J373-SUM($AV$6:BG$6)*$K373</f>
        <v>0</v>
      </c>
      <c r="BH373" s="1">
        <f>SUM($AT373,$AA373:AL373)-SUM($AV$5:BH$5)*$J373-SUM($AV$6:BH$6)*$K373</f>
        <v>0</v>
      </c>
      <c r="BI373" s="1">
        <f>SUM($AT373,$AA373:AM373)-SUM($AV$5:BI$5)*$J373-SUM($AV$6:BI$6)*$K373</f>
        <v>0</v>
      </c>
      <c r="BJ373" s="1">
        <f>SUM($AT373,$AA373:AN373)-SUM($AV$5:BJ$5)*$J373-SUM($AV$6:BJ$6)*$K373</f>
        <v>0</v>
      </c>
      <c r="BK373" s="1">
        <f>SUM($AT373,$AA373:AO373)-SUM($AV$5:BK$5)*$J373-SUM($AV$6:BK$6)*$K373</f>
        <v>0</v>
      </c>
      <c r="BL373" s="1">
        <f>SUM($AT373,$AA373:AP373)-SUM($AV$5:BL$5)*$J373-SUM($AV$6:BL$6)*$K373</f>
        <v>0</v>
      </c>
      <c r="BM373" s="1">
        <f>SUM($AT373,$AA373:AQ373)-SUM($AV$5:BM$5)*$J373-SUM($AV$6:BM$6)*$K373</f>
        <v>0</v>
      </c>
      <c r="BN373" s="1">
        <f>SUM($AT373,$AA373:AR373)-SUM($AV$5:BN$5)*$J373-SUM($AV$6:BN$6)*$K373</f>
        <v>0</v>
      </c>
    </row>
    <row r="374" spans="1:66">
      <c r="A374" s="1">
        <v>449</v>
      </c>
      <c r="B374" s="28" t="s">
        <v>1137</v>
      </c>
      <c r="C374" s="1" t="s">
        <v>40</v>
      </c>
      <c r="D374" s="2">
        <v>400236634</v>
      </c>
      <c r="E374" s="3" t="s">
        <v>1138</v>
      </c>
      <c r="F374" s="1"/>
      <c r="G374" s="1" t="s">
        <v>42</v>
      </c>
      <c r="H374" s="1">
        <v>2</v>
      </c>
      <c r="I374" s="1">
        <v>1</v>
      </c>
      <c r="J374" s="1">
        <v>1</v>
      </c>
      <c r="K374" s="1">
        <v>0</v>
      </c>
      <c r="L374" s="1">
        <v>0</v>
      </c>
      <c r="M374" s="1">
        <f t="shared" si="14"/>
        <v>582</v>
      </c>
      <c r="N374" s="1">
        <f t="shared" si="15"/>
        <v>582</v>
      </c>
      <c r="O374" s="2" t="s">
        <v>1139</v>
      </c>
      <c r="P374" s="1"/>
      <c r="Q374" s="1">
        <v>1.05</v>
      </c>
      <c r="R374" s="1" t="s">
        <v>44</v>
      </c>
      <c r="S374" s="30" t="s">
        <v>96</v>
      </c>
      <c r="T374" s="31" t="s">
        <v>273</v>
      </c>
      <c r="U374" s="1"/>
      <c r="V374" s="1">
        <v>2000</v>
      </c>
      <c r="W374" s="1" t="s">
        <v>274</v>
      </c>
      <c r="X374" s="32" t="s">
        <v>275</v>
      </c>
      <c r="Y374" s="1" t="s">
        <v>276</v>
      </c>
      <c r="Z374" s="2" t="s">
        <v>1139</v>
      </c>
      <c r="AA374" s="1"/>
      <c r="AB374" s="1"/>
      <c r="AC374" s="1"/>
      <c r="AD374" s="1"/>
      <c r="AE374" s="1"/>
      <c r="AF374" s="1"/>
      <c r="AG374" s="1"/>
      <c r="AH374" s="1"/>
      <c r="AI374" s="1"/>
      <c r="AJ374" s="1"/>
      <c r="AK374" s="1"/>
      <c r="AL374" s="1"/>
      <c r="AM374" s="1"/>
      <c r="AN374" s="1"/>
      <c r="AO374" s="1"/>
      <c r="AP374" s="1"/>
      <c r="AQ374" s="1"/>
      <c r="AR374" s="1"/>
      <c r="AS374" s="1"/>
      <c r="AT374" s="1"/>
      <c r="AU374" s="1"/>
      <c r="AV374" s="1">
        <f>SUM($AT374,Z374:$AA374)-SUM($AV$5:AV$5)*$J374-SUM($AV$6:AV$6)*$K374</f>
        <v>0</v>
      </c>
      <c r="AW374" s="1">
        <f>SUM($AT374,$AA374:AA374)-SUM($AV$5:AW$5)*$J374-SUM($AV$6:AW$6)*$K374</f>
        <v>0</v>
      </c>
      <c r="AX374" s="1">
        <f>SUM($AT374,$AA374:AB374)-SUM($AV$5:AX$5)*$J374-SUM($AV$6:AX$6)*$K374</f>
        <v>0</v>
      </c>
      <c r="AY374" s="1">
        <f>SUM($AT374,$AA374:AC374)-SUM($AV$5:AY$5)*$J374-SUM($AV$6:AY$6)*$K374</f>
        <v>0</v>
      </c>
      <c r="AZ374" s="1">
        <f>SUM($AT374,$AA374:AD374)-SUM($AV$5:AZ$5)*$J374-SUM($AV$6:AZ$6)*$K374</f>
        <v>-40</v>
      </c>
      <c r="BA374" s="1">
        <f>SUM($AT374,$AA374:AE374)-SUM($AV$5:BA$5)*$J374-SUM($AV$6:BA$6)*$K374</f>
        <v>-80</v>
      </c>
      <c r="BB374" s="1">
        <f>SUM($AT374,$AA374:AF374)-SUM($AV$5:BB$5)*$J374-SUM($AV$6:BB$6)*$K374</f>
        <v>-120</v>
      </c>
      <c r="BC374" s="1">
        <f>SUM($AT374,$AA374:AG374)-SUM($AV$5:BC$5)*$J374-SUM($AV$6:BC$6)*$K374</f>
        <v>-160</v>
      </c>
      <c r="BD374" s="1">
        <f>SUM($AT374,$AA374:AH374)-SUM($AV$5:BD$5)*$J374-SUM($AV$6:BD$6)*$K374</f>
        <v>-200</v>
      </c>
      <c r="BE374" s="1">
        <f>SUM($AT374,$AA374:AI374)-SUM($AV$5:BE$5)*$J374-SUM($AV$6:BE$6)*$K374</f>
        <v>-240</v>
      </c>
      <c r="BF374" s="1">
        <f>SUM($AT374,$AA374:AJ374)-SUM($AV$5:BF$5)*$J374-SUM($AV$6:BF$6)*$K374</f>
        <v>-280</v>
      </c>
      <c r="BG374" s="1">
        <f>SUM($AT374,$AA374:AK374)-SUM($AV$5:BG$5)*$J374-SUM($AV$6:BG$6)*$K374</f>
        <v>-320</v>
      </c>
      <c r="BH374" s="1">
        <f>SUM($AT374,$AA374:AL374)-SUM($AV$5:BH$5)*$J374-SUM($AV$6:BH$6)*$K374</f>
        <v>-360</v>
      </c>
      <c r="BI374" s="1">
        <f>SUM($AT374,$AA374:AM374)-SUM($AV$5:BI$5)*$J374-SUM($AV$6:BI$6)*$K374</f>
        <v>-400</v>
      </c>
      <c r="BJ374" s="1">
        <f>SUM($AT374,$AA374:AN374)-SUM($AV$5:BJ$5)*$J374-SUM($AV$6:BJ$6)*$K374</f>
        <v>-440</v>
      </c>
      <c r="BK374" s="1">
        <f>SUM($AT374,$AA374:AO374)-SUM($AV$5:BK$5)*$J374-SUM($AV$6:BK$6)*$K374</f>
        <v>-480</v>
      </c>
      <c r="BL374" s="1">
        <f>SUM($AT374,$AA374:AP374)-SUM($AV$5:BL$5)*$J374-SUM($AV$6:BL$6)*$K374</f>
        <v>-520</v>
      </c>
      <c r="BM374" s="1">
        <f>SUM($AT374,$AA374:AQ374)-SUM($AV$5:BM$5)*$J374-SUM($AV$6:BM$6)*$K374</f>
        <v>-560</v>
      </c>
      <c r="BN374" s="1">
        <f>SUM($AT374,$AA374:AR374)-SUM($AV$5:BN$5)*$J374-SUM($AV$6:BN$6)*$K374</f>
        <v>-582</v>
      </c>
    </row>
    <row r="375" spans="1:66">
      <c r="A375" s="1">
        <v>14</v>
      </c>
      <c r="B375" s="45" t="s">
        <v>1140</v>
      </c>
      <c r="C375" s="1" t="s">
        <v>40</v>
      </c>
      <c r="D375" s="2">
        <v>403581733</v>
      </c>
      <c r="E375" s="3" t="s">
        <v>1141</v>
      </c>
      <c r="F375" s="1"/>
      <c r="G375" s="1" t="s">
        <v>42</v>
      </c>
      <c r="H375" s="1">
        <v>2</v>
      </c>
      <c r="I375" s="1">
        <v>1</v>
      </c>
      <c r="J375" s="1">
        <v>1</v>
      </c>
      <c r="K375" s="1">
        <v>0</v>
      </c>
      <c r="L375" s="1">
        <v>0</v>
      </c>
      <c r="M375" s="1">
        <f t="shared" si="14"/>
        <v>582</v>
      </c>
      <c r="N375" s="1">
        <f t="shared" si="15"/>
        <v>582</v>
      </c>
      <c r="O375" s="2" t="s">
        <v>1142</v>
      </c>
      <c r="P375" s="1"/>
      <c r="Q375" s="1">
        <v>18.04</v>
      </c>
      <c r="R375" s="1" t="s">
        <v>44</v>
      </c>
      <c r="S375" s="30" t="s">
        <v>780</v>
      </c>
      <c r="T375" s="31" t="s">
        <v>806</v>
      </c>
      <c r="U375" s="1"/>
      <c r="V375" s="1">
        <v>250</v>
      </c>
      <c r="W375" s="1" t="s">
        <v>807</v>
      </c>
      <c r="X375" s="32" t="s">
        <v>808</v>
      </c>
      <c r="Y375" s="1" t="s">
        <v>809</v>
      </c>
      <c r="Z375" s="2" t="s">
        <v>1142</v>
      </c>
      <c r="AA375" s="1"/>
      <c r="AB375" s="1"/>
      <c r="AC375" s="1"/>
      <c r="AD375" s="1"/>
      <c r="AE375" s="1"/>
      <c r="AF375" s="1"/>
      <c r="AG375" s="1"/>
      <c r="AH375" s="1"/>
      <c r="AI375" s="1"/>
      <c r="AJ375" s="1"/>
      <c r="AK375" s="1"/>
      <c r="AL375" s="1"/>
      <c r="AM375" s="1"/>
      <c r="AN375" s="1"/>
      <c r="AO375" s="1"/>
      <c r="AP375" s="1"/>
      <c r="AQ375" s="1"/>
      <c r="AR375" s="1"/>
      <c r="AS375" s="1"/>
      <c r="AT375" s="1"/>
      <c r="AU375" s="1"/>
      <c r="AV375" s="1">
        <f>SUM($AT375,Z375:$AA375)-SUM($AV$5:AV$5)*$J375-SUM($AV$6:AV$6)*$K375</f>
        <v>0</v>
      </c>
      <c r="AW375" s="1">
        <f>SUM($AT375,$AA375:AA375)-SUM($AV$5:AW$5)*$J375-SUM($AV$6:AW$6)*$K375</f>
        <v>0</v>
      </c>
      <c r="AX375" s="1">
        <f>SUM($AT375,$AA375:AB375)-SUM($AV$5:AX$5)*$J375-SUM($AV$6:AX$6)*$K375</f>
        <v>0</v>
      </c>
      <c r="AY375" s="1">
        <f>SUM($AT375,$AA375:AC375)-SUM($AV$5:AY$5)*$J375-SUM($AV$6:AY$6)*$K375</f>
        <v>0</v>
      </c>
      <c r="AZ375" s="1">
        <f>SUM($AT375,$AA375:AD375)-SUM($AV$5:AZ$5)*$J375-SUM($AV$6:AZ$6)*$K375</f>
        <v>-40</v>
      </c>
      <c r="BA375" s="1">
        <f>SUM($AT375,$AA375:AE375)-SUM($AV$5:BA$5)*$J375-SUM($AV$6:BA$6)*$K375</f>
        <v>-80</v>
      </c>
      <c r="BB375" s="1">
        <f>SUM($AT375,$AA375:AF375)-SUM($AV$5:BB$5)*$J375-SUM($AV$6:BB$6)*$K375</f>
        <v>-120</v>
      </c>
      <c r="BC375" s="1">
        <f>SUM($AT375,$AA375:AG375)-SUM($AV$5:BC$5)*$J375-SUM($AV$6:BC$6)*$K375</f>
        <v>-160</v>
      </c>
      <c r="BD375" s="1">
        <f>SUM($AT375,$AA375:AH375)-SUM($AV$5:BD$5)*$J375-SUM($AV$6:BD$6)*$K375</f>
        <v>-200</v>
      </c>
      <c r="BE375" s="1">
        <f>SUM($AT375,$AA375:AI375)-SUM($AV$5:BE$5)*$J375-SUM($AV$6:BE$6)*$K375</f>
        <v>-240</v>
      </c>
      <c r="BF375" s="1">
        <f>SUM($AT375,$AA375:AJ375)-SUM($AV$5:BF$5)*$J375-SUM($AV$6:BF$6)*$K375</f>
        <v>-280</v>
      </c>
      <c r="BG375" s="1">
        <f>SUM($AT375,$AA375:AK375)-SUM($AV$5:BG$5)*$J375-SUM($AV$6:BG$6)*$K375</f>
        <v>-320</v>
      </c>
      <c r="BH375" s="1">
        <f>SUM($AT375,$AA375:AL375)-SUM($AV$5:BH$5)*$J375-SUM($AV$6:BH$6)*$K375</f>
        <v>-360</v>
      </c>
      <c r="BI375" s="1">
        <f>SUM($AT375,$AA375:AM375)-SUM($AV$5:BI$5)*$J375-SUM($AV$6:BI$6)*$K375</f>
        <v>-400</v>
      </c>
      <c r="BJ375" s="1">
        <f>SUM($AT375,$AA375:AN375)-SUM($AV$5:BJ$5)*$J375-SUM($AV$6:BJ$6)*$K375</f>
        <v>-440</v>
      </c>
      <c r="BK375" s="1">
        <f>SUM($AT375,$AA375:AO375)-SUM($AV$5:BK$5)*$J375-SUM($AV$6:BK$6)*$K375</f>
        <v>-480</v>
      </c>
      <c r="BL375" s="1">
        <f>SUM($AT375,$AA375:AP375)-SUM($AV$5:BL$5)*$J375-SUM($AV$6:BL$6)*$K375</f>
        <v>-520</v>
      </c>
      <c r="BM375" s="1">
        <f>SUM($AT375,$AA375:AQ375)-SUM($AV$5:BM$5)*$J375-SUM($AV$6:BM$6)*$K375</f>
        <v>-560</v>
      </c>
      <c r="BN375" s="1">
        <f>SUM($AT375,$AA375:AR375)-SUM($AV$5:BN$5)*$J375-SUM($AV$6:BN$6)*$K375</f>
        <v>-582</v>
      </c>
    </row>
    <row r="376" spans="1:66">
      <c r="A376" s="1">
        <v>397</v>
      </c>
      <c r="B376" s="28" t="s">
        <v>1143</v>
      </c>
      <c r="C376" s="1" t="s">
        <v>40</v>
      </c>
      <c r="D376" s="2" t="s">
        <v>1144</v>
      </c>
      <c r="E376" s="3" t="s">
        <v>1145</v>
      </c>
      <c r="F376" s="1"/>
      <c r="G376" s="1" t="s">
        <v>164</v>
      </c>
      <c r="H376" s="1">
        <v>2</v>
      </c>
      <c r="I376" s="1" t="s">
        <v>165</v>
      </c>
      <c r="J376" s="1">
        <v>0</v>
      </c>
      <c r="K376" s="1">
        <v>0</v>
      </c>
      <c r="L376" s="1">
        <v>0.05</v>
      </c>
      <c r="M376" s="1">
        <f t="shared" si="14"/>
        <v>13.8</v>
      </c>
      <c r="N376" s="1">
        <f t="shared" si="15"/>
        <v>13.8</v>
      </c>
      <c r="O376" s="2" t="s">
        <v>1146</v>
      </c>
      <c r="P376" s="1"/>
      <c r="Q376" s="31">
        <v>184</v>
      </c>
      <c r="R376" s="1" t="s">
        <v>1147</v>
      </c>
      <c r="S376" s="30"/>
      <c r="T376" s="31" t="s">
        <v>1148</v>
      </c>
      <c r="U376" s="1">
        <v>1</v>
      </c>
      <c r="V376" s="1">
        <v>1</v>
      </c>
      <c r="W376" s="1" t="s">
        <v>1149</v>
      </c>
      <c r="X376" s="33" t="s">
        <v>1150</v>
      </c>
      <c r="Y376" s="1" t="s">
        <v>1151</v>
      </c>
      <c r="Z376" s="2" t="s">
        <v>1146</v>
      </c>
      <c r="AA376" s="1"/>
      <c r="AB376" s="1"/>
      <c r="AC376" s="1"/>
      <c r="AD376" s="1"/>
      <c r="AE376" s="1"/>
      <c r="AF376" s="1"/>
      <c r="AG376" s="1"/>
      <c r="AH376" s="1"/>
      <c r="AI376" s="1"/>
      <c r="AJ376" s="1"/>
      <c r="AK376" s="1"/>
      <c r="AL376" s="1"/>
      <c r="AM376" s="1"/>
      <c r="AN376" s="1"/>
      <c r="AO376" s="1"/>
      <c r="AP376" s="1"/>
      <c r="AQ376" s="1"/>
      <c r="AR376" s="1"/>
      <c r="AS376" s="1"/>
      <c r="AT376" s="1"/>
      <c r="AU376" s="1"/>
      <c r="AV376" s="1">
        <f>SUM($AT376,Z376:$AA376)-SUM($AV$5:AV$5)*$J376-SUM($AV$6:AV$6)*$K376</f>
        <v>0</v>
      </c>
      <c r="AW376" s="1">
        <f>SUM($AT376,$AA376:AA376)-SUM($AV$5:AW$5)*$J376-SUM($AV$6:AW$6)*$K376</f>
        <v>0</v>
      </c>
      <c r="AX376" s="1">
        <f>SUM($AT376,$AA376:AB376)-SUM($AV$5:AX$5)*$J376-SUM($AV$6:AX$6)*$K376</f>
        <v>0</v>
      </c>
      <c r="AY376" s="1">
        <f>SUM($AT376,$AA376:AC376)-SUM($AV$5:AY$5)*$J376-SUM($AV$6:AY$6)*$K376</f>
        <v>0</v>
      </c>
      <c r="AZ376" s="1">
        <f>SUM($AT376,$AA376:AD376)-SUM($AV$5:AZ$5)*$J376-SUM($AV$6:AZ$6)*$K376</f>
        <v>0</v>
      </c>
      <c r="BA376" s="1">
        <f>SUM($AT376,$AA376:AE376)-SUM($AV$5:BA$5)*$J376-SUM($AV$6:BA$6)*$K376</f>
        <v>0</v>
      </c>
      <c r="BB376" s="1">
        <f>SUM($AT376,$AA376:AF376)-SUM($AV$5:BB$5)*$J376-SUM($AV$6:BB$6)*$K376</f>
        <v>0</v>
      </c>
      <c r="BC376" s="1">
        <f>SUM($AT376,$AA376:AG376)-SUM($AV$5:BC$5)*$J376-SUM($AV$6:BC$6)*$K376</f>
        <v>0</v>
      </c>
      <c r="BD376" s="1">
        <f>SUM($AT376,$AA376:AH376)-SUM($AV$5:BD$5)*$J376-SUM($AV$6:BD$6)*$K376</f>
        <v>0</v>
      </c>
      <c r="BE376" s="1">
        <f>SUM($AT376,$AA376:AI376)-SUM($AV$5:BE$5)*$J376-SUM($AV$6:BE$6)*$K376</f>
        <v>0</v>
      </c>
      <c r="BF376" s="1">
        <f>SUM($AT376,$AA376:AJ376)-SUM($AV$5:BF$5)*$J376-SUM($AV$6:BF$6)*$K376</f>
        <v>0</v>
      </c>
      <c r="BG376" s="1">
        <f>SUM($AT376,$AA376:AK376)-SUM($AV$5:BG$5)*$J376-SUM($AV$6:BG$6)*$K376</f>
        <v>0</v>
      </c>
      <c r="BH376" s="1">
        <f>SUM($AT376,$AA376:AL376)-SUM($AV$5:BH$5)*$J376-SUM($AV$6:BH$6)*$K376</f>
        <v>0</v>
      </c>
      <c r="BI376" s="1">
        <f>SUM($AT376,$AA376:AM376)-SUM($AV$5:BI$5)*$J376-SUM($AV$6:BI$6)*$K376</f>
        <v>0</v>
      </c>
      <c r="BJ376" s="1">
        <f>SUM($AT376,$AA376:AN376)-SUM($AV$5:BJ$5)*$J376-SUM($AV$6:BJ$6)*$K376</f>
        <v>0</v>
      </c>
      <c r="BK376" s="1">
        <f>SUM($AT376,$AA376:AO376)-SUM($AV$5:BK$5)*$J376-SUM($AV$6:BK$6)*$K376</f>
        <v>0</v>
      </c>
      <c r="BL376" s="1">
        <f>SUM($AT376,$AA376:AP376)-SUM($AV$5:BL$5)*$J376-SUM($AV$6:BL$6)*$K376</f>
        <v>0</v>
      </c>
      <c r="BM376" s="1">
        <f>SUM($AT376,$AA376:AQ376)-SUM($AV$5:BM$5)*$J376-SUM($AV$6:BM$6)*$K376</f>
        <v>0</v>
      </c>
      <c r="BN376" s="1">
        <f>SUM($AT376,$AA376:AR376)-SUM($AV$5:BN$5)*$J376-SUM($AV$6:BN$6)*$K376</f>
        <v>0</v>
      </c>
    </row>
    <row r="377" spans="1:66">
      <c r="A377" s="1">
        <v>37</v>
      </c>
      <c r="B377" s="28" t="s">
        <v>1152</v>
      </c>
      <c r="C377" s="1" t="s">
        <v>151</v>
      </c>
      <c r="D377" s="2">
        <v>420564153</v>
      </c>
      <c r="E377" s="3" t="s">
        <v>1153</v>
      </c>
      <c r="F377" s="1"/>
      <c r="G377" s="1" t="s">
        <v>42</v>
      </c>
      <c r="H377" s="1">
        <v>1</v>
      </c>
      <c r="I377" s="1">
        <v>1</v>
      </c>
      <c r="J377" s="1">
        <v>0</v>
      </c>
      <c r="K377" s="1">
        <v>1</v>
      </c>
      <c r="L377" s="1">
        <v>0</v>
      </c>
      <c r="M377" s="1">
        <f t="shared" si="14"/>
        <v>276</v>
      </c>
      <c r="N377" s="1">
        <f t="shared" si="15"/>
        <v>276</v>
      </c>
      <c r="O377" s="31" t="s">
        <v>1154</v>
      </c>
      <c r="P377" s="1"/>
      <c r="Q377" s="1">
        <v>288</v>
      </c>
      <c r="R377" s="1" t="s">
        <v>44</v>
      </c>
      <c r="S377" s="30" t="s">
        <v>145</v>
      </c>
      <c r="T377" s="31" t="s">
        <v>1154</v>
      </c>
      <c r="U377" s="1">
        <v>1</v>
      </c>
      <c r="V377" s="1">
        <v>1</v>
      </c>
      <c r="W377" s="1" t="s">
        <v>1155</v>
      </c>
      <c r="X377" s="33" t="s">
        <v>1156</v>
      </c>
      <c r="Y377" s="1">
        <v>91.973118825300006</v>
      </c>
      <c r="Z377" s="2" t="s">
        <v>1128</v>
      </c>
      <c r="AA377" s="1"/>
      <c r="AB377" s="1"/>
      <c r="AC377" s="1"/>
      <c r="AD377" s="1"/>
      <c r="AE377" s="1"/>
      <c r="AF377" s="1"/>
      <c r="AG377" s="1"/>
      <c r="AH377" s="1"/>
      <c r="AI377" s="1"/>
      <c r="AJ377" s="1"/>
      <c r="AK377" s="1"/>
      <c r="AL377" s="1"/>
      <c r="AM377" s="1"/>
      <c r="AN377" s="1"/>
      <c r="AO377" s="1"/>
      <c r="AP377" s="1"/>
      <c r="AQ377" s="1"/>
      <c r="AR377" s="1"/>
      <c r="AS377" s="1"/>
      <c r="AT377" s="1"/>
      <c r="AU377" s="1"/>
      <c r="AV377" s="1">
        <f>SUM($AT377,Z377:$AA377)-SUM($AV$5:AV$5)*$J377-SUM($AV$6:AV$6)*$K377</f>
        <v>0</v>
      </c>
      <c r="AW377" s="1">
        <f>SUM($AT377,$AA377:AA377)-SUM($AV$5:AW$5)*$J377-SUM($AV$6:AW$6)*$K377</f>
        <v>0</v>
      </c>
      <c r="AX377" s="1">
        <f>SUM($AT377,$AA377:AB377)-SUM($AV$5:AX$5)*$J377-SUM($AV$6:AX$6)*$K377</f>
        <v>0</v>
      </c>
      <c r="AY377" s="1">
        <f>SUM($AT377,$AA377:AC377)-SUM($AV$5:AY$5)*$J377-SUM($AV$6:AY$6)*$K377</f>
        <v>0</v>
      </c>
      <c r="AZ377" s="1">
        <f>SUM($AT377,$AA377:AD377)-SUM($AV$5:AZ$5)*$J377-SUM($AV$6:AZ$6)*$K377</f>
        <v>-10</v>
      </c>
      <c r="BA377" s="1">
        <f>SUM($AT377,$AA377:AE377)-SUM($AV$5:BA$5)*$J377-SUM($AV$6:BA$6)*$K377</f>
        <v>-30</v>
      </c>
      <c r="BB377" s="1">
        <f>SUM($AT377,$AA377:AF377)-SUM($AV$5:BB$5)*$J377-SUM($AV$6:BB$6)*$K377</f>
        <v>-120</v>
      </c>
      <c r="BC377" s="1">
        <f>SUM($AT377,$AA377:AG377)-SUM($AV$5:BC$5)*$J377-SUM($AV$6:BC$6)*$K377</f>
        <v>-210</v>
      </c>
      <c r="BD377" s="1">
        <f>SUM($AT377,$AA377:AH377)-SUM($AV$5:BD$5)*$J377-SUM($AV$6:BD$6)*$K377</f>
        <v>-276</v>
      </c>
      <c r="BE377" s="1">
        <f>SUM($AT377,$AA377:AI377)-SUM($AV$5:BE$5)*$J377-SUM($AV$6:BE$6)*$K377</f>
        <v>-276</v>
      </c>
      <c r="BF377" s="1">
        <f>SUM($AT377,$AA377:AJ377)-SUM($AV$5:BF$5)*$J377-SUM($AV$6:BF$6)*$K377</f>
        <v>-276</v>
      </c>
      <c r="BG377" s="1">
        <f>SUM($AT377,$AA377:AK377)-SUM($AV$5:BG$5)*$J377-SUM($AV$6:BG$6)*$K377</f>
        <v>-276</v>
      </c>
      <c r="BH377" s="1">
        <f>SUM($AT377,$AA377:AL377)-SUM($AV$5:BH$5)*$J377-SUM($AV$6:BH$6)*$K377</f>
        <v>-276</v>
      </c>
      <c r="BI377" s="1">
        <f>SUM($AT377,$AA377:AM377)-SUM($AV$5:BI$5)*$J377-SUM($AV$6:BI$6)*$K377</f>
        <v>-276</v>
      </c>
      <c r="BJ377" s="1">
        <f>SUM($AT377,$AA377:AN377)-SUM($AV$5:BJ$5)*$J377-SUM($AV$6:BJ$6)*$K377</f>
        <v>-276</v>
      </c>
      <c r="BK377" s="1">
        <f>SUM($AT377,$AA377:AO377)-SUM($AV$5:BK$5)*$J377-SUM($AV$6:BK$6)*$K377</f>
        <v>-276</v>
      </c>
      <c r="BL377" s="1">
        <f>SUM($AT377,$AA377:AP377)-SUM($AV$5:BL$5)*$J377-SUM($AV$6:BL$6)*$K377</f>
        <v>-276</v>
      </c>
      <c r="BM377" s="1">
        <f>SUM($AT377,$AA377:AQ377)-SUM($AV$5:BM$5)*$J377-SUM($AV$6:BM$6)*$K377</f>
        <v>-276</v>
      </c>
      <c r="BN377" s="1">
        <f>SUM($AT377,$AA377:AR377)-SUM($AV$5:BN$5)*$J377-SUM($AV$6:BN$6)*$K377</f>
        <v>-276</v>
      </c>
    </row>
    <row r="378" spans="1:66">
      <c r="A378" s="1">
        <v>38</v>
      </c>
      <c r="B378" s="28" t="s">
        <v>1157</v>
      </c>
      <c r="C378" s="1" t="s">
        <v>151</v>
      </c>
      <c r="D378" s="2">
        <v>418377581</v>
      </c>
      <c r="E378" s="3" t="s">
        <v>1158</v>
      </c>
      <c r="F378" s="1"/>
      <c r="G378" s="1" t="s">
        <v>42</v>
      </c>
      <c r="H378" s="1">
        <v>1</v>
      </c>
      <c r="I378" s="1">
        <v>1</v>
      </c>
      <c r="J378" s="1">
        <v>0</v>
      </c>
      <c r="K378" s="1">
        <v>1</v>
      </c>
      <c r="L378" s="1">
        <v>0</v>
      </c>
      <c r="M378" s="1">
        <f t="shared" si="14"/>
        <v>276</v>
      </c>
      <c r="N378" s="1">
        <f t="shared" si="15"/>
        <v>276</v>
      </c>
      <c r="O378" s="31" t="s">
        <v>1154</v>
      </c>
      <c r="P378" s="1"/>
      <c r="Q378" s="1">
        <v>140</v>
      </c>
      <c r="R378" s="1" t="s">
        <v>44</v>
      </c>
      <c r="S378" s="30" t="s">
        <v>145</v>
      </c>
      <c r="T378" s="31" t="s">
        <v>1154</v>
      </c>
      <c r="U378" s="1">
        <v>1</v>
      </c>
      <c r="V378" s="1">
        <v>1</v>
      </c>
      <c r="W378" s="1" t="s">
        <v>1155</v>
      </c>
      <c r="X378" s="33" t="s">
        <v>1156</v>
      </c>
      <c r="Y378" s="1">
        <v>91.973118825300006</v>
      </c>
      <c r="Z378" s="2" t="s">
        <v>1128</v>
      </c>
      <c r="AA378" s="1"/>
      <c r="AB378" s="1"/>
      <c r="AC378" s="1"/>
      <c r="AD378" s="1"/>
      <c r="AE378" s="1"/>
      <c r="AF378" s="1"/>
      <c r="AG378" s="1"/>
      <c r="AH378" s="1"/>
      <c r="AI378" s="1"/>
      <c r="AJ378" s="1"/>
      <c r="AK378" s="1"/>
      <c r="AL378" s="1"/>
      <c r="AM378" s="1"/>
      <c r="AN378" s="1"/>
      <c r="AO378" s="1"/>
      <c r="AP378" s="1"/>
      <c r="AQ378" s="1"/>
      <c r="AR378" s="1"/>
      <c r="AS378" s="1"/>
      <c r="AT378" s="1"/>
      <c r="AU378" s="1"/>
      <c r="AV378" s="1">
        <f>SUM($AT378,Z378:$AA378)-SUM($AV$5:AV$5)*$J378-SUM($AV$6:AV$6)*$K378</f>
        <v>0</v>
      </c>
      <c r="AW378" s="1">
        <f>SUM($AT378,$AA378:AA378)-SUM($AV$5:AW$5)*$J378-SUM($AV$6:AW$6)*$K378</f>
        <v>0</v>
      </c>
      <c r="AX378" s="1">
        <f>SUM($AT378,$AA378:AB378)-SUM($AV$5:AX$5)*$J378-SUM($AV$6:AX$6)*$K378</f>
        <v>0</v>
      </c>
      <c r="AY378" s="1">
        <f>SUM($AT378,$AA378:AC378)-SUM($AV$5:AY$5)*$J378-SUM($AV$6:AY$6)*$K378</f>
        <v>0</v>
      </c>
      <c r="AZ378" s="1">
        <f>SUM($AT378,$AA378:AD378)-SUM($AV$5:AZ$5)*$J378-SUM($AV$6:AZ$6)*$K378</f>
        <v>-10</v>
      </c>
      <c r="BA378" s="1">
        <f>SUM($AT378,$AA378:AE378)-SUM($AV$5:BA$5)*$J378-SUM($AV$6:BA$6)*$K378</f>
        <v>-30</v>
      </c>
      <c r="BB378" s="1">
        <f>SUM($AT378,$AA378:AF378)-SUM($AV$5:BB$5)*$J378-SUM($AV$6:BB$6)*$K378</f>
        <v>-120</v>
      </c>
      <c r="BC378" s="1">
        <f>SUM($AT378,$AA378:AG378)-SUM($AV$5:BC$5)*$J378-SUM($AV$6:BC$6)*$K378</f>
        <v>-210</v>
      </c>
      <c r="BD378" s="1">
        <f>SUM($AT378,$AA378:AH378)-SUM($AV$5:BD$5)*$J378-SUM($AV$6:BD$6)*$K378</f>
        <v>-276</v>
      </c>
      <c r="BE378" s="1">
        <f>SUM($AT378,$AA378:AI378)-SUM($AV$5:BE$5)*$J378-SUM($AV$6:BE$6)*$K378</f>
        <v>-276</v>
      </c>
      <c r="BF378" s="1">
        <f>SUM($AT378,$AA378:AJ378)-SUM($AV$5:BF$5)*$J378-SUM($AV$6:BF$6)*$K378</f>
        <v>-276</v>
      </c>
      <c r="BG378" s="1">
        <f>SUM($AT378,$AA378:AK378)-SUM($AV$5:BG$5)*$J378-SUM($AV$6:BG$6)*$K378</f>
        <v>-276</v>
      </c>
      <c r="BH378" s="1">
        <f>SUM($AT378,$AA378:AL378)-SUM($AV$5:BH$5)*$J378-SUM($AV$6:BH$6)*$K378</f>
        <v>-276</v>
      </c>
      <c r="BI378" s="1">
        <f>SUM($AT378,$AA378:AM378)-SUM($AV$5:BI$5)*$J378-SUM($AV$6:BI$6)*$K378</f>
        <v>-276</v>
      </c>
      <c r="BJ378" s="1">
        <f>SUM($AT378,$AA378:AN378)-SUM($AV$5:BJ$5)*$J378-SUM($AV$6:BJ$6)*$K378</f>
        <v>-276</v>
      </c>
      <c r="BK378" s="1">
        <f>SUM($AT378,$AA378:AO378)-SUM($AV$5:BK$5)*$J378-SUM($AV$6:BK$6)*$K378</f>
        <v>-276</v>
      </c>
      <c r="BL378" s="1">
        <f>SUM($AT378,$AA378:AP378)-SUM($AV$5:BL$5)*$J378-SUM($AV$6:BL$6)*$K378</f>
        <v>-276</v>
      </c>
      <c r="BM378" s="1">
        <f>SUM($AT378,$AA378:AQ378)-SUM($AV$5:BM$5)*$J378-SUM($AV$6:BM$6)*$K378</f>
        <v>-276</v>
      </c>
      <c r="BN378" s="1">
        <f>SUM($AT378,$AA378:AR378)-SUM($AV$5:BN$5)*$J378-SUM($AV$6:BN$6)*$K378</f>
        <v>-276</v>
      </c>
    </row>
    <row r="379" spans="1:66">
      <c r="A379" s="1">
        <v>57</v>
      </c>
      <c r="B379" s="28" t="s">
        <v>1159</v>
      </c>
      <c r="C379" s="1" t="s">
        <v>40</v>
      </c>
      <c r="D379" s="2">
        <v>732602347</v>
      </c>
      <c r="E379" s="3" t="s">
        <v>1160</v>
      </c>
      <c r="F379" s="1" t="s">
        <v>1161</v>
      </c>
      <c r="G379" s="1" t="s">
        <v>164</v>
      </c>
      <c r="H379" s="1">
        <v>2</v>
      </c>
      <c r="I379" s="1" t="s">
        <v>165</v>
      </c>
      <c r="J379" s="1">
        <v>0.05</v>
      </c>
      <c r="K379" s="1">
        <v>0</v>
      </c>
      <c r="L379" s="1">
        <v>0</v>
      </c>
      <c r="M379" s="1">
        <f t="shared" si="14"/>
        <v>29.1</v>
      </c>
      <c r="N379" s="1">
        <f t="shared" si="15"/>
        <v>29.1</v>
      </c>
      <c r="O379" s="2" t="s">
        <v>179</v>
      </c>
      <c r="P379" s="1"/>
      <c r="Q379" s="1">
        <v>15.6</v>
      </c>
      <c r="R379" s="1" t="s">
        <v>44</v>
      </c>
      <c r="S379" s="30" t="s">
        <v>293</v>
      </c>
      <c r="T379" s="31" t="s">
        <v>167</v>
      </c>
      <c r="U379" s="1">
        <v>1</v>
      </c>
      <c r="V379" s="1">
        <v>1</v>
      </c>
      <c r="W379" s="1" t="s">
        <v>168</v>
      </c>
      <c r="X379" s="33" t="s">
        <v>169</v>
      </c>
      <c r="Y379" s="1"/>
      <c r="Z379" s="2" t="s">
        <v>179</v>
      </c>
      <c r="AA379" s="1"/>
      <c r="AB379" s="1"/>
      <c r="AC379" s="1"/>
      <c r="AD379" s="1"/>
      <c r="AE379" s="1"/>
      <c r="AF379" s="1"/>
      <c r="AG379" s="1"/>
      <c r="AH379" s="1"/>
      <c r="AI379" s="1"/>
      <c r="AJ379" s="1"/>
      <c r="AK379" s="1"/>
      <c r="AL379" s="1"/>
      <c r="AM379" s="1"/>
      <c r="AN379" s="1"/>
      <c r="AO379" s="1"/>
      <c r="AP379" s="1"/>
      <c r="AQ379" s="1"/>
      <c r="AR379" s="1"/>
      <c r="AS379" s="1"/>
      <c r="AT379" s="1"/>
      <c r="AU379" s="1"/>
      <c r="AV379" s="1">
        <f>SUM($AT379,Z379:$AA379)-SUM($AV$5:AV$5)*$J379-SUM($AV$6:AV$6)*$K379</f>
        <v>0</v>
      </c>
      <c r="AW379" s="1">
        <f>SUM($AT379,$AA379:AA379)-SUM($AV$5:AW$5)*$J379-SUM($AV$6:AW$6)*$K379</f>
        <v>0</v>
      </c>
      <c r="AX379" s="1">
        <f>SUM($AT379,$AA379:AB379)-SUM($AV$5:AX$5)*$J379-SUM($AV$6:AX$6)*$K379</f>
        <v>0</v>
      </c>
      <c r="AY379" s="1">
        <f>SUM($AT379,$AA379:AC379)-SUM($AV$5:AY$5)*$J379-SUM($AV$6:AY$6)*$K379</f>
        <v>0</v>
      </c>
      <c r="AZ379" s="1">
        <f>SUM($AT379,$AA379:AD379)-SUM($AV$5:AZ$5)*$J379-SUM($AV$6:AZ$6)*$K379</f>
        <v>-2</v>
      </c>
      <c r="BA379" s="1">
        <f>SUM($AT379,$AA379:AE379)-SUM($AV$5:BA$5)*$J379-SUM($AV$6:BA$6)*$K379</f>
        <v>-4</v>
      </c>
      <c r="BB379" s="1">
        <f>SUM($AT379,$AA379:AF379)-SUM($AV$5:BB$5)*$J379-SUM($AV$6:BB$6)*$K379</f>
        <v>-6</v>
      </c>
      <c r="BC379" s="1">
        <f>SUM($AT379,$AA379:AG379)-SUM($AV$5:BC$5)*$J379-SUM($AV$6:BC$6)*$K379</f>
        <v>-8</v>
      </c>
      <c r="BD379" s="1">
        <f>SUM($AT379,$AA379:AH379)-SUM($AV$5:BD$5)*$J379-SUM($AV$6:BD$6)*$K379</f>
        <v>-10</v>
      </c>
      <c r="BE379" s="1">
        <f>SUM($AT379,$AA379:AI379)-SUM($AV$5:BE$5)*$J379-SUM($AV$6:BE$6)*$K379</f>
        <v>-12</v>
      </c>
      <c r="BF379" s="1">
        <f>SUM($AT379,$AA379:AJ379)-SUM($AV$5:BF$5)*$J379-SUM($AV$6:BF$6)*$K379</f>
        <v>-14</v>
      </c>
      <c r="BG379" s="1">
        <f>SUM($AT379,$AA379:AK379)-SUM($AV$5:BG$5)*$J379-SUM($AV$6:BG$6)*$K379</f>
        <v>-16</v>
      </c>
      <c r="BH379" s="1">
        <f>SUM($AT379,$AA379:AL379)-SUM($AV$5:BH$5)*$J379-SUM($AV$6:BH$6)*$K379</f>
        <v>-18</v>
      </c>
      <c r="BI379" s="1">
        <f>SUM($AT379,$AA379:AM379)-SUM($AV$5:BI$5)*$J379-SUM($AV$6:BI$6)*$K379</f>
        <v>-20</v>
      </c>
      <c r="BJ379" s="1">
        <f>SUM($AT379,$AA379:AN379)-SUM($AV$5:BJ$5)*$J379-SUM($AV$6:BJ$6)*$K379</f>
        <v>-22</v>
      </c>
      <c r="BK379" s="1">
        <f>SUM($AT379,$AA379:AO379)-SUM($AV$5:BK$5)*$J379-SUM($AV$6:BK$6)*$K379</f>
        <v>-24</v>
      </c>
      <c r="BL379" s="1">
        <f>SUM($AT379,$AA379:AP379)-SUM($AV$5:BL$5)*$J379-SUM($AV$6:BL$6)*$K379</f>
        <v>-26</v>
      </c>
      <c r="BM379" s="1">
        <f>SUM($AT379,$AA379:AQ379)-SUM($AV$5:BM$5)*$J379-SUM($AV$6:BM$6)*$K379</f>
        <v>-28</v>
      </c>
      <c r="BN379" s="1">
        <f>SUM($AT379,$AA379:AR379)-SUM($AV$5:BN$5)*$J379-SUM($AV$6:BN$6)*$K379</f>
        <v>-29.1</v>
      </c>
    </row>
    <row r="380" spans="1:66">
      <c r="A380" s="12">
        <v>68</v>
      </c>
      <c r="B380" s="48" t="s">
        <v>1162</v>
      </c>
      <c r="C380" s="12" t="s">
        <v>151</v>
      </c>
      <c r="D380" s="49">
        <v>402955655</v>
      </c>
      <c r="E380" s="50" t="s">
        <v>1163</v>
      </c>
      <c r="F380" s="12"/>
      <c r="G380" s="12" t="s">
        <v>42</v>
      </c>
      <c r="H380" s="12">
        <v>1</v>
      </c>
      <c r="I380" s="12">
        <v>2</v>
      </c>
      <c r="J380" s="12">
        <v>2</v>
      </c>
      <c r="K380" s="12">
        <v>0</v>
      </c>
      <c r="L380" s="12">
        <v>0</v>
      </c>
      <c r="M380" s="12">
        <f t="shared" si="14"/>
        <v>1164</v>
      </c>
      <c r="N380" s="1">
        <f t="shared" si="15"/>
        <v>1164</v>
      </c>
      <c r="O380" s="31" t="s">
        <v>1164</v>
      </c>
      <c r="P380" s="1"/>
      <c r="Q380" s="31">
        <v>766.17</v>
      </c>
      <c r="R380" s="1" t="s">
        <v>1147</v>
      </c>
      <c r="S380" s="30" t="s">
        <v>961</v>
      </c>
      <c r="T380" s="31" t="s">
        <v>1164</v>
      </c>
      <c r="U380" s="12">
        <v>1</v>
      </c>
      <c r="V380" s="12">
        <v>1</v>
      </c>
      <c r="W380" s="12" t="s">
        <v>1165</v>
      </c>
      <c r="X380" s="33" t="s">
        <v>1166</v>
      </c>
      <c r="Y380" s="12" t="s">
        <v>1167</v>
      </c>
      <c r="Z380" s="49" t="s">
        <v>1168</v>
      </c>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
        <f>SUM($AT380,Z380:$AA380)-SUM($AV$5:AV$5)*$J380-SUM($AV$6:AV$6)*$K380</f>
        <v>0</v>
      </c>
      <c r="AW380" s="1">
        <f>SUM($AT380,$AA380:AA380)-SUM($AV$5:AW$5)*$J380-SUM($AV$6:AW$6)*$K380</f>
        <v>0</v>
      </c>
      <c r="AX380" s="1">
        <f>SUM($AT380,$AA380:AB380)-SUM($AV$5:AX$5)*$J380-SUM($AV$6:AX$6)*$K380</f>
        <v>0</v>
      </c>
      <c r="AY380" s="1">
        <f>SUM($AT380,$AA380:AC380)-SUM($AV$5:AY$5)*$J380-SUM($AV$6:AY$6)*$K380</f>
        <v>0</v>
      </c>
      <c r="AZ380" s="1">
        <f>SUM($AT380,$AA380:AD380)-SUM($AV$5:AZ$5)*$J380-SUM($AV$6:AZ$6)*$K380</f>
        <v>-80</v>
      </c>
      <c r="BA380" s="1">
        <f>SUM($AT380,$AA380:AE380)-SUM($AV$5:BA$5)*$J380-SUM($AV$6:BA$6)*$K380</f>
        <v>-160</v>
      </c>
      <c r="BB380" s="1">
        <f>SUM($AT380,$AA380:AF380)-SUM($AV$5:BB$5)*$J380-SUM($AV$6:BB$6)*$K380</f>
        <v>-240</v>
      </c>
      <c r="BC380" s="1">
        <f>SUM($AT380,$AA380:AG380)-SUM($AV$5:BC$5)*$J380-SUM($AV$6:BC$6)*$K380</f>
        <v>-320</v>
      </c>
      <c r="BD380" s="1">
        <f>SUM($AT380,$AA380:AH380)-SUM($AV$5:BD$5)*$J380-SUM($AV$6:BD$6)*$K380</f>
        <v>-400</v>
      </c>
      <c r="BE380" s="1">
        <f>SUM($AT380,$AA380:AI380)-SUM($AV$5:BE$5)*$J380-SUM($AV$6:BE$6)*$K380</f>
        <v>-480</v>
      </c>
      <c r="BF380" s="1">
        <f>SUM($AT380,$AA380:AJ380)-SUM($AV$5:BF$5)*$J380-SUM($AV$6:BF$6)*$K380</f>
        <v>-560</v>
      </c>
      <c r="BG380" s="1">
        <f>SUM($AT380,$AA380:AK380)-SUM($AV$5:BG$5)*$J380-SUM($AV$6:BG$6)*$K380</f>
        <v>-640</v>
      </c>
      <c r="BH380" s="1">
        <f>SUM($AT380,$AA380:AL380)-SUM($AV$5:BH$5)*$J380-SUM($AV$6:BH$6)*$K380</f>
        <v>-720</v>
      </c>
      <c r="BI380" s="1">
        <f>SUM($AT380,$AA380:AM380)-SUM($AV$5:BI$5)*$J380-SUM($AV$6:BI$6)*$K380</f>
        <v>-800</v>
      </c>
      <c r="BJ380" s="1">
        <f>SUM($AT380,$AA380:AN380)-SUM($AV$5:BJ$5)*$J380-SUM($AV$6:BJ$6)*$K380</f>
        <v>-880</v>
      </c>
      <c r="BK380" s="1">
        <f>SUM($AT380,$AA380:AO380)-SUM($AV$5:BK$5)*$J380-SUM($AV$6:BK$6)*$K380</f>
        <v>-960</v>
      </c>
      <c r="BL380" s="1">
        <f>SUM($AT380,$AA380:AP380)-SUM($AV$5:BL$5)*$J380-SUM($AV$6:BL$6)*$K380</f>
        <v>-1040</v>
      </c>
      <c r="BM380" s="1">
        <f>SUM($AT380,$AA380:AQ380)-SUM($AV$5:BM$5)*$J380-SUM($AV$6:BM$6)*$K380</f>
        <v>-1120</v>
      </c>
      <c r="BN380" s="1">
        <f>SUM($AT380,$AA380:AR380)-SUM($AV$5:BN$5)*$J380-SUM($AV$6:BN$6)*$K380</f>
        <v>-1164</v>
      </c>
    </row>
    <row r="381" spans="1:66">
      <c r="A381" s="1">
        <v>73</v>
      </c>
      <c r="B381" s="28" t="s">
        <v>1169</v>
      </c>
      <c r="C381" s="1" t="s">
        <v>40</v>
      </c>
      <c r="D381" s="2">
        <v>418126610</v>
      </c>
      <c r="E381" s="3" t="s">
        <v>1170</v>
      </c>
      <c r="F381" s="1">
        <v>409770593</v>
      </c>
      <c r="G381" s="1" t="s">
        <v>42</v>
      </c>
      <c r="H381" s="1">
        <v>1</v>
      </c>
      <c r="I381" s="1">
        <v>1</v>
      </c>
      <c r="J381" s="1">
        <v>1</v>
      </c>
      <c r="K381" s="1">
        <v>0</v>
      </c>
      <c r="L381" s="1">
        <v>0</v>
      </c>
      <c r="M381" s="1">
        <f t="shared" si="14"/>
        <v>582</v>
      </c>
      <c r="N381" s="1">
        <f t="shared" si="15"/>
        <v>582</v>
      </c>
      <c r="O381" s="2" t="s">
        <v>1171</v>
      </c>
      <c r="P381" s="1"/>
      <c r="Q381" s="1">
        <v>11.5</v>
      </c>
      <c r="R381" s="1" t="s">
        <v>44</v>
      </c>
      <c r="S381" s="30" t="s">
        <v>285</v>
      </c>
      <c r="T381" s="31" t="s">
        <v>417</v>
      </c>
      <c r="U381" s="1">
        <v>1</v>
      </c>
      <c r="V381" s="1">
        <v>1</v>
      </c>
      <c r="W381" s="1" t="s">
        <v>418</v>
      </c>
      <c r="X381" s="33" t="s">
        <v>419</v>
      </c>
      <c r="Y381" s="1" t="s">
        <v>420</v>
      </c>
      <c r="Z381" s="2" t="s">
        <v>1171</v>
      </c>
      <c r="AA381" s="1"/>
      <c r="AB381" s="1"/>
      <c r="AC381" s="1"/>
      <c r="AD381" s="1"/>
      <c r="AE381" s="1"/>
      <c r="AF381" s="1"/>
      <c r="AG381" s="1"/>
      <c r="AH381" s="1"/>
      <c r="AI381" s="1"/>
      <c r="AJ381" s="1"/>
      <c r="AK381" s="1"/>
      <c r="AL381" s="1"/>
      <c r="AM381" s="1"/>
      <c r="AN381" s="1"/>
      <c r="AO381" s="1"/>
      <c r="AP381" s="1"/>
      <c r="AQ381" s="1"/>
      <c r="AR381" s="1"/>
      <c r="AS381" s="1"/>
      <c r="AT381" s="1"/>
      <c r="AU381" s="1"/>
      <c r="AV381" s="1">
        <f>SUM($AT381,Z381:$AA381)-SUM($AV$5:AV$5)*$J381-SUM($AV$6:AV$6)*$K381</f>
        <v>0</v>
      </c>
      <c r="AW381" s="1">
        <f>SUM($AT381,$AA381:AA381)-SUM($AV$5:AW$5)*$J381-SUM($AV$6:AW$6)*$K381</f>
        <v>0</v>
      </c>
      <c r="AX381" s="1">
        <f>SUM($AT381,$AA381:AB381)-SUM($AV$5:AX$5)*$J381-SUM($AV$6:AX$6)*$K381</f>
        <v>0</v>
      </c>
      <c r="AY381" s="1">
        <f>SUM($AT381,$AA381:AC381)-SUM($AV$5:AY$5)*$J381-SUM($AV$6:AY$6)*$K381</f>
        <v>0</v>
      </c>
      <c r="AZ381" s="1">
        <f>SUM($AT381,$AA381:AD381)-SUM($AV$5:AZ$5)*$J381-SUM($AV$6:AZ$6)*$K381</f>
        <v>-40</v>
      </c>
      <c r="BA381" s="1">
        <f>SUM($AT381,$AA381:AE381)-SUM($AV$5:BA$5)*$J381-SUM($AV$6:BA$6)*$K381</f>
        <v>-80</v>
      </c>
      <c r="BB381" s="1">
        <f>SUM($AT381,$AA381:AF381)-SUM($AV$5:BB$5)*$J381-SUM($AV$6:BB$6)*$K381</f>
        <v>-120</v>
      </c>
      <c r="BC381" s="1">
        <f>SUM($AT381,$AA381:AG381)-SUM($AV$5:BC$5)*$J381-SUM($AV$6:BC$6)*$K381</f>
        <v>-160</v>
      </c>
      <c r="BD381" s="1">
        <f>SUM($AT381,$AA381:AH381)-SUM($AV$5:BD$5)*$J381-SUM($AV$6:BD$6)*$K381</f>
        <v>-200</v>
      </c>
      <c r="BE381" s="1">
        <f>SUM($AT381,$AA381:AI381)-SUM($AV$5:BE$5)*$J381-SUM($AV$6:BE$6)*$K381</f>
        <v>-240</v>
      </c>
      <c r="BF381" s="1">
        <f>SUM($AT381,$AA381:AJ381)-SUM($AV$5:BF$5)*$J381-SUM($AV$6:BF$6)*$K381</f>
        <v>-280</v>
      </c>
      <c r="BG381" s="1">
        <f>SUM($AT381,$AA381:AK381)-SUM($AV$5:BG$5)*$J381-SUM($AV$6:BG$6)*$K381</f>
        <v>-320</v>
      </c>
      <c r="BH381" s="1">
        <f>SUM($AT381,$AA381:AL381)-SUM($AV$5:BH$5)*$J381-SUM($AV$6:BH$6)*$K381</f>
        <v>-360</v>
      </c>
      <c r="BI381" s="1">
        <f>SUM($AT381,$AA381:AM381)-SUM($AV$5:BI$5)*$J381-SUM($AV$6:BI$6)*$K381</f>
        <v>-400</v>
      </c>
      <c r="BJ381" s="1">
        <f>SUM($AT381,$AA381:AN381)-SUM($AV$5:BJ$5)*$J381-SUM($AV$6:BJ$6)*$K381</f>
        <v>-440</v>
      </c>
      <c r="BK381" s="1">
        <f>SUM($AT381,$AA381:AO381)-SUM($AV$5:BK$5)*$J381-SUM($AV$6:BK$6)*$K381</f>
        <v>-480</v>
      </c>
      <c r="BL381" s="1">
        <f>SUM($AT381,$AA381:AP381)-SUM($AV$5:BL$5)*$J381-SUM($AV$6:BL$6)*$K381</f>
        <v>-520</v>
      </c>
      <c r="BM381" s="1">
        <f>SUM($AT381,$AA381:AQ381)-SUM($AV$5:BM$5)*$J381-SUM($AV$6:BM$6)*$K381</f>
        <v>-560</v>
      </c>
      <c r="BN381" s="1">
        <f>SUM($AT381,$AA381:AR381)-SUM($AV$5:BN$5)*$J381-SUM($AV$6:BN$6)*$K381</f>
        <v>-582</v>
      </c>
    </row>
    <row r="382" spans="1:66">
      <c r="A382" s="1">
        <v>76</v>
      </c>
      <c r="B382" s="28" t="s">
        <v>1172</v>
      </c>
      <c r="C382" s="1" t="s">
        <v>151</v>
      </c>
      <c r="D382" s="2">
        <v>402113164</v>
      </c>
      <c r="E382" s="3" t="s">
        <v>1173</v>
      </c>
      <c r="F382" s="1"/>
      <c r="G382" s="1" t="s">
        <v>42</v>
      </c>
      <c r="H382" s="1">
        <v>1</v>
      </c>
      <c r="I382" s="1">
        <v>8</v>
      </c>
      <c r="J382" s="1">
        <v>8</v>
      </c>
      <c r="K382" s="1">
        <v>0</v>
      </c>
      <c r="L382" s="1">
        <v>0</v>
      </c>
      <c r="M382" s="1">
        <f t="shared" si="14"/>
        <v>4656</v>
      </c>
      <c r="N382" s="1">
        <f t="shared" si="15"/>
        <v>4656</v>
      </c>
      <c r="O382" s="31" t="s">
        <v>1174</v>
      </c>
      <c r="P382" s="1"/>
      <c r="Q382" s="31">
        <v>93</v>
      </c>
      <c r="R382" s="1" t="s">
        <v>1147</v>
      </c>
      <c r="S382" s="30" t="s">
        <v>945</v>
      </c>
      <c r="T382" s="31" t="s">
        <v>1174</v>
      </c>
      <c r="U382" s="1">
        <v>1</v>
      </c>
      <c r="V382" s="1">
        <v>1</v>
      </c>
      <c r="W382" s="1" t="s">
        <v>1175</v>
      </c>
      <c r="X382" s="33" t="s">
        <v>1176</v>
      </c>
      <c r="Y382" s="1" t="s">
        <v>1177</v>
      </c>
      <c r="Z382" s="2" t="s">
        <v>1178</v>
      </c>
      <c r="AA382" s="1"/>
      <c r="AB382" s="1"/>
      <c r="AC382" s="1"/>
      <c r="AD382" s="1"/>
      <c r="AE382" s="1"/>
      <c r="AF382" s="1"/>
      <c r="AG382" s="1"/>
      <c r="AH382" s="1"/>
      <c r="AI382" s="1"/>
      <c r="AJ382" s="1"/>
      <c r="AK382" s="1"/>
      <c r="AL382" s="1"/>
      <c r="AM382" s="1"/>
      <c r="AN382" s="1"/>
      <c r="AO382" s="1"/>
      <c r="AP382" s="1"/>
      <c r="AQ382" s="1"/>
      <c r="AR382" s="1"/>
      <c r="AS382" s="1"/>
      <c r="AT382" s="1"/>
      <c r="AU382" s="1"/>
      <c r="AV382" s="1">
        <f>SUM($AT382,Z382:$AA382)-SUM($AV$5:AV$5)*$J382-SUM($AV$6:AV$6)*$K382</f>
        <v>0</v>
      </c>
      <c r="AW382" s="1">
        <f>SUM($AT382,$AA382:AA382)-SUM($AV$5:AW$5)*$J382-SUM($AV$6:AW$6)*$K382</f>
        <v>0</v>
      </c>
      <c r="AX382" s="1">
        <f>SUM($AT382,$AA382:AB382)-SUM($AV$5:AX$5)*$J382-SUM($AV$6:AX$6)*$K382</f>
        <v>0</v>
      </c>
      <c r="AY382" s="1">
        <f>SUM($AT382,$AA382:AC382)-SUM($AV$5:AY$5)*$J382-SUM($AV$6:AY$6)*$K382</f>
        <v>0</v>
      </c>
      <c r="AZ382" s="1">
        <f>SUM($AT382,$AA382:AD382)-SUM($AV$5:AZ$5)*$J382-SUM($AV$6:AZ$6)*$K382</f>
        <v>-320</v>
      </c>
      <c r="BA382" s="1">
        <f>SUM($AT382,$AA382:AE382)-SUM($AV$5:BA$5)*$J382-SUM($AV$6:BA$6)*$K382</f>
        <v>-640</v>
      </c>
      <c r="BB382" s="1">
        <f>SUM($AT382,$AA382:AF382)-SUM($AV$5:BB$5)*$J382-SUM($AV$6:BB$6)*$K382</f>
        <v>-960</v>
      </c>
      <c r="BC382" s="1">
        <f>SUM($AT382,$AA382:AG382)-SUM($AV$5:BC$5)*$J382-SUM($AV$6:BC$6)*$K382</f>
        <v>-1280</v>
      </c>
      <c r="BD382" s="1">
        <f>SUM($AT382,$AA382:AH382)-SUM($AV$5:BD$5)*$J382-SUM($AV$6:BD$6)*$K382</f>
        <v>-1600</v>
      </c>
      <c r="BE382" s="1">
        <f>SUM($AT382,$AA382:AI382)-SUM($AV$5:BE$5)*$J382-SUM($AV$6:BE$6)*$K382</f>
        <v>-1920</v>
      </c>
      <c r="BF382" s="1">
        <f>SUM($AT382,$AA382:AJ382)-SUM($AV$5:BF$5)*$J382-SUM($AV$6:BF$6)*$K382</f>
        <v>-2240</v>
      </c>
      <c r="BG382" s="1">
        <f>SUM($AT382,$AA382:AK382)-SUM($AV$5:BG$5)*$J382-SUM($AV$6:BG$6)*$K382</f>
        <v>-2560</v>
      </c>
      <c r="BH382" s="1">
        <f>SUM($AT382,$AA382:AL382)-SUM($AV$5:BH$5)*$J382-SUM($AV$6:BH$6)*$K382</f>
        <v>-2880</v>
      </c>
      <c r="BI382" s="1">
        <f>SUM($AT382,$AA382:AM382)-SUM($AV$5:BI$5)*$J382-SUM($AV$6:BI$6)*$K382</f>
        <v>-3200</v>
      </c>
      <c r="BJ382" s="1">
        <f>SUM($AT382,$AA382:AN382)-SUM($AV$5:BJ$5)*$J382-SUM($AV$6:BJ$6)*$K382</f>
        <v>-3520</v>
      </c>
      <c r="BK382" s="1">
        <f>SUM($AT382,$AA382:AO382)-SUM($AV$5:BK$5)*$J382-SUM($AV$6:BK$6)*$K382</f>
        <v>-3840</v>
      </c>
      <c r="BL382" s="1">
        <f>SUM($AT382,$AA382:AP382)-SUM($AV$5:BL$5)*$J382-SUM($AV$6:BL$6)*$K382</f>
        <v>-4160</v>
      </c>
      <c r="BM382" s="1">
        <f>SUM($AT382,$AA382:AQ382)-SUM($AV$5:BM$5)*$J382-SUM($AV$6:BM$6)*$K382</f>
        <v>-4480</v>
      </c>
      <c r="BN382" s="1">
        <f>SUM($AT382,$AA382:AR382)-SUM($AV$5:BN$5)*$J382-SUM($AV$6:BN$6)*$K382</f>
        <v>-4656</v>
      </c>
    </row>
    <row r="383" spans="1:66">
      <c r="A383" s="1">
        <v>81</v>
      </c>
      <c r="B383" s="28" t="s">
        <v>1179</v>
      </c>
      <c r="C383" s="1" t="s">
        <v>40</v>
      </c>
      <c r="D383" s="2">
        <v>402237173</v>
      </c>
      <c r="E383" s="3" t="s">
        <v>1180</v>
      </c>
      <c r="F383" s="1"/>
      <c r="G383" s="1" t="s">
        <v>42</v>
      </c>
      <c r="H383" s="1">
        <v>1</v>
      </c>
      <c r="I383" s="1">
        <v>1</v>
      </c>
      <c r="J383" s="1">
        <v>1</v>
      </c>
      <c r="K383" s="1">
        <v>0</v>
      </c>
      <c r="L383" s="1">
        <v>0</v>
      </c>
      <c r="M383" s="1">
        <f t="shared" si="14"/>
        <v>582</v>
      </c>
      <c r="N383" s="1">
        <f t="shared" si="15"/>
        <v>582</v>
      </c>
      <c r="O383" s="2" t="s">
        <v>1181</v>
      </c>
      <c r="P383" s="1"/>
      <c r="Q383" s="1">
        <v>18</v>
      </c>
      <c r="R383" s="1" t="s">
        <v>44</v>
      </c>
      <c r="S383" s="30" t="s">
        <v>945</v>
      </c>
      <c r="T383" s="31" t="s">
        <v>1182</v>
      </c>
      <c r="U383" s="1">
        <v>1</v>
      </c>
      <c r="V383" s="1">
        <v>1</v>
      </c>
      <c r="W383" s="1" t="s">
        <v>1183</v>
      </c>
      <c r="X383" s="32" t="s">
        <v>1184</v>
      </c>
      <c r="Y383" s="1" t="s">
        <v>1185</v>
      </c>
      <c r="Z383" s="2" t="s">
        <v>1181</v>
      </c>
      <c r="AA383" s="1"/>
      <c r="AB383" s="1"/>
      <c r="AC383" s="1"/>
      <c r="AD383" s="1"/>
      <c r="AE383" s="1"/>
      <c r="AF383" s="1"/>
      <c r="AG383" s="1"/>
      <c r="AH383" s="1"/>
      <c r="AI383" s="1"/>
      <c r="AJ383" s="1"/>
      <c r="AK383" s="1"/>
      <c r="AL383" s="1"/>
      <c r="AM383" s="1"/>
      <c r="AN383" s="1"/>
      <c r="AO383" s="1"/>
      <c r="AP383" s="1"/>
      <c r="AQ383" s="1"/>
      <c r="AR383" s="1"/>
      <c r="AS383" s="1"/>
      <c r="AT383" s="1"/>
      <c r="AU383" s="1"/>
      <c r="AV383" s="1">
        <f>SUM($AT383,Z383:$AA383)-SUM($AV$5:AV$5)*$J383-SUM($AV$6:AV$6)*$K383</f>
        <v>0</v>
      </c>
      <c r="AW383" s="1">
        <f>SUM($AT383,$AA383:AA383)-SUM($AV$5:AW$5)*$J383-SUM($AV$6:AW$6)*$K383</f>
        <v>0</v>
      </c>
      <c r="AX383" s="1">
        <f>SUM($AT383,$AA383:AB383)-SUM($AV$5:AX$5)*$J383-SUM($AV$6:AX$6)*$K383</f>
        <v>0</v>
      </c>
      <c r="AY383" s="1">
        <f>SUM($AT383,$AA383:AC383)-SUM($AV$5:AY$5)*$J383-SUM($AV$6:AY$6)*$K383</f>
        <v>0</v>
      </c>
      <c r="AZ383" s="1">
        <f>SUM($AT383,$AA383:AD383)-SUM($AV$5:AZ$5)*$J383-SUM($AV$6:AZ$6)*$K383</f>
        <v>-40</v>
      </c>
      <c r="BA383" s="1">
        <f>SUM($AT383,$AA383:AE383)-SUM($AV$5:BA$5)*$J383-SUM($AV$6:BA$6)*$K383</f>
        <v>-80</v>
      </c>
      <c r="BB383" s="1">
        <f>SUM($AT383,$AA383:AF383)-SUM($AV$5:BB$5)*$J383-SUM($AV$6:BB$6)*$K383</f>
        <v>-120</v>
      </c>
      <c r="BC383" s="1">
        <f>SUM($AT383,$AA383:AG383)-SUM($AV$5:BC$5)*$J383-SUM($AV$6:BC$6)*$K383</f>
        <v>-160</v>
      </c>
      <c r="BD383" s="1">
        <f>SUM($AT383,$AA383:AH383)-SUM($AV$5:BD$5)*$J383-SUM($AV$6:BD$6)*$K383</f>
        <v>-200</v>
      </c>
      <c r="BE383" s="1">
        <f>SUM($AT383,$AA383:AI383)-SUM($AV$5:BE$5)*$J383-SUM($AV$6:BE$6)*$K383</f>
        <v>-240</v>
      </c>
      <c r="BF383" s="1">
        <f>SUM($AT383,$AA383:AJ383)-SUM($AV$5:BF$5)*$J383-SUM($AV$6:BF$6)*$K383</f>
        <v>-280</v>
      </c>
      <c r="BG383" s="1">
        <f>SUM($AT383,$AA383:AK383)-SUM($AV$5:BG$5)*$J383-SUM($AV$6:BG$6)*$K383</f>
        <v>-320</v>
      </c>
      <c r="BH383" s="1">
        <f>SUM($AT383,$AA383:AL383)-SUM($AV$5:BH$5)*$J383-SUM($AV$6:BH$6)*$K383</f>
        <v>-360</v>
      </c>
      <c r="BI383" s="1">
        <f>SUM($AT383,$AA383:AM383)-SUM($AV$5:BI$5)*$J383-SUM($AV$6:BI$6)*$K383</f>
        <v>-400</v>
      </c>
      <c r="BJ383" s="1">
        <f>SUM($AT383,$AA383:AN383)-SUM($AV$5:BJ$5)*$J383-SUM($AV$6:BJ$6)*$K383</f>
        <v>-440</v>
      </c>
      <c r="BK383" s="1">
        <f>SUM($AT383,$AA383:AO383)-SUM($AV$5:BK$5)*$J383-SUM($AV$6:BK$6)*$K383</f>
        <v>-480</v>
      </c>
      <c r="BL383" s="1">
        <f>SUM($AT383,$AA383:AP383)-SUM($AV$5:BL$5)*$J383-SUM($AV$6:BL$6)*$K383</f>
        <v>-520</v>
      </c>
      <c r="BM383" s="1">
        <f>SUM($AT383,$AA383:AQ383)-SUM($AV$5:BM$5)*$J383-SUM($AV$6:BM$6)*$K383</f>
        <v>-560</v>
      </c>
      <c r="BN383" s="1">
        <f>SUM($AT383,$AA383:AR383)-SUM($AV$5:BN$5)*$J383-SUM($AV$6:BN$6)*$K383</f>
        <v>-582</v>
      </c>
    </row>
    <row r="384" spans="1:66">
      <c r="A384" s="1">
        <v>86</v>
      </c>
      <c r="B384" s="28" t="s">
        <v>1186</v>
      </c>
      <c r="C384" s="1" t="s">
        <v>40</v>
      </c>
      <c r="D384" s="2">
        <v>400637608</v>
      </c>
      <c r="E384" s="3" t="s">
        <v>1187</v>
      </c>
      <c r="F384" s="1">
        <v>400638309</v>
      </c>
      <c r="G384" s="1" t="s">
        <v>42</v>
      </c>
      <c r="H384" s="1">
        <v>2</v>
      </c>
      <c r="I384" s="1">
        <v>2</v>
      </c>
      <c r="J384" s="1">
        <v>2</v>
      </c>
      <c r="K384" s="1">
        <v>0</v>
      </c>
      <c r="L384" s="1">
        <v>0</v>
      </c>
      <c r="M384" s="1">
        <f t="shared" si="14"/>
        <v>1164</v>
      </c>
      <c r="N384" s="1">
        <f t="shared" si="15"/>
        <v>1164</v>
      </c>
      <c r="O384" s="2" t="s">
        <v>323</v>
      </c>
      <c r="P384" s="1"/>
      <c r="Q384" s="1">
        <v>10.210000000000001</v>
      </c>
      <c r="R384" s="1" t="s">
        <v>44</v>
      </c>
      <c r="S384" s="30" t="s">
        <v>324</v>
      </c>
      <c r="T384" s="31" t="s">
        <v>323</v>
      </c>
      <c r="U384" s="1"/>
      <c r="V384" s="1">
        <v>96</v>
      </c>
      <c r="W384" s="1" t="s">
        <v>325</v>
      </c>
      <c r="X384" s="32" t="s">
        <v>326</v>
      </c>
      <c r="Y384" s="1" t="s">
        <v>327</v>
      </c>
      <c r="Z384" s="2" t="s">
        <v>323</v>
      </c>
      <c r="AA384" s="1"/>
      <c r="AB384" s="1"/>
      <c r="AC384" s="1"/>
      <c r="AD384" s="1"/>
      <c r="AE384" s="1"/>
      <c r="AF384" s="1"/>
      <c r="AG384" s="1"/>
      <c r="AH384" s="1"/>
      <c r="AI384" s="1"/>
      <c r="AJ384" s="1"/>
      <c r="AK384" s="1"/>
      <c r="AL384" s="1"/>
      <c r="AM384" s="1"/>
      <c r="AN384" s="1"/>
      <c r="AO384" s="1"/>
      <c r="AP384" s="1"/>
      <c r="AQ384" s="1"/>
      <c r="AR384" s="1"/>
      <c r="AS384" s="1"/>
      <c r="AT384" s="1"/>
      <c r="AU384" s="1"/>
      <c r="AV384" s="1">
        <f>SUM($AT384,Z384:$AA384)-SUM($AV$5:AV$5)*$J384-SUM($AV$6:AV$6)*$K384</f>
        <v>0</v>
      </c>
      <c r="AW384" s="1">
        <f>SUM($AT384,$AA384:AA384)-SUM($AV$5:AW$5)*$J384-SUM($AV$6:AW$6)*$K384</f>
        <v>0</v>
      </c>
      <c r="AX384" s="1">
        <f>SUM($AT384,$AA384:AB384)-SUM($AV$5:AX$5)*$J384-SUM($AV$6:AX$6)*$K384</f>
        <v>0</v>
      </c>
      <c r="AY384" s="1">
        <f>SUM($AT384,$AA384:AC384)-SUM($AV$5:AY$5)*$J384-SUM($AV$6:AY$6)*$K384</f>
        <v>0</v>
      </c>
      <c r="AZ384" s="1">
        <f>SUM($AT384,$AA384:AD384)-SUM($AV$5:AZ$5)*$J384-SUM($AV$6:AZ$6)*$K384</f>
        <v>-80</v>
      </c>
      <c r="BA384" s="1">
        <f>SUM($AT384,$AA384:AE384)-SUM($AV$5:BA$5)*$J384-SUM($AV$6:BA$6)*$K384</f>
        <v>-160</v>
      </c>
      <c r="BB384" s="1">
        <f>SUM($AT384,$AA384:AF384)-SUM($AV$5:BB$5)*$J384-SUM($AV$6:BB$6)*$K384</f>
        <v>-240</v>
      </c>
      <c r="BC384" s="1">
        <f>SUM($AT384,$AA384:AG384)-SUM($AV$5:BC$5)*$J384-SUM($AV$6:BC$6)*$K384</f>
        <v>-320</v>
      </c>
      <c r="BD384" s="1">
        <f>SUM($AT384,$AA384:AH384)-SUM($AV$5:BD$5)*$J384-SUM($AV$6:BD$6)*$K384</f>
        <v>-400</v>
      </c>
      <c r="BE384" s="1">
        <f>SUM($AT384,$AA384:AI384)-SUM($AV$5:BE$5)*$J384-SUM($AV$6:BE$6)*$K384</f>
        <v>-480</v>
      </c>
      <c r="BF384" s="1">
        <f>SUM($AT384,$AA384:AJ384)-SUM($AV$5:BF$5)*$J384-SUM($AV$6:BF$6)*$K384</f>
        <v>-560</v>
      </c>
      <c r="BG384" s="1">
        <f>SUM($AT384,$AA384:AK384)-SUM($AV$5:BG$5)*$J384-SUM($AV$6:BG$6)*$K384</f>
        <v>-640</v>
      </c>
      <c r="BH384" s="1">
        <f>SUM($AT384,$AA384:AL384)-SUM($AV$5:BH$5)*$J384-SUM($AV$6:BH$6)*$K384</f>
        <v>-720</v>
      </c>
      <c r="BI384" s="1">
        <f>SUM($AT384,$AA384:AM384)-SUM($AV$5:BI$5)*$J384-SUM($AV$6:BI$6)*$K384</f>
        <v>-800</v>
      </c>
      <c r="BJ384" s="1">
        <f>SUM($AT384,$AA384:AN384)-SUM($AV$5:BJ$5)*$J384-SUM($AV$6:BJ$6)*$K384</f>
        <v>-880</v>
      </c>
      <c r="BK384" s="1">
        <f>SUM($AT384,$AA384:AO384)-SUM($AV$5:BK$5)*$J384-SUM($AV$6:BK$6)*$K384</f>
        <v>-960</v>
      </c>
      <c r="BL384" s="1">
        <f>SUM($AT384,$AA384:AP384)-SUM($AV$5:BL$5)*$J384-SUM($AV$6:BL$6)*$K384</f>
        <v>-1040</v>
      </c>
      <c r="BM384" s="1">
        <f>SUM($AT384,$AA384:AQ384)-SUM($AV$5:BM$5)*$J384-SUM($AV$6:BM$6)*$K384</f>
        <v>-1120</v>
      </c>
      <c r="BN384" s="1">
        <f>SUM($AT384,$AA384:AR384)-SUM($AV$5:BN$5)*$J384-SUM($AV$6:BN$6)*$K384</f>
        <v>-1164</v>
      </c>
    </row>
    <row r="385" spans="1:66">
      <c r="A385" s="1">
        <v>92</v>
      </c>
      <c r="B385" s="45" t="s">
        <v>1188</v>
      </c>
      <c r="C385" s="1" t="s">
        <v>40</v>
      </c>
      <c r="D385" s="2">
        <v>403218030</v>
      </c>
      <c r="E385" s="3" t="s">
        <v>1189</v>
      </c>
      <c r="F385" s="1">
        <v>400638312</v>
      </c>
      <c r="G385" s="1" t="s">
        <v>42</v>
      </c>
      <c r="H385" s="1">
        <v>2</v>
      </c>
      <c r="I385" s="1">
        <v>16</v>
      </c>
      <c r="J385" s="1">
        <v>16</v>
      </c>
      <c r="K385" s="1">
        <v>0</v>
      </c>
      <c r="L385" s="1">
        <v>0</v>
      </c>
      <c r="M385" s="1">
        <f t="shared" si="14"/>
        <v>9312</v>
      </c>
      <c r="N385" s="1">
        <f t="shared" si="15"/>
        <v>9312</v>
      </c>
      <c r="O385" s="2" t="s">
        <v>323</v>
      </c>
      <c r="P385" s="1"/>
      <c r="Q385" s="1">
        <v>12.69</v>
      </c>
      <c r="R385" s="1" t="s">
        <v>44</v>
      </c>
      <c r="S385" s="30" t="s">
        <v>324</v>
      </c>
      <c r="T385" s="31" t="s">
        <v>323</v>
      </c>
      <c r="U385" s="1"/>
      <c r="V385" s="1">
        <v>250</v>
      </c>
      <c r="W385" s="1" t="s">
        <v>325</v>
      </c>
      <c r="X385" s="32" t="s">
        <v>326</v>
      </c>
      <c r="Y385" s="1" t="s">
        <v>327</v>
      </c>
      <c r="Z385" s="2" t="s">
        <v>323</v>
      </c>
      <c r="AA385" s="1"/>
      <c r="AB385" s="1"/>
      <c r="AC385" s="1"/>
      <c r="AD385" s="1"/>
      <c r="AE385" s="1"/>
      <c r="AF385" s="1"/>
      <c r="AG385" s="1"/>
      <c r="AH385" s="1"/>
      <c r="AI385" s="1"/>
      <c r="AJ385" s="1"/>
      <c r="AK385" s="1"/>
      <c r="AL385" s="1"/>
      <c r="AM385" s="1"/>
      <c r="AN385" s="1"/>
      <c r="AO385" s="1"/>
      <c r="AP385" s="1"/>
      <c r="AQ385" s="1"/>
      <c r="AR385" s="1"/>
      <c r="AS385" s="1"/>
      <c r="AT385" s="1"/>
      <c r="AU385" s="1"/>
      <c r="AV385" s="1">
        <f>SUM($AT385,Z385:$AA385)-SUM($AV$5:AV$5)*$J385-SUM($AV$6:AV$6)*$K385</f>
        <v>0</v>
      </c>
      <c r="AW385" s="1">
        <f>SUM($AT385,$AA385:AA385)-SUM($AV$5:AW$5)*$J385-SUM($AV$6:AW$6)*$K385</f>
        <v>0</v>
      </c>
      <c r="AX385" s="1">
        <f>SUM($AT385,$AA385:AB385)-SUM($AV$5:AX$5)*$J385-SUM($AV$6:AX$6)*$K385</f>
        <v>0</v>
      </c>
      <c r="AY385" s="1">
        <f>SUM($AT385,$AA385:AC385)-SUM($AV$5:AY$5)*$J385-SUM($AV$6:AY$6)*$K385</f>
        <v>0</v>
      </c>
      <c r="AZ385" s="1">
        <f>SUM($AT385,$AA385:AD385)-SUM($AV$5:AZ$5)*$J385-SUM($AV$6:AZ$6)*$K385</f>
        <v>-640</v>
      </c>
      <c r="BA385" s="1">
        <f>SUM($AT385,$AA385:AE385)-SUM($AV$5:BA$5)*$J385-SUM($AV$6:BA$6)*$K385</f>
        <v>-1280</v>
      </c>
      <c r="BB385" s="1">
        <f>SUM($AT385,$AA385:AF385)-SUM($AV$5:BB$5)*$J385-SUM($AV$6:BB$6)*$K385</f>
        <v>-1920</v>
      </c>
      <c r="BC385" s="1">
        <f>SUM($AT385,$AA385:AG385)-SUM($AV$5:BC$5)*$J385-SUM($AV$6:BC$6)*$K385</f>
        <v>-2560</v>
      </c>
      <c r="BD385" s="1">
        <f>SUM($AT385,$AA385:AH385)-SUM($AV$5:BD$5)*$J385-SUM($AV$6:BD$6)*$K385</f>
        <v>-3200</v>
      </c>
      <c r="BE385" s="1">
        <f>SUM($AT385,$AA385:AI385)-SUM($AV$5:BE$5)*$J385-SUM($AV$6:BE$6)*$K385</f>
        <v>-3840</v>
      </c>
      <c r="BF385" s="1">
        <f>SUM($AT385,$AA385:AJ385)-SUM($AV$5:BF$5)*$J385-SUM($AV$6:BF$6)*$K385</f>
        <v>-4480</v>
      </c>
      <c r="BG385" s="1">
        <f>SUM($AT385,$AA385:AK385)-SUM($AV$5:BG$5)*$J385-SUM($AV$6:BG$6)*$K385</f>
        <v>-5120</v>
      </c>
      <c r="BH385" s="1">
        <f>SUM($AT385,$AA385:AL385)-SUM($AV$5:BH$5)*$J385-SUM($AV$6:BH$6)*$K385</f>
        <v>-5760</v>
      </c>
      <c r="BI385" s="1">
        <f>SUM($AT385,$AA385:AM385)-SUM($AV$5:BI$5)*$J385-SUM($AV$6:BI$6)*$K385</f>
        <v>-6400</v>
      </c>
      <c r="BJ385" s="1">
        <f>SUM($AT385,$AA385:AN385)-SUM($AV$5:BJ$5)*$J385-SUM($AV$6:BJ$6)*$K385</f>
        <v>-7040</v>
      </c>
      <c r="BK385" s="1">
        <f>SUM($AT385,$AA385:AO385)-SUM($AV$5:BK$5)*$J385-SUM($AV$6:BK$6)*$K385</f>
        <v>-7680</v>
      </c>
      <c r="BL385" s="1">
        <f>SUM($AT385,$AA385:AP385)-SUM($AV$5:BL$5)*$J385-SUM($AV$6:BL$6)*$K385</f>
        <v>-8320</v>
      </c>
      <c r="BM385" s="1">
        <f>SUM($AT385,$AA385:AQ385)-SUM($AV$5:BM$5)*$J385-SUM($AV$6:BM$6)*$K385</f>
        <v>-8960</v>
      </c>
      <c r="BN385" s="1">
        <f>SUM($AT385,$AA385:AR385)-SUM($AV$5:BN$5)*$J385-SUM($AV$6:BN$6)*$K385</f>
        <v>-9312</v>
      </c>
    </row>
    <row r="386" spans="1:66">
      <c r="A386" s="1">
        <v>93</v>
      </c>
      <c r="B386" s="45" t="s">
        <v>1190</v>
      </c>
      <c r="C386" s="1" t="s">
        <v>40</v>
      </c>
      <c r="D386" s="2">
        <v>400975919</v>
      </c>
      <c r="E386" s="3" t="s">
        <v>1191</v>
      </c>
      <c r="F386" s="1"/>
      <c r="G386" s="1" t="s">
        <v>42</v>
      </c>
      <c r="H386" s="1">
        <v>1</v>
      </c>
      <c r="I386" s="1">
        <v>4</v>
      </c>
      <c r="J386" s="1">
        <v>4</v>
      </c>
      <c r="K386" s="1">
        <v>0</v>
      </c>
      <c r="L386" s="1">
        <v>0</v>
      </c>
      <c r="M386" s="1">
        <f t="shared" si="14"/>
        <v>2328</v>
      </c>
      <c r="N386" s="1">
        <f t="shared" si="15"/>
        <v>2328</v>
      </c>
      <c r="O386" s="2" t="s">
        <v>323</v>
      </c>
      <c r="P386" s="1"/>
      <c r="Q386" s="1">
        <v>71.290000000000006</v>
      </c>
      <c r="R386" s="1" t="s">
        <v>44</v>
      </c>
      <c r="S386" s="30" t="s">
        <v>794</v>
      </c>
      <c r="T386" s="31" t="s">
        <v>323</v>
      </c>
      <c r="U386" s="1"/>
      <c r="V386" s="1">
        <v>750</v>
      </c>
      <c r="W386" s="1" t="s">
        <v>325</v>
      </c>
      <c r="X386" s="32" t="s">
        <v>326</v>
      </c>
      <c r="Y386" s="1" t="s">
        <v>327</v>
      </c>
      <c r="Z386" s="2" t="s">
        <v>323</v>
      </c>
      <c r="AA386" s="1"/>
      <c r="AB386" s="1"/>
      <c r="AC386" s="1"/>
      <c r="AD386" s="1"/>
      <c r="AE386" s="1"/>
      <c r="AF386" s="1"/>
      <c r="AG386" s="1"/>
      <c r="AH386" s="1"/>
      <c r="AI386" s="1"/>
      <c r="AJ386" s="1"/>
      <c r="AK386" s="1"/>
      <c r="AL386" s="1"/>
      <c r="AM386" s="1"/>
      <c r="AN386" s="1"/>
      <c r="AO386" s="1"/>
      <c r="AP386" s="1"/>
      <c r="AQ386" s="1"/>
      <c r="AR386" s="1"/>
      <c r="AS386" s="1"/>
      <c r="AT386" s="1"/>
      <c r="AU386" s="1"/>
      <c r="AV386" s="1">
        <f>SUM($AT386,Z386:$AA386)-SUM($AV$5:AV$5)*$J386-SUM($AV$6:AV$6)*$K386</f>
        <v>0</v>
      </c>
      <c r="AW386" s="1">
        <f>SUM($AT386,$AA386:AA386)-SUM($AV$5:AW$5)*$J386-SUM($AV$6:AW$6)*$K386</f>
        <v>0</v>
      </c>
      <c r="AX386" s="1">
        <f>SUM($AT386,$AA386:AB386)-SUM($AV$5:AX$5)*$J386-SUM($AV$6:AX$6)*$K386</f>
        <v>0</v>
      </c>
      <c r="AY386" s="1">
        <f>SUM($AT386,$AA386:AC386)-SUM($AV$5:AY$5)*$J386-SUM($AV$6:AY$6)*$K386</f>
        <v>0</v>
      </c>
      <c r="AZ386" s="1">
        <f>SUM($AT386,$AA386:AD386)-SUM($AV$5:AZ$5)*$J386-SUM($AV$6:AZ$6)*$K386</f>
        <v>-160</v>
      </c>
      <c r="BA386" s="1">
        <f>SUM($AT386,$AA386:AE386)-SUM($AV$5:BA$5)*$J386-SUM($AV$6:BA$6)*$K386</f>
        <v>-320</v>
      </c>
      <c r="BB386" s="1">
        <f>SUM($AT386,$AA386:AF386)-SUM($AV$5:BB$5)*$J386-SUM($AV$6:BB$6)*$K386</f>
        <v>-480</v>
      </c>
      <c r="BC386" s="1">
        <f>SUM($AT386,$AA386:AG386)-SUM($AV$5:BC$5)*$J386-SUM($AV$6:BC$6)*$K386</f>
        <v>-640</v>
      </c>
      <c r="BD386" s="1">
        <f>SUM($AT386,$AA386:AH386)-SUM($AV$5:BD$5)*$J386-SUM($AV$6:BD$6)*$K386</f>
        <v>-800</v>
      </c>
      <c r="BE386" s="1">
        <f>SUM($AT386,$AA386:AI386)-SUM($AV$5:BE$5)*$J386-SUM($AV$6:BE$6)*$K386</f>
        <v>-960</v>
      </c>
      <c r="BF386" s="1">
        <f>SUM($AT386,$AA386:AJ386)-SUM($AV$5:BF$5)*$J386-SUM($AV$6:BF$6)*$K386</f>
        <v>-1120</v>
      </c>
      <c r="BG386" s="1">
        <f>SUM($AT386,$AA386:AK386)-SUM($AV$5:BG$5)*$J386-SUM($AV$6:BG$6)*$K386</f>
        <v>-1280</v>
      </c>
      <c r="BH386" s="1">
        <f>SUM($AT386,$AA386:AL386)-SUM($AV$5:BH$5)*$J386-SUM($AV$6:BH$6)*$K386</f>
        <v>-1440</v>
      </c>
      <c r="BI386" s="1">
        <f>SUM($AT386,$AA386:AM386)-SUM($AV$5:BI$5)*$J386-SUM($AV$6:BI$6)*$K386</f>
        <v>-1600</v>
      </c>
      <c r="BJ386" s="1">
        <f>SUM($AT386,$AA386:AN386)-SUM($AV$5:BJ$5)*$J386-SUM($AV$6:BJ$6)*$K386</f>
        <v>-1760</v>
      </c>
      <c r="BK386" s="1">
        <f>SUM($AT386,$AA386:AO386)-SUM($AV$5:BK$5)*$J386-SUM($AV$6:BK$6)*$K386</f>
        <v>-1920</v>
      </c>
      <c r="BL386" s="1">
        <f>SUM($AT386,$AA386:AP386)-SUM($AV$5:BL$5)*$J386-SUM($AV$6:BL$6)*$K386</f>
        <v>-2080</v>
      </c>
      <c r="BM386" s="1">
        <f>SUM($AT386,$AA386:AQ386)-SUM($AV$5:BM$5)*$J386-SUM($AV$6:BM$6)*$K386</f>
        <v>-2240</v>
      </c>
      <c r="BN386" s="1">
        <f>SUM($AT386,$AA386:AR386)-SUM($AV$5:BN$5)*$J386-SUM($AV$6:BN$6)*$K386</f>
        <v>-2328</v>
      </c>
    </row>
    <row r="387" spans="1:66">
      <c r="A387" s="1">
        <v>406</v>
      </c>
      <c r="B387" s="28" t="s">
        <v>1192</v>
      </c>
      <c r="C387" s="1" t="s">
        <v>40</v>
      </c>
      <c r="D387" s="2">
        <v>410883532</v>
      </c>
      <c r="E387" s="3" t="s">
        <v>1193</v>
      </c>
      <c r="F387" s="1"/>
      <c r="G387" s="1" t="s">
        <v>42</v>
      </c>
      <c r="H387" s="1">
        <v>1</v>
      </c>
      <c r="I387" s="1">
        <v>4</v>
      </c>
      <c r="J387" s="1">
        <v>0</v>
      </c>
      <c r="K387" s="1">
        <v>0</v>
      </c>
      <c r="L387" s="1">
        <v>4</v>
      </c>
      <c r="M387" s="1">
        <f t="shared" si="14"/>
        <v>1104</v>
      </c>
      <c r="N387" s="1">
        <f t="shared" si="15"/>
        <v>1104</v>
      </c>
      <c r="O387" s="2" t="s">
        <v>731</v>
      </c>
      <c r="P387" s="1"/>
      <c r="Q387" s="1">
        <v>0.36</v>
      </c>
      <c r="R387" s="1" t="s">
        <v>44</v>
      </c>
      <c r="S387" s="30" t="s">
        <v>794</v>
      </c>
      <c r="T387" s="31" t="s">
        <v>238</v>
      </c>
      <c r="U387" s="1">
        <v>6000</v>
      </c>
      <c r="V387" s="1">
        <v>6000</v>
      </c>
      <c r="W387" s="1" t="s">
        <v>239</v>
      </c>
      <c r="X387" s="33" t="s">
        <v>286</v>
      </c>
      <c r="Y387" s="1" t="s">
        <v>241</v>
      </c>
      <c r="Z387" s="2" t="s">
        <v>242</v>
      </c>
      <c r="AA387" s="1"/>
      <c r="AB387" s="1"/>
      <c r="AC387" s="1"/>
      <c r="AD387" s="1"/>
      <c r="AE387" s="1"/>
      <c r="AF387" s="1"/>
      <c r="AG387" s="1"/>
      <c r="AH387" s="1"/>
      <c r="AI387" s="1"/>
      <c r="AJ387" s="1"/>
      <c r="AK387" s="1"/>
      <c r="AL387" s="1"/>
      <c r="AM387" s="1"/>
      <c r="AN387" s="1"/>
      <c r="AO387" s="1"/>
      <c r="AP387" s="1"/>
      <c r="AQ387" s="1"/>
      <c r="AR387" s="1"/>
      <c r="AS387" s="1"/>
      <c r="AT387" s="1"/>
      <c r="AU387" s="1"/>
      <c r="AV387" s="1">
        <f>SUM($AT387,Z387:$AA387)-SUM($AV$5:AV$5)*$J387-SUM($AV$6:AV$6)*$K387</f>
        <v>0</v>
      </c>
      <c r="AW387" s="1">
        <f>SUM($AT387,$AA387:AA387)-SUM($AV$5:AW$5)*$J387-SUM($AV$6:AW$6)*$K387</f>
        <v>0</v>
      </c>
      <c r="AX387" s="1">
        <f>SUM($AT387,$AA387:AB387)-SUM($AV$5:AX$5)*$J387-SUM($AV$6:AX$6)*$K387</f>
        <v>0</v>
      </c>
      <c r="AY387" s="1">
        <f>SUM($AT387,$AA387:AC387)-SUM($AV$5:AY$5)*$J387-SUM($AV$6:AY$6)*$K387</f>
        <v>0</v>
      </c>
      <c r="AZ387" s="1">
        <f>SUM($AT387,$AA387:AD387)-SUM($AV$5:AZ$5)*$J387-SUM($AV$6:AZ$6)*$K387</f>
        <v>0</v>
      </c>
      <c r="BA387" s="1">
        <f>SUM($AT387,$AA387:AE387)-SUM($AV$5:BA$5)*$J387-SUM($AV$6:BA$6)*$K387</f>
        <v>0</v>
      </c>
      <c r="BB387" s="1">
        <f>SUM($AT387,$AA387:AF387)-SUM($AV$5:BB$5)*$J387-SUM($AV$6:BB$6)*$K387</f>
        <v>0</v>
      </c>
      <c r="BC387" s="1">
        <f>SUM($AT387,$AA387:AG387)-SUM($AV$5:BC$5)*$J387-SUM($AV$6:BC$6)*$K387</f>
        <v>0</v>
      </c>
      <c r="BD387" s="1">
        <f>SUM($AT387,$AA387:AH387)-SUM($AV$5:BD$5)*$J387-SUM($AV$6:BD$6)*$K387</f>
        <v>0</v>
      </c>
      <c r="BE387" s="1">
        <f>SUM($AT387,$AA387:AI387)-SUM($AV$5:BE$5)*$J387-SUM($AV$6:BE$6)*$K387</f>
        <v>0</v>
      </c>
      <c r="BF387" s="1">
        <f>SUM($AT387,$AA387:AJ387)-SUM($AV$5:BF$5)*$J387-SUM($AV$6:BF$6)*$K387</f>
        <v>0</v>
      </c>
      <c r="BG387" s="1">
        <f>SUM($AT387,$AA387:AK387)-SUM($AV$5:BG$5)*$J387-SUM($AV$6:BG$6)*$K387</f>
        <v>0</v>
      </c>
      <c r="BH387" s="1">
        <f>SUM($AT387,$AA387:AL387)-SUM($AV$5:BH$5)*$J387-SUM($AV$6:BH$6)*$K387</f>
        <v>0</v>
      </c>
      <c r="BI387" s="1">
        <f>SUM($AT387,$AA387:AM387)-SUM($AV$5:BI$5)*$J387-SUM($AV$6:BI$6)*$K387</f>
        <v>0</v>
      </c>
      <c r="BJ387" s="1">
        <f>SUM($AT387,$AA387:AN387)-SUM($AV$5:BJ$5)*$J387-SUM($AV$6:BJ$6)*$K387</f>
        <v>0</v>
      </c>
      <c r="BK387" s="1">
        <f>SUM($AT387,$AA387:AO387)-SUM($AV$5:BK$5)*$J387-SUM($AV$6:BK$6)*$K387</f>
        <v>0</v>
      </c>
      <c r="BL387" s="1">
        <f>SUM($AT387,$AA387:AP387)-SUM($AV$5:BL$5)*$J387-SUM($AV$6:BL$6)*$K387</f>
        <v>0</v>
      </c>
      <c r="BM387" s="1">
        <f>SUM($AT387,$AA387:AQ387)-SUM($AV$5:BM$5)*$J387-SUM($AV$6:BM$6)*$K387</f>
        <v>0</v>
      </c>
      <c r="BN387" s="1">
        <f>SUM($AT387,$AA387:AR387)-SUM($AV$5:BN$5)*$J387-SUM($AV$6:BN$6)*$K387</f>
        <v>0</v>
      </c>
    </row>
    <row r="388" spans="1:66">
      <c r="A388" s="1">
        <v>94</v>
      </c>
      <c r="B388" s="45" t="s">
        <v>1194</v>
      </c>
      <c r="C388" s="1" t="s">
        <v>40</v>
      </c>
      <c r="D388" s="2">
        <v>400975918</v>
      </c>
      <c r="E388" s="3" t="s">
        <v>1195</v>
      </c>
      <c r="F388" s="1"/>
      <c r="G388" s="1" t="s">
        <v>42</v>
      </c>
      <c r="H388" s="1">
        <v>2</v>
      </c>
      <c r="I388" s="1">
        <v>1</v>
      </c>
      <c r="J388" s="1">
        <v>1</v>
      </c>
      <c r="K388" s="1">
        <v>0</v>
      </c>
      <c r="L388" s="1">
        <v>0</v>
      </c>
      <c r="M388" s="1">
        <f t="shared" si="14"/>
        <v>582</v>
      </c>
      <c r="N388" s="1">
        <f t="shared" si="15"/>
        <v>582</v>
      </c>
      <c r="O388" s="2" t="s">
        <v>323</v>
      </c>
      <c r="P388" s="1"/>
      <c r="Q388" s="1">
        <v>39.130000000000003</v>
      </c>
      <c r="R388" s="1" t="s">
        <v>44</v>
      </c>
      <c r="S388" s="30" t="s">
        <v>324</v>
      </c>
      <c r="T388" s="31" t="s">
        <v>323</v>
      </c>
      <c r="U388" s="1"/>
      <c r="V388" s="1">
        <v>260</v>
      </c>
      <c r="W388" s="1" t="s">
        <v>325</v>
      </c>
      <c r="X388" s="32" t="s">
        <v>326</v>
      </c>
      <c r="Y388" s="1" t="s">
        <v>327</v>
      </c>
      <c r="Z388" s="2" t="s">
        <v>323</v>
      </c>
      <c r="AA388" s="1"/>
      <c r="AB388" s="1"/>
      <c r="AC388" s="1"/>
      <c r="AD388" s="1"/>
      <c r="AE388" s="1"/>
      <c r="AF388" s="1"/>
      <c r="AG388" s="1"/>
      <c r="AH388" s="1"/>
      <c r="AI388" s="1"/>
      <c r="AJ388" s="1"/>
      <c r="AK388" s="1"/>
      <c r="AL388" s="1"/>
      <c r="AM388" s="1"/>
      <c r="AN388" s="1"/>
      <c r="AO388" s="1"/>
      <c r="AP388" s="1"/>
      <c r="AQ388" s="1"/>
      <c r="AR388" s="1"/>
      <c r="AS388" s="1"/>
      <c r="AT388" s="1"/>
      <c r="AU388" s="1"/>
      <c r="AV388" s="1">
        <f>SUM($AT388,Z388:$AA388)-SUM($AV$5:AV$5)*$J388-SUM($AV$6:AV$6)*$K388</f>
        <v>0</v>
      </c>
      <c r="AW388" s="1">
        <f>SUM($AT388,$AA388:AA388)-SUM($AV$5:AW$5)*$J388-SUM($AV$6:AW$6)*$K388</f>
        <v>0</v>
      </c>
      <c r="AX388" s="1">
        <f>SUM($AT388,$AA388:AB388)-SUM($AV$5:AX$5)*$J388-SUM($AV$6:AX$6)*$K388</f>
        <v>0</v>
      </c>
      <c r="AY388" s="1">
        <f>SUM($AT388,$AA388:AC388)-SUM($AV$5:AY$5)*$J388-SUM($AV$6:AY$6)*$K388</f>
        <v>0</v>
      </c>
      <c r="AZ388" s="1">
        <f>SUM($AT388,$AA388:AD388)-SUM($AV$5:AZ$5)*$J388-SUM($AV$6:AZ$6)*$K388</f>
        <v>-40</v>
      </c>
      <c r="BA388" s="1">
        <f>SUM($AT388,$AA388:AE388)-SUM($AV$5:BA$5)*$J388-SUM($AV$6:BA$6)*$K388</f>
        <v>-80</v>
      </c>
      <c r="BB388" s="1">
        <f>SUM($AT388,$AA388:AF388)-SUM($AV$5:BB$5)*$J388-SUM($AV$6:BB$6)*$K388</f>
        <v>-120</v>
      </c>
      <c r="BC388" s="1">
        <f>SUM($AT388,$AA388:AG388)-SUM($AV$5:BC$5)*$J388-SUM($AV$6:BC$6)*$K388</f>
        <v>-160</v>
      </c>
      <c r="BD388" s="1">
        <f>SUM($AT388,$AA388:AH388)-SUM($AV$5:BD$5)*$J388-SUM($AV$6:BD$6)*$K388</f>
        <v>-200</v>
      </c>
      <c r="BE388" s="1">
        <f>SUM($AT388,$AA388:AI388)-SUM($AV$5:BE$5)*$J388-SUM($AV$6:BE$6)*$K388</f>
        <v>-240</v>
      </c>
      <c r="BF388" s="1">
        <f>SUM($AT388,$AA388:AJ388)-SUM($AV$5:BF$5)*$J388-SUM($AV$6:BF$6)*$K388</f>
        <v>-280</v>
      </c>
      <c r="BG388" s="1">
        <f>SUM($AT388,$AA388:AK388)-SUM($AV$5:BG$5)*$J388-SUM($AV$6:BG$6)*$K388</f>
        <v>-320</v>
      </c>
      <c r="BH388" s="1">
        <f>SUM($AT388,$AA388:AL388)-SUM($AV$5:BH$5)*$J388-SUM($AV$6:BH$6)*$K388</f>
        <v>-360</v>
      </c>
      <c r="BI388" s="1">
        <f>SUM($AT388,$AA388:AM388)-SUM($AV$5:BI$5)*$J388-SUM($AV$6:BI$6)*$K388</f>
        <v>-400</v>
      </c>
      <c r="BJ388" s="1">
        <f>SUM($AT388,$AA388:AN388)-SUM($AV$5:BJ$5)*$J388-SUM($AV$6:BJ$6)*$K388</f>
        <v>-440</v>
      </c>
      <c r="BK388" s="1">
        <f>SUM($AT388,$AA388:AO388)-SUM($AV$5:BK$5)*$J388-SUM($AV$6:BK$6)*$K388</f>
        <v>-480</v>
      </c>
      <c r="BL388" s="1">
        <f>SUM($AT388,$AA388:AP388)-SUM($AV$5:BL$5)*$J388-SUM($AV$6:BL$6)*$K388</f>
        <v>-520</v>
      </c>
      <c r="BM388" s="1">
        <f>SUM($AT388,$AA388:AQ388)-SUM($AV$5:BM$5)*$J388-SUM($AV$6:BM$6)*$K388</f>
        <v>-560</v>
      </c>
      <c r="BN388" s="1">
        <f>SUM($AT388,$AA388:AR388)-SUM($AV$5:BN$5)*$J388-SUM($AV$6:BN$6)*$K388</f>
        <v>-582</v>
      </c>
    </row>
    <row r="389" spans="1:66">
      <c r="A389" s="1">
        <v>95</v>
      </c>
      <c r="B389" s="28" t="s">
        <v>1196</v>
      </c>
      <c r="C389" s="1" t="s">
        <v>40</v>
      </c>
      <c r="D389" s="2">
        <v>400637612</v>
      </c>
      <c r="E389" s="3" t="s">
        <v>1197</v>
      </c>
      <c r="F389" s="1">
        <v>400638318</v>
      </c>
      <c r="G389" s="1" t="s">
        <v>42</v>
      </c>
      <c r="H389" s="1">
        <v>2</v>
      </c>
      <c r="I389" s="1">
        <v>2</v>
      </c>
      <c r="J389" s="1">
        <v>2</v>
      </c>
      <c r="K389" s="1">
        <v>0</v>
      </c>
      <c r="L389" s="1">
        <v>0</v>
      </c>
      <c r="M389" s="1">
        <f t="shared" si="14"/>
        <v>1164</v>
      </c>
      <c r="N389" s="1">
        <f t="shared" si="15"/>
        <v>1164</v>
      </c>
      <c r="O389" s="2" t="s">
        <v>323</v>
      </c>
      <c r="P389" s="1"/>
      <c r="Q389" s="1">
        <v>48.24</v>
      </c>
      <c r="R389" s="1" t="s">
        <v>44</v>
      </c>
      <c r="S389" s="30" t="s">
        <v>324</v>
      </c>
      <c r="T389" s="31" t="s">
        <v>323</v>
      </c>
      <c r="U389" s="1"/>
      <c r="V389" s="1">
        <v>90</v>
      </c>
      <c r="W389" s="1" t="s">
        <v>325</v>
      </c>
      <c r="X389" s="32" t="s">
        <v>326</v>
      </c>
      <c r="Y389" s="1" t="s">
        <v>327</v>
      </c>
      <c r="Z389" s="2" t="s">
        <v>323</v>
      </c>
      <c r="AA389" s="1"/>
      <c r="AB389" s="1"/>
      <c r="AC389" s="1"/>
      <c r="AD389" s="1"/>
      <c r="AE389" s="1"/>
      <c r="AF389" s="1"/>
      <c r="AG389" s="1"/>
      <c r="AH389" s="1"/>
      <c r="AI389" s="1"/>
      <c r="AJ389" s="1"/>
      <c r="AK389" s="1"/>
      <c r="AL389" s="1"/>
      <c r="AM389" s="1"/>
      <c r="AN389" s="1"/>
      <c r="AO389" s="1"/>
      <c r="AP389" s="1"/>
      <c r="AQ389" s="1"/>
      <c r="AR389" s="1"/>
      <c r="AS389" s="1"/>
      <c r="AT389" s="1"/>
      <c r="AU389" s="1"/>
      <c r="AV389" s="1">
        <f>SUM($AT389,Z389:$AA389)-SUM($AV$5:AV$5)*$J389-SUM($AV$6:AV$6)*$K389</f>
        <v>0</v>
      </c>
      <c r="AW389" s="1">
        <f>SUM($AT389,$AA389:AA389)-SUM($AV$5:AW$5)*$J389-SUM($AV$6:AW$6)*$K389</f>
        <v>0</v>
      </c>
      <c r="AX389" s="1">
        <f>SUM($AT389,$AA389:AB389)-SUM($AV$5:AX$5)*$J389-SUM($AV$6:AX$6)*$K389</f>
        <v>0</v>
      </c>
      <c r="AY389" s="1">
        <f>SUM($AT389,$AA389:AC389)-SUM($AV$5:AY$5)*$J389-SUM($AV$6:AY$6)*$K389</f>
        <v>0</v>
      </c>
      <c r="AZ389" s="1">
        <f>SUM($AT389,$AA389:AD389)-SUM($AV$5:AZ$5)*$J389-SUM($AV$6:AZ$6)*$K389</f>
        <v>-80</v>
      </c>
      <c r="BA389" s="1">
        <f>SUM($AT389,$AA389:AE389)-SUM($AV$5:BA$5)*$J389-SUM($AV$6:BA$6)*$K389</f>
        <v>-160</v>
      </c>
      <c r="BB389" s="1">
        <f>SUM($AT389,$AA389:AF389)-SUM($AV$5:BB$5)*$J389-SUM($AV$6:BB$6)*$K389</f>
        <v>-240</v>
      </c>
      <c r="BC389" s="1">
        <f>SUM($AT389,$AA389:AG389)-SUM($AV$5:BC$5)*$J389-SUM($AV$6:BC$6)*$K389</f>
        <v>-320</v>
      </c>
      <c r="BD389" s="1">
        <f>SUM($AT389,$AA389:AH389)-SUM($AV$5:BD$5)*$J389-SUM($AV$6:BD$6)*$K389</f>
        <v>-400</v>
      </c>
      <c r="BE389" s="1">
        <f>SUM($AT389,$AA389:AI389)-SUM($AV$5:BE$5)*$J389-SUM($AV$6:BE$6)*$K389</f>
        <v>-480</v>
      </c>
      <c r="BF389" s="1">
        <f>SUM($AT389,$AA389:AJ389)-SUM($AV$5:BF$5)*$J389-SUM($AV$6:BF$6)*$K389</f>
        <v>-560</v>
      </c>
      <c r="BG389" s="1">
        <f>SUM($AT389,$AA389:AK389)-SUM($AV$5:BG$5)*$J389-SUM($AV$6:BG$6)*$K389</f>
        <v>-640</v>
      </c>
      <c r="BH389" s="1">
        <f>SUM($AT389,$AA389:AL389)-SUM($AV$5:BH$5)*$J389-SUM($AV$6:BH$6)*$K389</f>
        <v>-720</v>
      </c>
      <c r="BI389" s="1">
        <f>SUM($AT389,$AA389:AM389)-SUM($AV$5:BI$5)*$J389-SUM($AV$6:BI$6)*$K389</f>
        <v>-800</v>
      </c>
      <c r="BJ389" s="1">
        <f>SUM($AT389,$AA389:AN389)-SUM($AV$5:BJ$5)*$J389-SUM($AV$6:BJ$6)*$K389</f>
        <v>-880</v>
      </c>
      <c r="BK389" s="1">
        <f>SUM($AT389,$AA389:AO389)-SUM($AV$5:BK$5)*$J389-SUM($AV$6:BK$6)*$K389</f>
        <v>-960</v>
      </c>
      <c r="BL389" s="1">
        <f>SUM($AT389,$AA389:AP389)-SUM($AV$5:BL$5)*$J389-SUM($AV$6:BL$6)*$K389</f>
        <v>-1040</v>
      </c>
      <c r="BM389" s="1">
        <f>SUM($AT389,$AA389:AQ389)-SUM($AV$5:BM$5)*$J389-SUM($AV$6:BM$6)*$K389</f>
        <v>-1120</v>
      </c>
      <c r="BN389" s="1">
        <f>SUM($AT389,$AA389:AR389)-SUM($AV$5:BN$5)*$J389-SUM($AV$6:BN$6)*$K389</f>
        <v>-1164</v>
      </c>
    </row>
    <row r="390" spans="1:66">
      <c r="A390" s="1">
        <v>35</v>
      </c>
      <c r="B390" s="28" t="s">
        <v>1198</v>
      </c>
      <c r="C390" s="1" t="s">
        <v>127</v>
      </c>
      <c r="D390" s="2">
        <v>421165501</v>
      </c>
      <c r="E390" s="3" t="s">
        <v>1199</v>
      </c>
      <c r="F390" s="1"/>
      <c r="G390" s="1" t="s">
        <v>42</v>
      </c>
      <c r="H390" s="1">
        <v>1</v>
      </c>
      <c r="I390" s="1">
        <v>1</v>
      </c>
      <c r="J390" s="1">
        <v>1</v>
      </c>
      <c r="K390" s="1">
        <v>0</v>
      </c>
      <c r="L390" s="1">
        <v>0</v>
      </c>
      <c r="M390" s="1">
        <f t="shared" si="14"/>
        <v>582</v>
      </c>
      <c r="N390" s="1">
        <f t="shared" si="15"/>
        <v>582</v>
      </c>
      <c r="O390" s="31" t="s">
        <v>1200</v>
      </c>
      <c r="P390" s="1"/>
      <c r="Q390" s="1">
        <v>24</v>
      </c>
      <c r="R390" s="1" t="s">
        <v>44</v>
      </c>
      <c r="S390" s="30"/>
      <c r="T390" s="31" t="s">
        <v>1200</v>
      </c>
      <c r="U390" s="1">
        <v>1</v>
      </c>
      <c r="V390" s="1">
        <v>1</v>
      </c>
      <c r="W390" s="1" t="s">
        <v>1201</v>
      </c>
      <c r="X390" s="33" t="s">
        <v>1202</v>
      </c>
      <c r="Y390" s="1" t="s">
        <v>1203</v>
      </c>
      <c r="Z390" s="2" t="s">
        <v>823</v>
      </c>
      <c r="AA390" s="1"/>
      <c r="AB390" s="1"/>
      <c r="AC390" s="1"/>
      <c r="AD390" s="1">
        <v>582</v>
      </c>
      <c r="AE390" s="1"/>
      <c r="AF390" s="1"/>
      <c r="AG390" s="1"/>
      <c r="AH390" s="1"/>
      <c r="AI390" s="1"/>
      <c r="AJ390" s="1"/>
      <c r="AK390" s="1"/>
      <c r="AL390" s="1"/>
      <c r="AM390" s="1"/>
      <c r="AN390" s="1"/>
      <c r="AO390" s="1"/>
      <c r="AP390" s="1"/>
      <c r="AQ390" s="1"/>
      <c r="AR390" s="1"/>
      <c r="AS390" s="1"/>
      <c r="AT390" s="1"/>
      <c r="AU390" s="1"/>
      <c r="AV390" s="1">
        <f>SUM($AT390,Z390:$AA390)-SUM($AV$5:AV$5)*$J390-SUM($AV$6:AV$6)*$K390</f>
        <v>0</v>
      </c>
      <c r="AW390" s="1">
        <f>SUM($AT390,$AA390:AA390)-SUM($AV$5:AW$5)*$J390-SUM($AV$6:AW$6)*$K390</f>
        <v>0</v>
      </c>
      <c r="AX390" s="1">
        <f>SUM($AT390,$AA390:AB390)-SUM($AV$5:AX$5)*$J390-SUM($AV$6:AX$6)*$K390</f>
        <v>0</v>
      </c>
      <c r="AY390" s="1">
        <f>SUM($AT390,$AA390:AC390)-SUM($AV$5:AY$5)*$J390-SUM($AV$6:AY$6)*$K390</f>
        <v>0</v>
      </c>
      <c r="AZ390" s="1">
        <f>SUM($AT390,$AA390:AD390)-SUM($AV$5:AZ$5)*$J390-SUM($AV$6:AZ$6)*$K390</f>
        <v>542</v>
      </c>
      <c r="BA390" s="1">
        <f>SUM($AT390,$AA390:AE390)-SUM($AV$5:BA$5)*$J390-SUM($AV$6:BA$6)*$K390</f>
        <v>502</v>
      </c>
      <c r="BB390" s="1">
        <f>SUM($AT390,$AA390:AF390)-SUM($AV$5:BB$5)*$J390-SUM($AV$6:BB$6)*$K390</f>
        <v>462</v>
      </c>
      <c r="BC390" s="1">
        <f>SUM($AT390,$AA390:AG390)-SUM($AV$5:BC$5)*$J390-SUM($AV$6:BC$6)*$K390</f>
        <v>422</v>
      </c>
      <c r="BD390" s="1">
        <f>SUM($AT390,$AA390:AH390)-SUM($AV$5:BD$5)*$J390-SUM($AV$6:BD$6)*$K390</f>
        <v>382</v>
      </c>
      <c r="BE390" s="1">
        <f>SUM($AT390,$AA390:AI390)-SUM($AV$5:BE$5)*$J390-SUM($AV$6:BE$6)*$K390</f>
        <v>342</v>
      </c>
      <c r="BF390" s="1">
        <f>SUM($AT390,$AA390:AJ390)-SUM($AV$5:BF$5)*$J390-SUM($AV$6:BF$6)*$K390</f>
        <v>302</v>
      </c>
      <c r="BG390" s="1">
        <f>SUM($AT390,$AA390:AK390)-SUM($AV$5:BG$5)*$J390-SUM($AV$6:BG$6)*$K390</f>
        <v>262</v>
      </c>
      <c r="BH390" s="1">
        <f>SUM($AT390,$AA390:AL390)-SUM($AV$5:BH$5)*$J390-SUM($AV$6:BH$6)*$K390</f>
        <v>222</v>
      </c>
      <c r="BI390" s="1">
        <f>SUM($AT390,$AA390:AM390)-SUM($AV$5:BI$5)*$J390-SUM($AV$6:BI$6)*$K390</f>
        <v>182</v>
      </c>
      <c r="BJ390" s="1">
        <f>SUM($AT390,$AA390:AN390)-SUM($AV$5:BJ$5)*$J390-SUM($AV$6:BJ$6)*$K390</f>
        <v>142</v>
      </c>
      <c r="BK390" s="1">
        <f>SUM($AT390,$AA390:AO390)-SUM($AV$5:BK$5)*$J390-SUM($AV$6:BK$6)*$K390</f>
        <v>102</v>
      </c>
      <c r="BL390" s="1">
        <f>SUM($AT390,$AA390:AP390)-SUM($AV$5:BL$5)*$J390-SUM($AV$6:BL$6)*$K390</f>
        <v>62</v>
      </c>
      <c r="BM390" s="1">
        <f>SUM($AT390,$AA390:AQ390)-SUM($AV$5:BM$5)*$J390-SUM($AV$6:BM$6)*$K390</f>
        <v>22</v>
      </c>
      <c r="BN390" s="1">
        <f>SUM($AT390,$AA390:AR390)-SUM($AV$5:BN$5)*$J390-SUM($AV$6:BN$6)*$K390</f>
        <v>0</v>
      </c>
    </row>
    <row r="391" spans="1:66">
      <c r="A391" s="1">
        <v>410</v>
      </c>
      <c r="B391" s="28" t="s">
        <v>1204</v>
      </c>
      <c r="C391" s="1" t="s">
        <v>40</v>
      </c>
      <c r="D391" s="2">
        <v>401480772</v>
      </c>
      <c r="E391" s="3" t="s">
        <v>1205</v>
      </c>
      <c r="F391" s="1">
        <v>415509366</v>
      </c>
      <c r="G391" s="1" t="s">
        <v>42</v>
      </c>
      <c r="H391" s="1">
        <v>2</v>
      </c>
      <c r="I391" s="1">
        <v>1</v>
      </c>
      <c r="J391" s="1">
        <v>0</v>
      </c>
      <c r="K391" s="1">
        <v>0</v>
      </c>
      <c r="L391" s="1">
        <v>1</v>
      </c>
      <c r="M391" s="1">
        <f t="shared" si="14"/>
        <v>276</v>
      </c>
      <c r="N391" s="1">
        <f t="shared" si="15"/>
        <v>276</v>
      </c>
      <c r="O391" s="2" t="s">
        <v>1023</v>
      </c>
      <c r="P391" s="1"/>
      <c r="Q391" s="1">
        <v>0.06</v>
      </c>
      <c r="R391" s="1" t="s">
        <v>44</v>
      </c>
      <c r="S391" s="30" t="s">
        <v>62</v>
      </c>
      <c r="T391" s="31" t="s">
        <v>238</v>
      </c>
      <c r="U391" s="1">
        <v>3000</v>
      </c>
      <c r="V391" s="1">
        <v>3000</v>
      </c>
      <c r="W391" s="1" t="s">
        <v>239</v>
      </c>
      <c r="X391" s="33" t="s">
        <v>286</v>
      </c>
      <c r="Y391" s="1" t="s">
        <v>241</v>
      </c>
      <c r="Z391" s="2" t="s">
        <v>242</v>
      </c>
      <c r="AA391" s="1"/>
      <c r="AB391" s="1"/>
      <c r="AC391" s="1"/>
      <c r="AD391" s="1"/>
      <c r="AE391" s="1"/>
      <c r="AF391" s="1"/>
      <c r="AG391" s="1"/>
      <c r="AH391" s="1"/>
      <c r="AI391" s="1"/>
      <c r="AJ391" s="1"/>
      <c r="AK391" s="1"/>
      <c r="AL391" s="1"/>
      <c r="AM391" s="1"/>
      <c r="AN391" s="1"/>
      <c r="AO391" s="1"/>
      <c r="AP391" s="1"/>
      <c r="AQ391" s="1"/>
      <c r="AR391" s="1"/>
      <c r="AS391" s="1"/>
      <c r="AT391" s="1"/>
      <c r="AU391" s="1"/>
      <c r="AV391" s="1">
        <f>SUM($AT391,Z391:$AA391)-SUM($AV$5:AV$5)*$J391-SUM($AV$6:AV$6)*$K391</f>
        <v>0</v>
      </c>
      <c r="AW391" s="1">
        <f>SUM($AT391,$AA391:AA391)-SUM($AV$5:AW$5)*$J391-SUM($AV$6:AW$6)*$K391</f>
        <v>0</v>
      </c>
      <c r="AX391" s="1">
        <f>SUM($AT391,$AA391:AB391)-SUM($AV$5:AX$5)*$J391-SUM($AV$6:AX$6)*$K391</f>
        <v>0</v>
      </c>
      <c r="AY391" s="1">
        <f>SUM($AT391,$AA391:AC391)-SUM($AV$5:AY$5)*$J391-SUM($AV$6:AY$6)*$K391</f>
        <v>0</v>
      </c>
      <c r="AZ391" s="1">
        <f>SUM($AT391,$AA391:AD391)-SUM($AV$5:AZ$5)*$J391-SUM($AV$6:AZ$6)*$K391</f>
        <v>0</v>
      </c>
      <c r="BA391" s="1">
        <f>SUM($AT391,$AA391:AE391)-SUM($AV$5:BA$5)*$J391-SUM($AV$6:BA$6)*$K391</f>
        <v>0</v>
      </c>
      <c r="BB391" s="1">
        <f>SUM($AT391,$AA391:AF391)-SUM($AV$5:BB$5)*$J391-SUM($AV$6:BB$6)*$K391</f>
        <v>0</v>
      </c>
      <c r="BC391" s="1">
        <f>SUM($AT391,$AA391:AG391)-SUM($AV$5:BC$5)*$J391-SUM($AV$6:BC$6)*$K391</f>
        <v>0</v>
      </c>
      <c r="BD391" s="1">
        <f>SUM($AT391,$AA391:AH391)-SUM($AV$5:BD$5)*$J391-SUM($AV$6:BD$6)*$K391</f>
        <v>0</v>
      </c>
      <c r="BE391" s="1">
        <f>SUM($AT391,$AA391:AI391)-SUM($AV$5:BE$5)*$J391-SUM($AV$6:BE$6)*$K391</f>
        <v>0</v>
      </c>
      <c r="BF391" s="1">
        <f>SUM($AT391,$AA391:AJ391)-SUM($AV$5:BF$5)*$J391-SUM($AV$6:BF$6)*$K391</f>
        <v>0</v>
      </c>
      <c r="BG391" s="1">
        <f>SUM($AT391,$AA391:AK391)-SUM($AV$5:BG$5)*$J391-SUM($AV$6:BG$6)*$K391</f>
        <v>0</v>
      </c>
      <c r="BH391" s="1">
        <f>SUM($AT391,$AA391:AL391)-SUM($AV$5:BH$5)*$J391-SUM($AV$6:BH$6)*$K391</f>
        <v>0</v>
      </c>
      <c r="BI391" s="1">
        <f>SUM($AT391,$AA391:AM391)-SUM($AV$5:BI$5)*$J391-SUM($AV$6:BI$6)*$K391</f>
        <v>0</v>
      </c>
      <c r="BJ391" s="1">
        <f>SUM($AT391,$AA391:AN391)-SUM($AV$5:BJ$5)*$J391-SUM($AV$6:BJ$6)*$K391</f>
        <v>0</v>
      </c>
      <c r="BK391" s="1">
        <f>SUM($AT391,$AA391:AO391)-SUM($AV$5:BK$5)*$J391-SUM($AV$6:BK$6)*$K391</f>
        <v>0</v>
      </c>
      <c r="BL391" s="1">
        <f>SUM($AT391,$AA391:AP391)-SUM($AV$5:BL$5)*$J391-SUM($AV$6:BL$6)*$K391</f>
        <v>0</v>
      </c>
      <c r="BM391" s="1">
        <f>SUM($AT391,$AA391:AQ391)-SUM($AV$5:BM$5)*$J391-SUM($AV$6:BM$6)*$K391</f>
        <v>0</v>
      </c>
      <c r="BN391" s="1">
        <f>SUM($AT391,$AA391:AR391)-SUM($AV$5:BN$5)*$J391-SUM($AV$6:BN$6)*$K391</f>
        <v>0</v>
      </c>
    </row>
    <row r="392" spans="1:66">
      <c r="A392" s="1">
        <v>252</v>
      </c>
      <c r="B392" s="28" t="s">
        <v>1206</v>
      </c>
      <c r="C392" s="1" t="s">
        <v>40</v>
      </c>
      <c r="D392" s="2" t="s">
        <v>1207</v>
      </c>
      <c r="E392" s="3" t="s">
        <v>1208</v>
      </c>
      <c r="F392" s="1"/>
      <c r="G392" s="1" t="s">
        <v>42</v>
      </c>
      <c r="H392" s="1">
        <v>1</v>
      </c>
      <c r="I392" s="1">
        <v>1</v>
      </c>
      <c r="J392" s="1">
        <v>1</v>
      </c>
      <c r="K392" s="1">
        <v>0</v>
      </c>
      <c r="L392" s="1">
        <v>0</v>
      </c>
      <c r="M392" s="1">
        <f t="shared" si="14"/>
        <v>582</v>
      </c>
      <c r="N392" s="1">
        <f t="shared" si="15"/>
        <v>582</v>
      </c>
      <c r="O392" s="2" t="s">
        <v>1209</v>
      </c>
      <c r="P392" s="1"/>
      <c r="Q392" s="1">
        <v>74.739999999999995</v>
      </c>
      <c r="R392" s="1" t="s">
        <v>44</v>
      </c>
      <c r="S392" s="30" t="s">
        <v>891</v>
      </c>
      <c r="T392" s="31" t="s">
        <v>1210</v>
      </c>
      <c r="U392" s="1">
        <v>1</v>
      </c>
      <c r="V392" s="1">
        <v>1</v>
      </c>
      <c r="W392" s="1" t="s">
        <v>1211</v>
      </c>
      <c r="X392" s="33" t="s">
        <v>1212</v>
      </c>
      <c r="Y392" s="1" t="s">
        <v>1213</v>
      </c>
      <c r="Z392" s="2" t="s">
        <v>1209</v>
      </c>
      <c r="AA392" s="1"/>
      <c r="AB392" s="1"/>
      <c r="AC392" s="1">
        <v>582</v>
      </c>
      <c r="AD392" s="1"/>
      <c r="AE392" s="1"/>
      <c r="AF392" s="1"/>
      <c r="AG392" s="1"/>
      <c r="AH392" s="1"/>
      <c r="AI392" s="1"/>
      <c r="AJ392" s="1"/>
      <c r="AK392" s="1"/>
      <c r="AL392" s="1"/>
      <c r="AM392" s="1"/>
      <c r="AN392" s="1"/>
      <c r="AO392" s="1"/>
      <c r="AP392" s="1"/>
      <c r="AQ392" s="1"/>
      <c r="AR392" s="1"/>
      <c r="AS392" s="1"/>
      <c r="AT392" s="1"/>
      <c r="AU392" s="1"/>
      <c r="AV392" s="1">
        <f>SUM($AT392,Z392:$AA392)-SUM($AV$5:AV$5)*$J392-SUM($AV$6:AV$6)*$K392</f>
        <v>0</v>
      </c>
      <c r="AW392" s="1">
        <f>SUM($AT392,$AA392:AA392)-SUM($AV$5:AW$5)*$J392-SUM($AV$6:AW$6)*$K392</f>
        <v>0</v>
      </c>
      <c r="AX392" s="1">
        <f>SUM($AT392,$AA392:AB392)-SUM($AV$5:AX$5)*$J392-SUM($AV$6:AX$6)*$K392</f>
        <v>0</v>
      </c>
      <c r="AY392" s="1">
        <f>SUM($AT392,$AA392:AC392)-SUM($AV$5:AY$5)*$J392-SUM($AV$6:AY$6)*$K392</f>
        <v>582</v>
      </c>
      <c r="AZ392" s="1">
        <f>SUM($AT392,$AA392:AD392)-SUM($AV$5:AZ$5)*$J392-SUM($AV$6:AZ$6)*$K392</f>
        <v>542</v>
      </c>
      <c r="BA392" s="1">
        <f>SUM($AT392,$AA392:AE392)-SUM($AV$5:BA$5)*$J392-SUM($AV$6:BA$6)*$K392</f>
        <v>502</v>
      </c>
      <c r="BB392" s="1">
        <f>SUM($AT392,$AA392:AF392)-SUM($AV$5:BB$5)*$J392-SUM($AV$6:BB$6)*$K392</f>
        <v>462</v>
      </c>
      <c r="BC392" s="1">
        <f>SUM($AT392,$AA392:AG392)-SUM($AV$5:BC$5)*$J392-SUM($AV$6:BC$6)*$K392</f>
        <v>422</v>
      </c>
      <c r="BD392" s="1">
        <f>SUM($AT392,$AA392:AH392)-SUM($AV$5:BD$5)*$J392-SUM($AV$6:BD$6)*$K392</f>
        <v>382</v>
      </c>
      <c r="BE392" s="1">
        <f>SUM($AT392,$AA392:AI392)-SUM($AV$5:BE$5)*$J392-SUM($AV$6:BE$6)*$K392</f>
        <v>342</v>
      </c>
      <c r="BF392" s="1">
        <f>SUM($AT392,$AA392:AJ392)-SUM($AV$5:BF$5)*$J392-SUM($AV$6:BF$6)*$K392</f>
        <v>302</v>
      </c>
      <c r="BG392" s="1">
        <f>SUM($AT392,$AA392:AK392)-SUM($AV$5:BG$5)*$J392-SUM($AV$6:BG$6)*$K392</f>
        <v>262</v>
      </c>
      <c r="BH392" s="1">
        <f>SUM($AT392,$AA392:AL392)-SUM($AV$5:BH$5)*$J392-SUM($AV$6:BH$6)*$K392</f>
        <v>222</v>
      </c>
      <c r="BI392" s="1">
        <f>SUM($AT392,$AA392:AM392)-SUM($AV$5:BI$5)*$J392-SUM($AV$6:BI$6)*$K392</f>
        <v>182</v>
      </c>
      <c r="BJ392" s="1">
        <f>SUM($AT392,$AA392:AN392)-SUM($AV$5:BJ$5)*$J392-SUM($AV$6:BJ$6)*$K392</f>
        <v>142</v>
      </c>
      <c r="BK392" s="1">
        <f>SUM($AT392,$AA392:AO392)-SUM($AV$5:BK$5)*$J392-SUM($AV$6:BK$6)*$K392</f>
        <v>102</v>
      </c>
      <c r="BL392" s="1">
        <f>SUM($AT392,$AA392:AP392)-SUM($AV$5:BL$5)*$J392-SUM($AV$6:BL$6)*$K392</f>
        <v>62</v>
      </c>
      <c r="BM392" s="1">
        <f>SUM($AT392,$AA392:AQ392)-SUM($AV$5:BM$5)*$J392-SUM($AV$6:BM$6)*$K392</f>
        <v>22</v>
      </c>
      <c r="BN392" s="1">
        <f>SUM($AT392,$AA392:AR392)-SUM($AV$5:BN$5)*$J392-SUM($AV$6:BN$6)*$K392</f>
        <v>0</v>
      </c>
    </row>
    <row r="393" spans="1:66">
      <c r="A393" s="34">
        <v>263</v>
      </c>
      <c r="B393" s="35" t="s">
        <v>1214</v>
      </c>
      <c r="C393" s="34" t="s">
        <v>40</v>
      </c>
      <c r="D393" s="29">
        <v>401264192</v>
      </c>
      <c r="E393" s="36" t="s">
        <v>1215</v>
      </c>
      <c r="F393" s="34"/>
      <c r="G393" s="34" t="s">
        <v>42</v>
      </c>
      <c r="H393" s="34">
        <v>1</v>
      </c>
      <c r="I393" s="34">
        <v>1</v>
      </c>
      <c r="J393" s="34">
        <v>1</v>
      </c>
      <c r="K393" s="34">
        <v>0</v>
      </c>
      <c r="L393" s="34">
        <v>0</v>
      </c>
      <c r="M393" s="34">
        <f t="shared" si="14"/>
        <v>582</v>
      </c>
      <c r="N393" s="1">
        <f t="shared" si="15"/>
        <v>582</v>
      </c>
      <c r="O393" s="37" t="s">
        <v>160</v>
      </c>
      <c r="P393" s="1"/>
      <c r="Q393" s="34"/>
      <c r="R393" s="1"/>
      <c r="S393" s="38"/>
      <c r="T393" s="39"/>
      <c r="U393" s="34"/>
      <c r="V393" s="34"/>
      <c r="W393" s="34"/>
      <c r="X393" s="40"/>
      <c r="Y393" s="34"/>
      <c r="Z393" s="29" t="s">
        <v>160</v>
      </c>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1">
        <f>SUM($AT393,Z393:$AA393)-SUM($AV$5:AV$5)*$J393-SUM($AV$6:AV$6)*$K393</f>
        <v>0</v>
      </c>
      <c r="AW393" s="1">
        <f>SUM($AT393,$AA393:AA393)-SUM($AV$5:AW$5)*$J393-SUM($AV$6:AW$6)*$K393</f>
        <v>0</v>
      </c>
      <c r="AX393" s="1">
        <f>SUM($AT393,$AA393:AB393)-SUM($AV$5:AX$5)*$J393-SUM($AV$6:AX$6)*$K393</f>
        <v>0</v>
      </c>
      <c r="AY393" s="1">
        <f>SUM($AT393,$AA393:AC393)-SUM($AV$5:AY$5)*$J393-SUM($AV$6:AY$6)*$K393</f>
        <v>0</v>
      </c>
      <c r="AZ393" s="1">
        <f>SUM($AT393,$AA393:AD393)-SUM($AV$5:AZ$5)*$J393-SUM($AV$6:AZ$6)*$K393</f>
        <v>-40</v>
      </c>
      <c r="BA393" s="1">
        <f>SUM($AT393,$AA393:AE393)-SUM($AV$5:BA$5)*$J393-SUM($AV$6:BA$6)*$K393</f>
        <v>-80</v>
      </c>
      <c r="BB393" s="1">
        <f>SUM($AT393,$AA393:AF393)-SUM($AV$5:BB$5)*$J393-SUM($AV$6:BB$6)*$K393</f>
        <v>-120</v>
      </c>
      <c r="BC393" s="1">
        <f>SUM($AT393,$AA393:AG393)-SUM($AV$5:BC$5)*$J393-SUM($AV$6:BC$6)*$K393</f>
        <v>-160</v>
      </c>
      <c r="BD393" s="1">
        <f>SUM($AT393,$AA393:AH393)-SUM($AV$5:BD$5)*$J393-SUM($AV$6:BD$6)*$K393</f>
        <v>-200</v>
      </c>
      <c r="BE393" s="1">
        <f>SUM($AT393,$AA393:AI393)-SUM($AV$5:BE$5)*$J393-SUM($AV$6:BE$6)*$K393</f>
        <v>-240</v>
      </c>
      <c r="BF393" s="1">
        <f>SUM($AT393,$AA393:AJ393)-SUM($AV$5:BF$5)*$J393-SUM($AV$6:BF$6)*$K393</f>
        <v>-280</v>
      </c>
      <c r="BG393" s="1">
        <f>SUM($AT393,$AA393:AK393)-SUM($AV$5:BG$5)*$J393-SUM($AV$6:BG$6)*$K393</f>
        <v>-320</v>
      </c>
      <c r="BH393" s="1">
        <f>SUM($AT393,$AA393:AL393)-SUM($AV$5:BH$5)*$J393-SUM($AV$6:BH$6)*$K393</f>
        <v>-360</v>
      </c>
      <c r="BI393" s="1">
        <f>SUM($AT393,$AA393:AM393)-SUM($AV$5:BI$5)*$J393-SUM($AV$6:BI$6)*$K393</f>
        <v>-400</v>
      </c>
      <c r="BJ393" s="1">
        <f>SUM($AT393,$AA393:AN393)-SUM($AV$5:BJ$5)*$J393-SUM($AV$6:BJ$6)*$K393</f>
        <v>-440</v>
      </c>
      <c r="BK393" s="1">
        <f>SUM($AT393,$AA393:AO393)-SUM($AV$5:BK$5)*$J393-SUM($AV$6:BK$6)*$K393</f>
        <v>-480</v>
      </c>
      <c r="BL393" s="1">
        <f>SUM($AT393,$AA393:AP393)-SUM($AV$5:BL$5)*$J393-SUM($AV$6:BL$6)*$K393</f>
        <v>-520</v>
      </c>
      <c r="BM393" s="1">
        <f>SUM($AT393,$AA393:AQ393)-SUM($AV$5:BM$5)*$J393-SUM($AV$6:BM$6)*$K393</f>
        <v>-560</v>
      </c>
      <c r="BN393" s="1">
        <f>SUM($AT393,$AA393:AR393)-SUM($AV$5:BN$5)*$J393-SUM($AV$6:BN$6)*$K393</f>
        <v>-582</v>
      </c>
    </row>
    <row r="394" spans="1:66">
      <c r="A394" s="1">
        <v>413</v>
      </c>
      <c r="B394" s="28" t="s">
        <v>1216</v>
      </c>
      <c r="C394" s="1" t="s">
        <v>40</v>
      </c>
      <c r="D394" s="2">
        <v>405584339</v>
      </c>
      <c r="E394" s="3" t="s">
        <v>1217</v>
      </c>
      <c r="F394" s="1">
        <v>406483066</v>
      </c>
      <c r="G394" s="1" t="s">
        <v>42</v>
      </c>
      <c r="H394" s="1">
        <v>1</v>
      </c>
      <c r="I394" s="1">
        <v>2</v>
      </c>
      <c r="J394" s="1">
        <v>0</v>
      </c>
      <c r="K394" s="1">
        <v>0</v>
      </c>
      <c r="L394" s="1">
        <v>2</v>
      </c>
      <c r="M394" s="1">
        <f t="shared" si="14"/>
        <v>552</v>
      </c>
      <c r="N394" s="1">
        <f t="shared" si="15"/>
        <v>552</v>
      </c>
      <c r="O394" s="2" t="s">
        <v>358</v>
      </c>
      <c r="P394" s="1"/>
      <c r="Q394" s="1">
        <v>0.2</v>
      </c>
      <c r="R394" s="1" t="s">
        <v>44</v>
      </c>
      <c r="S394" s="30" t="s">
        <v>359</v>
      </c>
      <c r="T394" s="31" t="s">
        <v>360</v>
      </c>
      <c r="U394" s="1"/>
      <c r="V394" s="1">
        <v>2000</v>
      </c>
      <c r="W394" s="1" t="s">
        <v>361</v>
      </c>
      <c r="X394" s="33" t="s">
        <v>362</v>
      </c>
      <c r="Y394" s="1" t="s">
        <v>363</v>
      </c>
      <c r="Z394" s="2" t="s">
        <v>358</v>
      </c>
      <c r="AA394" s="1"/>
      <c r="AB394" s="1"/>
      <c r="AC394" s="1"/>
      <c r="AD394" s="1"/>
      <c r="AE394" s="1"/>
      <c r="AF394" s="1"/>
      <c r="AG394" s="1"/>
      <c r="AH394" s="1"/>
      <c r="AI394" s="1"/>
      <c r="AJ394" s="1"/>
      <c r="AK394" s="1"/>
      <c r="AL394" s="1"/>
      <c r="AM394" s="1"/>
      <c r="AN394" s="1"/>
      <c r="AO394" s="1"/>
      <c r="AP394" s="1"/>
      <c r="AQ394" s="1"/>
      <c r="AR394" s="1"/>
      <c r="AS394" s="1"/>
      <c r="AT394" s="1"/>
      <c r="AU394" s="1"/>
      <c r="AV394" s="1">
        <f>SUM($AT394,Z394:$AA394)-SUM($AV$5:AV$5)*$J394-SUM($AV$6:AV$6)*$K394</f>
        <v>0</v>
      </c>
      <c r="AW394" s="1">
        <f>SUM($AT394,$AA394:AA394)-SUM($AV$5:AW$5)*$J394-SUM($AV$6:AW$6)*$K394</f>
        <v>0</v>
      </c>
      <c r="AX394" s="1">
        <f>SUM($AT394,$AA394:AB394)-SUM($AV$5:AX$5)*$J394-SUM($AV$6:AX$6)*$K394</f>
        <v>0</v>
      </c>
      <c r="AY394" s="1">
        <f>SUM($AT394,$AA394:AC394)-SUM($AV$5:AY$5)*$J394-SUM($AV$6:AY$6)*$K394</f>
        <v>0</v>
      </c>
      <c r="AZ394" s="1">
        <f>SUM($AT394,$AA394:AD394)-SUM($AV$5:AZ$5)*$J394-SUM($AV$6:AZ$6)*$K394</f>
        <v>0</v>
      </c>
      <c r="BA394" s="1">
        <f>SUM($AT394,$AA394:AE394)-SUM($AV$5:BA$5)*$J394-SUM($AV$6:BA$6)*$K394</f>
        <v>0</v>
      </c>
      <c r="BB394" s="1">
        <f>SUM($AT394,$AA394:AF394)-SUM($AV$5:BB$5)*$J394-SUM($AV$6:BB$6)*$K394</f>
        <v>0</v>
      </c>
      <c r="BC394" s="1">
        <f>SUM($AT394,$AA394:AG394)-SUM($AV$5:BC$5)*$J394-SUM($AV$6:BC$6)*$K394</f>
        <v>0</v>
      </c>
      <c r="BD394" s="1">
        <f>SUM($AT394,$AA394:AH394)-SUM($AV$5:BD$5)*$J394-SUM($AV$6:BD$6)*$K394</f>
        <v>0</v>
      </c>
      <c r="BE394" s="1">
        <f>SUM($AT394,$AA394:AI394)-SUM($AV$5:BE$5)*$J394-SUM($AV$6:BE$6)*$K394</f>
        <v>0</v>
      </c>
      <c r="BF394" s="1">
        <f>SUM($AT394,$AA394:AJ394)-SUM($AV$5:BF$5)*$J394-SUM($AV$6:BF$6)*$K394</f>
        <v>0</v>
      </c>
      <c r="BG394" s="1">
        <f>SUM($AT394,$AA394:AK394)-SUM($AV$5:BG$5)*$J394-SUM($AV$6:BG$6)*$K394</f>
        <v>0</v>
      </c>
      <c r="BH394" s="1">
        <f>SUM($AT394,$AA394:AL394)-SUM($AV$5:BH$5)*$J394-SUM($AV$6:BH$6)*$K394</f>
        <v>0</v>
      </c>
      <c r="BI394" s="1">
        <f>SUM($AT394,$AA394:AM394)-SUM($AV$5:BI$5)*$J394-SUM($AV$6:BI$6)*$K394</f>
        <v>0</v>
      </c>
      <c r="BJ394" s="1">
        <f>SUM($AT394,$AA394:AN394)-SUM($AV$5:BJ$5)*$J394-SUM($AV$6:BJ$6)*$K394</f>
        <v>0</v>
      </c>
      <c r="BK394" s="1">
        <f>SUM($AT394,$AA394:AO394)-SUM($AV$5:BK$5)*$J394-SUM($AV$6:BK$6)*$K394</f>
        <v>0</v>
      </c>
      <c r="BL394" s="1">
        <f>SUM($AT394,$AA394:AP394)-SUM($AV$5:BL$5)*$J394-SUM($AV$6:BL$6)*$K394</f>
        <v>0</v>
      </c>
      <c r="BM394" s="1">
        <f>SUM($AT394,$AA394:AQ394)-SUM($AV$5:BM$5)*$J394-SUM($AV$6:BM$6)*$K394</f>
        <v>0</v>
      </c>
      <c r="BN394" s="1">
        <f>SUM($AT394,$AA394:AR394)-SUM($AV$5:BN$5)*$J394-SUM($AV$6:BN$6)*$K394</f>
        <v>0</v>
      </c>
    </row>
    <row r="395" spans="1:66">
      <c r="A395" s="1">
        <v>265</v>
      </c>
      <c r="B395" s="28" t="s">
        <v>1218</v>
      </c>
      <c r="C395" s="1" t="s">
        <v>40</v>
      </c>
      <c r="D395" s="2">
        <v>411359913</v>
      </c>
      <c r="E395" s="3" t="s">
        <v>1219</v>
      </c>
      <c r="F395" s="1"/>
      <c r="G395" s="1" t="s">
        <v>42</v>
      </c>
      <c r="H395" s="1">
        <v>2</v>
      </c>
      <c r="I395" s="1">
        <v>1</v>
      </c>
      <c r="J395" s="1">
        <v>1</v>
      </c>
      <c r="K395" s="1">
        <v>0</v>
      </c>
      <c r="L395" s="1">
        <v>0</v>
      </c>
      <c r="M395" s="1">
        <f t="shared" si="14"/>
        <v>582</v>
      </c>
      <c r="N395" s="1">
        <f t="shared" si="15"/>
        <v>582</v>
      </c>
      <c r="O395" s="2" t="s">
        <v>1220</v>
      </c>
      <c r="P395" s="1"/>
      <c r="Q395" s="1">
        <v>5.04</v>
      </c>
      <c r="R395" s="1" t="s">
        <v>44</v>
      </c>
      <c r="S395" s="30" t="s">
        <v>45</v>
      </c>
      <c r="T395" s="31" t="s">
        <v>1221</v>
      </c>
      <c r="U395" s="1">
        <v>44</v>
      </c>
      <c r="V395" s="1">
        <v>44</v>
      </c>
      <c r="W395" s="1" t="s">
        <v>1222</v>
      </c>
      <c r="X395" s="33" t="s">
        <v>1223</v>
      </c>
      <c r="Y395" s="1" t="s">
        <v>1224</v>
      </c>
      <c r="Z395" s="2" t="s">
        <v>1225</v>
      </c>
      <c r="AA395" s="1"/>
      <c r="AB395" s="1"/>
      <c r="AC395" s="1"/>
      <c r="AD395" s="1"/>
      <c r="AE395" s="1"/>
      <c r="AF395" s="1"/>
      <c r="AG395" s="1"/>
      <c r="AH395" s="1"/>
      <c r="AI395" s="1"/>
      <c r="AJ395" s="1"/>
      <c r="AK395" s="1"/>
      <c r="AL395" s="1"/>
      <c r="AM395" s="1"/>
      <c r="AN395" s="1"/>
      <c r="AO395" s="1"/>
      <c r="AP395" s="1"/>
      <c r="AQ395" s="1"/>
      <c r="AR395" s="1"/>
      <c r="AS395" s="1"/>
      <c r="AT395" s="1"/>
      <c r="AU395" s="1"/>
      <c r="AV395" s="1">
        <f>SUM($AT395,Z395:$AA395)-SUM($AV$5:AV$5)*$J395-SUM($AV$6:AV$6)*$K395</f>
        <v>0</v>
      </c>
      <c r="AW395" s="1">
        <f>SUM($AT395,$AA395:AA395)-SUM($AV$5:AW$5)*$J395-SUM($AV$6:AW$6)*$K395</f>
        <v>0</v>
      </c>
      <c r="AX395" s="1">
        <f>SUM($AT395,$AA395:AB395)-SUM($AV$5:AX$5)*$J395-SUM($AV$6:AX$6)*$K395</f>
        <v>0</v>
      </c>
      <c r="AY395" s="1">
        <f>SUM($AT395,$AA395:AC395)-SUM($AV$5:AY$5)*$J395-SUM($AV$6:AY$6)*$K395</f>
        <v>0</v>
      </c>
      <c r="AZ395" s="1">
        <f>SUM($AT395,$AA395:AD395)-SUM($AV$5:AZ$5)*$J395-SUM($AV$6:AZ$6)*$K395</f>
        <v>-40</v>
      </c>
      <c r="BA395" s="1">
        <f>SUM($AT395,$AA395:AE395)-SUM($AV$5:BA$5)*$J395-SUM($AV$6:BA$6)*$K395</f>
        <v>-80</v>
      </c>
      <c r="BB395" s="1">
        <f>SUM($AT395,$AA395:AF395)-SUM($AV$5:BB$5)*$J395-SUM($AV$6:BB$6)*$K395</f>
        <v>-120</v>
      </c>
      <c r="BC395" s="1">
        <f>SUM($AT395,$AA395:AG395)-SUM($AV$5:BC$5)*$J395-SUM($AV$6:BC$6)*$K395</f>
        <v>-160</v>
      </c>
      <c r="BD395" s="1">
        <f>SUM($AT395,$AA395:AH395)-SUM($AV$5:BD$5)*$J395-SUM($AV$6:BD$6)*$K395</f>
        <v>-200</v>
      </c>
      <c r="BE395" s="1">
        <f>SUM($AT395,$AA395:AI395)-SUM($AV$5:BE$5)*$J395-SUM($AV$6:BE$6)*$K395</f>
        <v>-240</v>
      </c>
      <c r="BF395" s="1">
        <f>SUM($AT395,$AA395:AJ395)-SUM($AV$5:BF$5)*$J395-SUM($AV$6:BF$6)*$K395</f>
        <v>-280</v>
      </c>
      <c r="BG395" s="1">
        <f>SUM($AT395,$AA395:AK395)-SUM($AV$5:BG$5)*$J395-SUM($AV$6:BG$6)*$K395</f>
        <v>-320</v>
      </c>
      <c r="BH395" s="1">
        <f>SUM($AT395,$AA395:AL395)-SUM($AV$5:BH$5)*$J395-SUM($AV$6:BH$6)*$K395</f>
        <v>-360</v>
      </c>
      <c r="BI395" s="1">
        <f>SUM($AT395,$AA395:AM395)-SUM($AV$5:BI$5)*$J395-SUM($AV$6:BI$6)*$K395</f>
        <v>-400</v>
      </c>
      <c r="BJ395" s="1">
        <f>SUM($AT395,$AA395:AN395)-SUM($AV$5:BJ$5)*$J395-SUM($AV$6:BJ$6)*$K395</f>
        <v>-440</v>
      </c>
      <c r="BK395" s="1">
        <f>SUM($AT395,$AA395:AO395)-SUM($AV$5:BK$5)*$J395-SUM($AV$6:BK$6)*$K395</f>
        <v>-480</v>
      </c>
      <c r="BL395" s="1">
        <f>SUM($AT395,$AA395:AP395)-SUM($AV$5:BL$5)*$J395-SUM($AV$6:BL$6)*$K395</f>
        <v>-520</v>
      </c>
      <c r="BM395" s="1">
        <f>SUM($AT395,$AA395:AQ395)-SUM($AV$5:BM$5)*$J395-SUM($AV$6:BM$6)*$K395</f>
        <v>-560</v>
      </c>
      <c r="BN395" s="1">
        <f>SUM($AT395,$AA395:AR395)-SUM($AV$5:BN$5)*$J395-SUM($AV$6:BN$6)*$K395</f>
        <v>-582</v>
      </c>
    </row>
    <row r="396" spans="1:66">
      <c r="A396" s="1">
        <v>415</v>
      </c>
      <c r="B396" s="28" t="s">
        <v>1226</v>
      </c>
      <c r="C396" s="1" t="s">
        <v>40</v>
      </c>
      <c r="D396" s="2">
        <v>401537976</v>
      </c>
      <c r="E396" s="3" t="s">
        <v>1227</v>
      </c>
      <c r="F396" s="1"/>
      <c r="G396" s="1" t="s">
        <v>42</v>
      </c>
      <c r="H396" s="1">
        <v>2</v>
      </c>
      <c r="I396" s="1">
        <v>2</v>
      </c>
      <c r="J396" s="1">
        <v>0</v>
      </c>
      <c r="K396" s="1">
        <v>0</v>
      </c>
      <c r="L396" s="1">
        <v>2</v>
      </c>
      <c r="M396" s="1">
        <f t="shared" si="14"/>
        <v>552</v>
      </c>
      <c r="N396" s="1">
        <f t="shared" si="15"/>
        <v>552</v>
      </c>
      <c r="O396" s="2" t="s">
        <v>358</v>
      </c>
      <c r="P396" s="1"/>
      <c r="Q396" s="1">
        <v>0.38</v>
      </c>
      <c r="R396" s="1" t="s">
        <v>44</v>
      </c>
      <c r="S396" s="30" t="s">
        <v>359</v>
      </c>
      <c r="T396" s="31" t="s">
        <v>360</v>
      </c>
      <c r="U396" s="1"/>
      <c r="V396" s="1">
        <v>250</v>
      </c>
      <c r="W396" s="1" t="s">
        <v>361</v>
      </c>
      <c r="X396" s="33" t="s">
        <v>362</v>
      </c>
      <c r="Y396" s="1" t="s">
        <v>363</v>
      </c>
      <c r="Z396" s="2" t="s">
        <v>358</v>
      </c>
      <c r="AA396" s="1"/>
      <c r="AB396" s="1"/>
      <c r="AC396" s="1"/>
      <c r="AD396" s="1"/>
      <c r="AE396" s="1"/>
      <c r="AF396" s="1"/>
      <c r="AG396" s="1"/>
      <c r="AH396" s="1"/>
      <c r="AI396" s="1"/>
      <c r="AJ396" s="1"/>
      <c r="AK396" s="1"/>
      <c r="AL396" s="1"/>
      <c r="AM396" s="1"/>
      <c r="AN396" s="1"/>
      <c r="AO396" s="1"/>
      <c r="AP396" s="1"/>
      <c r="AQ396" s="1"/>
      <c r="AR396" s="1"/>
      <c r="AS396" s="1"/>
      <c r="AT396" s="1"/>
      <c r="AU396" s="1"/>
      <c r="AV396" s="1">
        <f>SUM($AT396,Z396:$AA396)-SUM($AV$5:AV$5)*$J396-SUM($AV$6:AV$6)*$K396</f>
        <v>0</v>
      </c>
      <c r="AW396" s="1">
        <f>SUM($AT396,$AA396:AA396)-SUM($AV$5:AW$5)*$J396-SUM($AV$6:AW$6)*$K396</f>
        <v>0</v>
      </c>
      <c r="AX396" s="1">
        <f>SUM($AT396,$AA396:AB396)-SUM($AV$5:AX$5)*$J396-SUM($AV$6:AX$6)*$K396</f>
        <v>0</v>
      </c>
      <c r="AY396" s="1">
        <f>SUM($AT396,$AA396:AC396)-SUM($AV$5:AY$5)*$J396-SUM($AV$6:AY$6)*$K396</f>
        <v>0</v>
      </c>
      <c r="AZ396" s="1">
        <f>SUM($AT396,$AA396:AD396)-SUM($AV$5:AZ$5)*$J396-SUM($AV$6:AZ$6)*$K396</f>
        <v>0</v>
      </c>
      <c r="BA396" s="1">
        <f>SUM($AT396,$AA396:AE396)-SUM($AV$5:BA$5)*$J396-SUM($AV$6:BA$6)*$K396</f>
        <v>0</v>
      </c>
      <c r="BB396" s="1">
        <f>SUM($AT396,$AA396:AF396)-SUM($AV$5:BB$5)*$J396-SUM($AV$6:BB$6)*$K396</f>
        <v>0</v>
      </c>
      <c r="BC396" s="1">
        <f>SUM($AT396,$AA396:AG396)-SUM($AV$5:BC$5)*$J396-SUM($AV$6:BC$6)*$K396</f>
        <v>0</v>
      </c>
      <c r="BD396" s="1">
        <f>SUM($AT396,$AA396:AH396)-SUM($AV$5:BD$5)*$J396-SUM($AV$6:BD$6)*$K396</f>
        <v>0</v>
      </c>
      <c r="BE396" s="1">
        <f>SUM($AT396,$AA396:AI396)-SUM($AV$5:BE$5)*$J396-SUM($AV$6:BE$6)*$K396</f>
        <v>0</v>
      </c>
      <c r="BF396" s="1">
        <f>SUM($AT396,$AA396:AJ396)-SUM($AV$5:BF$5)*$J396-SUM($AV$6:BF$6)*$K396</f>
        <v>0</v>
      </c>
      <c r="BG396" s="1">
        <f>SUM($AT396,$AA396:AK396)-SUM($AV$5:BG$5)*$J396-SUM($AV$6:BG$6)*$K396</f>
        <v>0</v>
      </c>
      <c r="BH396" s="1">
        <f>SUM($AT396,$AA396:AL396)-SUM($AV$5:BH$5)*$J396-SUM($AV$6:BH$6)*$K396</f>
        <v>0</v>
      </c>
      <c r="BI396" s="1">
        <f>SUM($AT396,$AA396:AM396)-SUM($AV$5:BI$5)*$J396-SUM($AV$6:BI$6)*$K396</f>
        <v>0</v>
      </c>
      <c r="BJ396" s="1">
        <f>SUM($AT396,$AA396:AN396)-SUM($AV$5:BJ$5)*$J396-SUM($AV$6:BJ$6)*$K396</f>
        <v>0</v>
      </c>
      <c r="BK396" s="1">
        <f>SUM($AT396,$AA396:AO396)-SUM($AV$5:BK$5)*$J396-SUM($AV$6:BK$6)*$K396</f>
        <v>0</v>
      </c>
      <c r="BL396" s="1">
        <f>SUM($AT396,$AA396:AP396)-SUM($AV$5:BL$5)*$J396-SUM($AV$6:BL$6)*$K396</f>
        <v>0</v>
      </c>
      <c r="BM396" s="1">
        <f>SUM($AT396,$AA396:AQ396)-SUM($AV$5:BM$5)*$J396-SUM($AV$6:BM$6)*$K396</f>
        <v>0</v>
      </c>
      <c r="BN396" s="1">
        <f>SUM($AT396,$AA396:AR396)-SUM($AV$5:BN$5)*$J396-SUM($AV$6:BN$6)*$K396</f>
        <v>0</v>
      </c>
    </row>
    <row r="397" spans="1:66">
      <c r="A397" s="1">
        <v>276</v>
      </c>
      <c r="B397" s="28" t="s">
        <v>1228</v>
      </c>
      <c r="C397" s="1" t="s">
        <v>40</v>
      </c>
      <c r="D397" s="2">
        <v>414274376</v>
      </c>
      <c r="E397" s="3" t="s">
        <v>1229</v>
      </c>
      <c r="F397" s="1"/>
      <c r="G397" s="1" t="s">
        <v>42</v>
      </c>
      <c r="H397" s="1">
        <v>2</v>
      </c>
      <c r="I397" s="1">
        <v>1</v>
      </c>
      <c r="J397" s="1">
        <v>1</v>
      </c>
      <c r="K397" s="1">
        <v>0</v>
      </c>
      <c r="L397" s="1">
        <v>0</v>
      </c>
      <c r="M397" s="1">
        <f t="shared" si="14"/>
        <v>582</v>
      </c>
      <c r="N397" s="1">
        <f t="shared" si="15"/>
        <v>582</v>
      </c>
      <c r="O397" s="2" t="s">
        <v>323</v>
      </c>
      <c r="P397" s="1"/>
      <c r="Q397" s="1">
        <v>7.74</v>
      </c>
      <c r="R397" s="1" t="s">
        <v>44</v>
      </c>
      <c r="S397" s="30" t="s">
        <v>324</v>
      </c>
      <c r="T397" s="31" t="s">
        <v>323</v>
      </c>
      <c r="U397" s="1"/>
      <c r="V397" s="1">
        <v>100</v>
      </c>
      <c r="W397" s="1" t="s">
        <v>325</v>
      </c>
      <c r="X397" s="32" t="s">
        <v>326</v>
      </c>
      <c r="Y397" s="1" t="s">
        <v>327</v>
      </c>
      <c r="Z397" s="2" t="s">
        <v>323</v>
      </c>
      <c r="AA397" s="1"/>
      <c r="AB397" s="1"/>
      <c r="AC397" s="1"/>
      <c r="AD397" s="1"/>
      <c r="AE397" s="1"/>
      <c r="AF397" s="1"/>
      <c r="AG397" s="1"/>
      <c r="AH397" s="1"/>
      <c r="AI397" s="1"/>
      <c r="AJ397" s="1"/>
      <c r="AK397" s="1"/>
      <c r="AL397" s="1"/>
      <c r="AM397" s="1"/>
      <c r="AN397" s="1"/>
      <c r="AO397" s="1"/>
      <c r="AP397" s="1"/>
      <c r="AQ397" s="1"/>
      <c r="AR397" s="1"/>
      <c r="AS397" s="1"/>
      <c r="AT397" s="1"/>
      <c r="AU397" s="1"/>
      <c r="AV397" s="1">
        <f>SUM($AT397,Z397:$AA397)-SUM($AV$5:AV$5)*$J397-SUM($AV$6:AV$6)*$K397</f>
        <v>0</v>
      </c>
      <c r="AW397" s="1">
        <f>SUM($AT397,$AA397:AA397)-SUM($AV$5:AW$5)*$J397-SUM($AV$6:AW$6)*$K397</f>
        <v>0</v>
      </c>
      <c r="AX397" s="1">
        <f>SUM($AT397,$AA397:AB397)-SUM($AV$5:AX$5)*$J397-SUM($AV$6:AX$6)*$K397</f>
        <v>0</v>
      </c>
      <c r="AY397" s="1">
        <f>SUM($AT397,$AA397:AC397)-SUM($AV$5:AY$5)*$J397-SUM($AV$6:AY$6)*$K397</f>
        <v>0</v>
      </c>
      <c r="AZ397" s="1">
        <f>SUM($AT397,$AA397:AD397)-SUM($AV$5:AZ$5)*$J397-SUM($AV$6:AZ$6)*$K397</f>
        <v>-40</v>
      </c>
      <c r="BA397" s="1">
        <f>SUM($AT397,$AA397:AE397)-SUM($AV$5:BA$5)*$J397-SUM($AV$6:BA$6)*$K397</f>
        <v>-80</v>
      </c>
      <c r="BB397" s="1">
        <f>SUM($AT397,$AA397:AF397)-SUM($AV$5:BB$5)*$J397-SUM($AV$6:BB$6)*$K397</f>
        <v>-120</v>
      </c>
      <c r="BC397" s="1">
        <f>SUM($AT397,$AA397:AG397)-SUM($AV$5:BC$5)*$J397-SUM($AV$6:BC$6)*$K397</f>
        <v>-160</v>
      </c>
      <c r="BD397" s="1">
        <f>SUM($AT397,$AA397:AH397)-SUM($AV$5:BD$5)*$J397-SUM($AV$6:BD$6)*$K397</f>
        <v>-200</v>
      </c>
      <c r="BE397" s="1">
        <f>SUM($AT397,$AA397:AI397)-SUM($AV$5:BE$5)*$J397-SUM($AV$6:BE$6)*$K397</f>
        <v>-240</v>
      </c>
      <c r="BF397" s="1">
        <f>SUM($AT397,$AA397:AJ397)-SUM($AV$5:BF$5)*$J397-SUM($AV$6:BF$6)*$K397</f>
        <v>-280</v>
      </c>
      <c r="BG397" s="1">
        <f>SUM($AT397,$AA397:AK397)-SUM($AV$5:BG$5)*$J397-SUM($AV$6:BG$6)*$K397</f>
        <v>-320</v>
      </c>
      <c r="BH397" s="1">
        <f>SUM($AT397,$AA397:AL397)-SUM($AV$5:BH$5)*$J397-SUM($AV$6:BH$6)*$K397</f>
        <v>-360</v>
      </c>
      <c r="BI397" s="1">
        <f>SUM($AT397,$AA397:AM397)-SUM($AV$5:BI$5)*$J397-SUM($AV$6:BI$6)*$K397</f>
        <v>-400</v>
      </c>
      <c r="BJ397" s="1">
        <f>SUM($AT397,$AA397:AN397)-SUM($AV$5:BJ$5)*$J397-SUM($AV$6:BJ$6)*$K397</f>
        <v>-440</v>
      </c>
      <c r="BK397" s="1">
        <f>SUM($AT397,$AA397:AO397)-SUM($AV$5:BK$5)*$J397-SUM($AV$6:BK$6)*$K397</f>
        <v>-480</v>
      </c>
      <c r="BL397" s="1">
        <f>SUM($AT397,$AA397:AP397)-SUM($AV$5:BL$5)*$J397-SUM($AV$6:BL$6)*$K397</f>
        <v>-520</v>
      </c>
      <c r="BM397" s="1">
        <f>SUM($AT397,$AA397:AQ397)-SUM($AV$5:BM$5)*$J397-SUM($AV$6:BM$6)*$K397</f>
        <v>-560</v>
      </c>
      <c r="BN397" s="1">
        <f>SUM($AT397,$AA397:AR397)-SUM($AV$5:BN$5)*$J397-SUM($AV$6:BN$6)*$K397</f>
        <v>-582</v>
      </c>
    </row>
    <row r="398" spans="1:66">
      <c r="A398" s="34">
        <v>417</v>
      </c>
      <c r="B398" s="35" t="s">
        <v>1230</v>
      </c>
      <c r="C398" s="34" t="s">
        <v>40</v>
      </c>
      <c r="D398" s="29">
        <v>401863222</v>
      </c>
      <c r="E398" s="36" t="s">
        <v>1231</v>
      </c>
      <c r="F398" s="34">
        <v>401867866</v>
      </c>
      <c r="G398" s="34" t="s">
        <v>42</v>
      </c>
      <c r="H398" s="34">
        <v>1</v>
      </c>
      <c r="I398" s="34">
        <v>1</v>
      </c>
      <c r="J398" s="34">
        <v>1</v>
      </c>
      <c r="K398" s="34">
        <v>0</v>
      </c>
      <c r="L398" s="34">
        <v>0</v>
      </c>
      <c r="M398" s="34">
        <f t="shared" si="14"/>
        <v>582</v>
      </c>
      <c r="N398" s="1">
        <f t="shared" si="15"/>
        <v>582</v>
      </c>
      <c r="O398" s="37" t="s">
        <v>160</v>
      </c>
      <c r="P398" s="1"/>
      <c r="Q398" s="34"/>
      <c r="R398" s="1"/>
      <c r="S398" s="38"/>
      <c r="T398" s="39"/>
      <c r="U398" s="34"/>
      <c r="V398" s="34"/>
      <c r="W398" s="34"/>
      <c r="X398" s="40"/>
      <c r="Y398" s="34"/>
      <c r="Z398" s="29" t="s">
        <v>160</v>
      </c>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1">
        <f>SUM($AT398,Z398:$AA398)-SUM($AV$5:AV$5)*$J398-SUM($AV$6:AV$6)*$K398</f>
        <v>0</v>
      </c>
      <c r="AW398" s="1">
        <f>SUM($AT398,$AA398:AA398)-SUM($AV$5:AW$5)*$J398-SUM($AV$6:AW$6)*$K398</f>
        <v>0</v>
      </c>
      <c r="AX398" s="1">
        <f>SUM($AT398,$AA398:AB398)-SUM($AV$5:AX$5)*$J398-SUM($AV$6:AX$6)*$K398</f>
        <v>0</v>
      </c>
      <c r="AY398" s="1">
        <f>SUM($AT398,$AA398:AC398)-SUM($AV$5:AY$5)*$J398-SUM($AV$6:AY$6)*$K398</f>
        <v>0</v>
      </c>
      <c r="AZ398" s="1">
        <f>SUM($AT398,$AA398:AD398)-SUM($AV$5:AZ$5)*$J398-SUM($AV$6:AZ$6)*$K398</f>
        <v>-40</v>
      </c>
      <c r="BA398" s="1">
        <f>SUM($AT398,$AA398:AE398)-SUM($AV$5:BA$5)*$J398-SUM($AV$6:BA$6)*$K398</f>
        <v>-80</v>
      </c>
      <c r="BB398" s="1">
        <f>SUM($AT398,$AA398:AF398)-SUM($AV$5:BB$5)*$J398-SUM($AV$6:BB$6)*$K398</f>
        <v>-120</v>
      </c>
      <c r="BC398" s="1">
        <f>SUM($AT398,$AA398:AG398)-SUM($AV$5:BC$5)*$J398-SUM($AV$6:BC$6)*$K398</f>
        <v>-160</v>
      </c>
      <c r="BD398" s="1">
        <f>SUM($AT398,$AA398:AH398)-SUM($AV$5:BD$5)*$J398-SUM($AV$6:BD$6)*$K398</f>
        <v>-200</v>
      </c>
      <c r="BE398" s="1">
        <f>SUM($AT398,$AA398:AI398)-SUM($AV$5:BE$5)*$J398-SUM($AV$6:BE$6)*$K398</f>
        <v>-240</v>
      </c>
      <c r="BF398" s="1">
        <f>SUM($AT398,$AA398:AJ398)-SUM($AV$5:BF$5)*$J398-SUM($AV$6:BF$6)*$K398</f>
        <v>-280</v>
      </c>
      <c r="BG398" s="1">
        <f>SUM($AT398,$AA398:AK398)-SUM($AV$5:BG$5)*$J398-SUM($AV$6:BG$6)*$K398</f>
        <v>-320</v>
      </c>
      <c r="BH398" s="1">
        <f>SUM($AT398,$AA398:AL398)-SUM($AV$5:BH$5)*$J398-SUM($AV$6:BH$6)*$K398</f>
        <v>-360</v>
      </c>
      <c r="BI398" s="1">
        <f>SUM($AT398,$AA398:AM398)-SUM($AV$5:BI$5)*$J398-SUM($AV$6:BI$6)*$K398</f>
        <v>-400</v>
      </c>
      <c r="BJ398" s="1">
        <f>SUM($AT398,$AA398:AN398)-SUM($AV$5:BJ$5)*$J398-SUM($AV$6:BJ$6)*$K398</f>
        <v>-440</v>
      </c>
      <c r="BK398" s="1">
        <f>SUM($AT398,$AA398:AO398)-SUM($AV$5:BK$5)*$J398-SUM($AV$6:BK$6)*$K398</f>
        <v>-480</v>
      </c>
      <c r="BL398" s="1">
        <f>SUM($AT398,$AA398:AP398)-SUM($AV$5:BL$5)*$J398-SUM($AV$6:BL$6)*$K398</f>
        <v>-520</v>
      </c>
      <c r="BM398" s="1">
        <f>SUM($AT398,$AA398:AQ398)-SUM($AV$5:BM$5)*$J398-SUM($AV$6:BM$6)*$K398</f>
        <v>-560</v>
      </c>
      <c r="BN398" s="1">
        <f>SUM($AT398,$AA398:AR398)-SUM($AV$5:BN$5)*$J398-SUM($AV$6:BN$6)*$K398</f>
        <v>-582</v>
      </c>
    </row>
    <row r="399" spans="1:66">
      <c r="A399" s="1">
        <v>277</v>
      </c>
      <c r="B399" s="28" t="s">
        <v>1232</v>
      </c>
      <c r="C399" s="1" t="s">
        <v>40</v>
      </c>
      <c r="D399" s="2">
        <v>400026812</v>
      </c>
      <c r="E399" s="3" t="s">
        <v>1233</v>
      </c>
      <c r="F399" s="1"/>
      <c r="G399" s="1" t="s">
        <v>42</v>
      </c>
      <c r="H399" s="1">
        <v>1</v>
      </c>
      <c r="I399" s="1">
        <v>2</v>
      </c>
      <c r="J399" s="1">
        <v>2</v>
      </c>
      <c r="K399" s="1">
        <v>0</v>
      </c>
      <c r="L399" s="1">
        <v>0</v>
      </c>
      <c r="M399" s="1">
        <f t="shared" si="14"/>
        <v>1164</v>
      </c>
      <c r="N399" s="1">
        <f t="shared" si="15"/>
        <v>1164</v>
      </c>
      <c r="O399" s="2" t="s">
        <v>323</v>
      </c>
      <c r="P399" s="1"/>
      <c r="Q399" s="1">
        <v>14.36</v>
      </c>
      <c r="R399" s="1" t="s">
        <v>44</v>
      </c>
      <c r="S399" s="30" t="s">
        <v>324</v>
      </c>
      <c r="T399" s="31" t="s">
        <v>323</v>
      </c>
      <c r="U399" s="1"/>
      <c r="V399" s="1">
        <v>180</v>
      </c>
      <c r="W399" s="1" t="s">
        <v>325</v>
      </c>
      <c r="X399" s="32" t="s">
        <v>326</v>
      </c>
      <c r="Y399" s="1" t="s">
        <v>327</v>
      </c>
      <c r="Z399" s="2" t="s">
        <v>323</v>
      </c>
      <c r="AA399" s="1"/>
      <c r="AB399" s="1"/>
      <c r="AC399" s="1"/>
      <c r="AD399" s="1"/>
      <c r="AE399" s="1"/>
      <c r="AF399" s="1"/>
      <c r="AG399" s="1"/>
      <c r="AH399" s="1"/>
      <c r="AI399" s="1"/>
      <c r="AJ399" s="1"/>
      <c r="AK399" s="1"/>
      <c r="AL399" s="1"/>
      <c r="AM399" s="1"/>
      <c r="AN399" s="1"/>
      <c r="AO399" s="1"/>
      <c r="AP399" s="1"/>
      <c r="AQ399" s="1"/>
      <c r="AR399" s="1"/>
      <c r="AS399" s="1"/>
      <c r="AT399" s="1"/>
      <c r="AU399" s="1"/>
      <c r="AV399" s="1">
        <f>SUM($AT399,Z399:$AA399)-SUM($AV$5:AV$5)*$J399-SUM($AV$6:AV$6)*$K399</f>
        <v>0</v>
      </c>
      <c r="AW399" s="1">
        <f>SUM($AT399,$AA399:AA399)-SUM($AV$5:AW$5)*$J399-SUM($AV$6:AW$6)*$K399</f>
        <v>0</v>
      </c>
      <c r="AX399" s="1">
        <f>SUM($AT399,$AA399:AB399)-SUM($AV$5:AX$5)*$J399-SUM($AV$6:AX$6)*$K399</f>
        <v>0</v>
      </c>
      <c r="AY399" s="1">
        <f>SUM($AT399,$AA399:AC399)-SUM($AV$5:AY$5)*$J399-SUM($AV$6:AY$6)*$K399</f>
        <v>0</v>
      </c>
      <c r="AZ399" s="1">
        <f>SUM($AT399,$AA399:AD399)-SUM($AV$5:AZ$5)*$J399-SUM($AV$6:AZ$6)*$K399</f>
        <v>-80</v>
      </c>
      <c r="BA399" s="1">
        <f>SUM($AT399,$AA399:AE399)-SUM($AV$5:BA$5)*$J399-SUM($AV$6:BA$6)*$K399</f>
        <v>-160</v>
      </c>
      <c r="BB399" s="1">
        <f>SUM($AT399,$AA399:AF399)-SUM($AV$5:BB$5)*$J399-SUM($AV$6:BB$6)*$K399</f>
        <v>-240</v>
      </c>
      <c r="BC399" s="1">
        <f>SUM($AT399,$AA399:AG399)-SUM($AV$5:BC$5)*$J399-SUM($AV$6:BC$6)*$K399</f>
        <v>-320</v>
      </c>
      <c r="BD399" s="1">
        <f>SUM($AT399,$AA399:AH399)-SUM($AV$5:BD$5)*$J399-SUM($AV$6:BD$6)*$K399</f>
        <v>-400</v>
      </c>
      <c r="BE399" s="1">
        <f>SUM($AT399,$AA399:AI399)-SUM($AV$5:BE$5)*$J399-SUM($AV$6:BE$6)*$K399</f>
        <v>-480</v>
      </c>
      <c r="BF399" s="1">
        <f>SUM($AT399,$AA399:AJ399)-SUM($AV$5:BF$5)*$J399-SUM($AV$6:BF$6)*$K399</f>
        <v>-560</v>
      </c>
      <c r="BG399" s="1">
        <f>SUM($AT399,$AA399:AK399)-SUM($AV$5:BG$5)*$J399-SUM($AV$6:BG$6)*$K399</f>
        <v>-640</v>
      </c>
      <c r="BH399" s="1">
        <f>SUM($AT399,$AA399:AL399)-SUM($AV$5:BH$5)*$J399-SUM($AV$6:BH$6)*$K399</f>
        <v>-720</v>
      </c>
      <c r="BI399" s="1">
        <f>SUM($AT399,$AA399:AM399)-SUM($AV$5:BI$5)*$J399-SUM($AV$6:BI$6)*$K399</f>
        <v>-800</v>
      </c>
      <c r="BJ399" s="1">
        <f>SUM($AT399,$AA399:AN399)-SUM($AV$5:BJ$5)*$J399-SUM($AV$6:BJ$6)*$K399</f>
        <v>-880</v>
      </c>
      <c r="BK399" s="1">
        <f>SUM($AT399,$AA399:AO399)-SUM($AV$5:BK$5)*$J399-SUM($AV$6:BK$6)*$K399</f>
        <v>-960</v>
      </c>
      <c r="BL399" s="1">
        <f>SUM($AT399,$AA399:AP399)-SUM($AV$5:BL$5)*$J399-SUM($AV$6:BL$6)*$K399</f>
        <v>-1040</v>
      </c>
      <c r="BM399" s="1">
        <f>SUM($AT399,$AA399:AQ399)-SUM($AV$5:BM$5)*$J399-SUM($AV$6:BM$6)*$K399</f>
        <v>-1120</v>
      </c>
      <c r="BN399" s="1">
        <f>SUM($AT399,$AA399:AR399)-SUM($AV$5:BN$5)*$J399-SUM($AV$6:BN$6)*$K399</f>
        <v>-1164</v>
      </c>
    </row>
    <row r="400" spans="1:66">
      <c r="A400" s="1">
        <v>280</v>
      </c>
      <c r="B400" s="28" t="s">
        <v>1234</v>
      </c>
      <c r="C400" s="1" t="s">
        <v>40</v>
      </c>
      <c r="D400" s="2">
        <v>401375255</v>
      </c>
      <c r="E400" s="3" t="s">
        <v>1235</v>
      </c>
      <c r="F400" s="1"/>
      <c r="G400" s="1" t="s">
        <v>42</v>
      </c>
      <c r="H400" s="1">
        <v>1</v>
      </c>
      <c r="I400" s="1">
        <v>1</v>
      </c>
      <c r="J400" s="1">
        <v>1</v>
      </c>
      <c r="K400" s="1">
        <v>0</v>
      </c>
      <c r="L400" s="1">
        <v>0</v>
      </c>
      <c r="M400" s="1">
        <f t="shared" si="14"/>
        <v>582</v>
      </c>
      <c r="N400" s="1">
        <f t="shared" si="15"/>
        <v>582</v>
      </c>
      <c r="O400" s="2" t="s">
        <v>323</v>
      </c>
      <c r="P400" s="1"/>
      <c r="Q400" s="1">
        <v>5.44</v>
      </c>
      <c r="R400" s="1" t="s">
        <v>44</v>
      </c>
      <c r="S400" s="30" t="s">
        <v>324</v>
      </c>
      <c r="T400" s="31" t="s">
        <v>323</v>
      </c>
      <c r="U400" s="1"/>
      <c r="V400" s="1">
        <v>500</v>
      </c>
      <c r="W400" s="1" t="s">
        <v>325</v>
      </c>
      <c r="X400" s="32" t="s">
        <v>326</v>
      </c>
      <c r="Y400" s="1" t="s">
        <v>327</v>
      </c>
      <c r="Z400" s="2" t="s">
        <v>323</v>
      </c>
      <c r="AA400" s="1"/>
      <c r="AB400" s="1"/>
      <c r="AC400" s="1"/>
      <c r="AD400" s="1"/>
      <c r="AE400" s="1"/>
      <c r="AF400" s="1"/>
      <c r="AG400" s="1"/>
      <c r="AH400" s="1"/>
      <c r="AI400" s="1"/>
      <c r="AJ400" s="1"/>
      <c r="AK400" s="1"/>
      <c r="AL400" s="1"/>
      <c r="AM400" s="1"/>
      <c r="AN400" s="1"/>
      <c r="AO400" s="1"/>
      <c r="AP400" s="1"/>
      <c r="AQ400" s="1"/>
      <c r="AR400" s="1"/>
      <c r="AS400" s="1"/>
      <c r="AT400" s="1"/>
      <c r="AU400" s="1"/>
      <c r="AV400" s="1">
        <f>SUM($AT400,Z400:$AA400)-SUM($AV$5:AV$5)*$J400-SUM($AV$6:AV$6)*$K400</f>
        <v>0</v>
      </c>
      <c r="AW400" s="1">
        <f>SUM($AT400,$AA400:AA400)-SUM($AV$5:AW$5)*$J400-SUM($AV$6:AW$6)*$K400</f>
        <v>0</v>
      </c>
      <c r="AX400" s="1">
        <f>SUM($AT400,$AA400:AB400)-SUM($AV$5:AX$5)*$J400-SUM($AV$6:AX$6)*$K400</f>
        <v>0</v>
      </c>
      <c r="AY400" s="1">
        <f>SUM($AT400,$AA400:AC400)-SUM($AV$5:AY$5)*$J400-SUM($AV$6:AY$6)*$K400</f>
        <v>0</v>
      </c>
      <c r="AZ400" s="1">
        <f>SUM($AT400,$AA400:AD400)-SUM($AV$5:AZ$5)*$J400-SUM($AV$6:AZ$6)*$K400</f>
        <v>-40</v>
      </c>
      <c r="BA400" s="1">
        <f>SUM($AT400,$AA400:AE400)-SUM($AV$5:BA$5)*$J400-SUM($AV$6:BA$6)*$K400</f>
        <v>-80</v>
      </c>
      <c r="BB400" s="1">
        <f>SUM($AT400,$AA400:AF400)-SUM($AV$5:BB$5)*$J400-SUM($AV$6:BB$6)*$K400</f>
        <v>-120</v>
      </c>
      <c r="BC400" s="1">
        <f>SUM($AT400,$AA400:AG400)-SUM($AV$5:BC$5)*$J400-SUM($AV$6:BC$6)*$K400</f>
        <v>-160</v>
      </c>
      <c r="BD400" s="1">
        <f>SUM($AT400,$AA400:AH400)-SUM($AV$5:BD$5)*$J400-SUM($AV$6:BD$6)*$K400</f>
        <v>-200</v>
      </c>
      <c r="BE400" s="1">
        <f>SUM($AT400,$AA400:AI400)-SUM($AV$5:BE$5)*$J400-SUM($AV$6:BE$6)*$K400</f>
        <v>-240</v>
      </c>
      <c r="BF400" s="1">
        <f>SUM($AT400,$AA400:AJ400)-SUM($AV$5:BF$5)*$J400-SUM($AV$6:BF$6)*$K400</f>
        <v>-280</v>
      </c>
      <c r="BG400" s="1">
        <f>SUM($AT400,$AA400:AK400)-SUM($AV$5:BG$5)*$J400-SUM($AV$6:BG$6)*$K400</f>
        <v>-320</v>
      </c>
      <c r="BH400" s="1">
        <f>SUM($AT400,$AA400:AL400)-SUM($AV$5:BH$5)*$J400-SUM($AV$6:BH$6)*$K400</f>
        <v>-360</v>
      </c>
      <c r="BI400" s="1">
        <f>SUM($AT400,$AA400:AM400)-SUM($AV$5:BI$5)*$J400-SUM($AV$6:BI$6)*$K400</f>
        <v>-400</v>
      </c>
      <c r="BJ400" s="1">
        <f>SUM($AT400,$AA400:AN400)-SUM($AV$5:BJ$5)*$J400-SUM($AV$6:BJ$6)*$K400</f>
        <v>-440</v>
      </c>
      <c r="BK400" s="1">
        <f>SUM($AT400,$AA400:AO400)-SUM($AV$5:BK$5)*$J400-SUM($AV$6:BK$6)*$K400</f>
        <v>-480</v>
      </c>
      <c r="BL400" s="1">
        <f>SUM($AT400,$AA400:AP400)-SUM($AV$5:BL$5)*$J400-SUM($AV$6:BL$6)*$K400</f>
        <v>-520</v>
      </c>
      <c r="BM400" s="1">
        <f>SUM($AT400,$AA400:AQ400)-SUM($AV$5:BM$5)*$J400-SUM($AV$6:BM$6)*$K400</f>
        <v>-560</v>
      </c>
      <c r="BN400" s="1">
        <f>SUM($AT400,$AA400:AR400)-SUM($AV$5:BN$5)*$J400-SUM($AV$6:BN$6)*$K400</f>
        <v>-582</v>
      </c>
    </row>
    <row r="401" spans="1:66">
      <c r="A401" s="1">
        <v>281</v>
      </c>
      <c r="B401" s="28" t="s">
        <v>1236</v>
      </c>
      <c r="C401" s="1" t="s">
        <v>40</v>
      </c>
      <c r="D401" s="2">
        <v>400624662</v>
      </c>
      <c r="E401" s="3" t="s">
        <v>1237</v>
      </c>
      <c r="F401" s="1">
        <v>409559442</v>
      </c>
      <c r="G401" s="1" t="s">
        <v>42</v>
      </c>
      <c r="H401" s="1">
        <v>2</v>
      </c>
      <c r="I401" s="1">
        <v>11</v>
      </c>
      <c r="J401" s="1">
        <v>11</v>
      </c>
      <c r="K401" s="1">
        <v>0</v>
      </c>
      <c r="L401" s="1">
        <v>0</v>
      </c>
      <c r="M401" s="1">
        <f t="shared" si="14"/>
        <v>6402</v>
      </c>
      <c r="N401" s="1">
        <f t="shared" si="15"/>
        <v>6402</v>
      </c>
      <c r="O401" s="2" t="s">
        <v>323</v>
      </c>
      <c r="P401" s="1"/>
      <c r="Q401" s="1">
        <v>27.91</v>
      </c>
      <c r="R401" s="1" t="s">
        <v>44</v>
      </c>
      <c r="S401" s="30" t="s">
        <v>330</v>
      </c>
      <c r="T401" s="31" t="s">
        <v>323</v>
      </c>
      <c r="U401" s="1"/>
      <c r="V401" s="1">
        <v>500</v>
      </c>
      <c r="W401" s="1" t="s">
        <v>325</v>
      </c>
      <c r="X401" s="32" t="s">
        <v>326</v>
      </c>
      <c r="Y401" s="1" t="s">
        <v>327</v>
      </c>
      <c r="Z401" s="2" t="s">
        <v>323</v>
      </c>
      <c r="AA401" s="1"/>
      <c r="AB401" s="1"/>
      <c r="AC401" s="1"/>
      <c r="AD401" s="1"/>
      <c r="AE401" s="1"/>
      <c r="AF401" s="1"/>
      <c r="AG401" s="1"/>
      <c r="AH401" s="1"/>
      <c r="AI401" s="1"/>
      <c r="AJ401" s="1"/>
      <c r="AK401" s="1"/>
      <c r="AL401" s="1"/>
      <c r="AM401" s="1"/>
      <c r="AN401" s="1"/>
      <c r="AO401" s="1"/>
      <c r="AP401" s="1"/>
      <c r="AQ401" s="1"/>
      <c r="AR401" s="1"/>
      <c r="AS401" s="1"/>
      <c r="AT401" s="1"/>
      <c r="AU401" s="1"/>
      <c r="AV401" s="1">
        <f>SUM($AT401,Z401:$AA401)-SUM($AV$5:AV$5)*$J401-SUM($AV$6:AV$6)*$K401</f>
        <v>0</v>
      </c>
      <c r="AW401" s="1">
        <f>SUM($AT401,$AA401:AA401)-SUM($AV$5:AW$5)*$J401-SUM($AV$6:AW$6)*$K401</f>
        <v>0</v>
      </c>
      <c r="AX401" s="1">
        <f>SUM($AT401,$AA401:AB401)-SUM($AV$5:AX$5)*$J401-SUM($AV$6:AX$6)*$K401</f>
        <v>0</v>
      </c>
      <c r="AY401" s="1">
        <f>SUM($AT401,$AA401:AC401)-SUM($AV$5:AY$5)*$J401-SUM($AV$6:AY$6)*$K401</f>
        <v>0</v>
      </c>
      <c r="AZ401" s="1">
        <f>SUM($AT401,$AA401:AD401)-SUM($AV$5:AZ$5)*$J401-SUM($AV$6:AZ$6)*$K401</f>
        <v>-440</v>
      </c>
      <c r="BA401" s="1">
        <f>SUM($AT401,$AA401:AE401)-SUM($AV$5:BA$5)*$J401-SUM($AV$6:BA$6)*$K401</f>
        <v>-880</v>
      </c>
      <c r="BB401" s="1">
        <f>SUM($AT401,$AA401:AF401)-SUM($AV$5:BB$5)*$J401-SUM($AV$6:BB$6)*$K401</f>
        <v>-1320</v>
      </c>
      <c r="BC401" s="1">
        <f>SUM($AT401,$AA401:AG401)-SUM($AV$5:BC$5)*$J401-SUM($AV$6:BC$6)*$K401</f>
        <v>-1760</v>
      </c>
      <c r="BD401" s="1">
        <f>SUM($AT401,$AA401:AH401)-SUM($AV$5:BD$5)*$J401-SUM($AV$6:BD$6)*$K401</f>
        <v>-2200</v>
      </c>
      <c r="BE401" s="1">
        <f>SUM($AT401,$AA401:AI401)-SUM($AV$5:BE$5)*$J401-SUM($AV$6:BE$6)*$K401</f>
        <v>-2640</v>
      </c>
      <c r="BF401" s="1">
        <f>SUM($AT401,$AA401:AJ401)-SUM($AV$5:BF$5)*$J401-SUM($AV$6:BF$6)*$K401</f>
        <v>-3080</v>
      </c>
      <c r="BG401" s="1">
        <f>SUM($AT401,$AA401:AK401)-SUM($AV$5:BG$5)*$J401-SUM($AV$6:BG$6)*$K401</f>
        <v>-3520</v>
      </c>
      <c r="BH401" s="1">
        <f>SUM($AT401,$AA401:AL401)-SUM($AV$5:BH$5)*$J401-SUM($AV$6:BH$6)*$K401</f>
        <v>-3960</v>
      </c>
      <c r="BI401" s="1">
        <f>SUM($AT401,$AA401:AM401)-SUM($AV$5:BI$5)*$J401-SUM($AV$6:BI$6)*$K401</f>
        <v>-4400</v>
      </c>
      <c r="BJ401" s="1">
        <f>SUM($AT401,$AA401:AN401)-SUM($AV$5:BJ$5)*$J401-SUM($AV$6:BJ$6)*$K401</f>
        <v>-4840</v>
      </c>
      <c r="BK401" s="1">
        <f>SUM($AT401,$AA401:AO401)-SUM($AV$5:BK$5)*$J401-SUM($AV$6:BK$6)*$K401</f>
        <v>-5280</v>
      </c>
      <c r="BL401" s="1">
        <f>SUM($AT401,$AA401:AP401)-SUM($AV$5:BL$5)*$J401-SUM($AV$6:BL$6)*$K401</f>
        <v>-5720</v>
      </c>
      <c r="BM401" s="1">
        <f>SUM($AT401,$AA401:AQ401)-SUM($AV$5:BM$5)*$J401-SUM($AV$6:BM$6)*$K401</f>
        <v>-6160</v>
      </c>
      <c r="BN401" s="1">
        <f>SUM($AT401,$AA401:AR401)-SUM($AV$5:BN$5)*$J401-SUM($AV$6:BN$6)*$K401</f>
        <v>-6402</v>
      </c>
    </row>
    <row r="402" spans="1:66">
      <c r="A402" s="1">
        <v>282</v>
      </c>
      <c r="B402" s="45" t="s">
        <v>1238</v>
      </c>
      <c r="C402" s="1" t="s">
        <v>40</v>
      </c>
      <c r="D402" s="2">
        <v>400596419</v>
      </c>
      <c r="E402" s="3" t="s">
        <v>1239</v>
      </c>
      <c r="F402" s="1">
        <v>416081264</v>
      </c>
      <c r="G402" s="1" t="s">
        <v>42</v>
      </c>
      <c r="H402" s="1">
        <v>2</v>
      </c>
      <c r="I402" s="1">
        <v>2</v>
      </c>
      <c r="J402" s="1">
        <v>2</v>
      </c>
      <c r="K402" s="1">
        <v>0</v>
      </c>
      <c r="L402" s="1">
        <v>0</v>
      </c>
      <c r="M402" s="1">
        <f t="shared" si="14"/>
        <v>1164</v>
      </c>
      <c r="N402" s="1">
        <f t="shared" si="15"/>
        <v>1164</v>
      </c>
      <c r="O402" s="2" t="s">
        <v>323</v>
      </c>
      <c r="P402" s="1"/>
      <c r="Q402" s="1">
        <v>20.440000000000001</v>
      </c>
      <c r="R402" s="1" t="s">
        <v>44</v>
      </c>
      <c r="S402" s="30" t="s">
        <v>330</v>
      </c>
      <c r="T402" s="31" t="s">
        <v>323</v>
      </c>
      <c r="U402" s="1"/>
      <c r="V402" s="1">
        <v>337</v>
      </c>
      <c r="W402" s="1" t="s">
        <v>325</v>
      </c>
      <c r="X402" s="32" t="s">
        <v>326</v>
      </c>
      <c r="Y402" s="1" t="s">
        <v>327</v>
      </c>
      <c r="Z402" s="2" t="s">
        <v>323</v>
      </c>
      <c r="AA402" s="1"/>
      <c r="AB402" s="1"/>
      <c r="AC402" s="1"/>
      <c r="AD402" s="1"/>
      <c r="AE402" s="1"/>
      <c r="AF402" s="1"/>
      <c r="AG402" s="1"/>
      <c r="AH402" s="1"/>
      <c r="AI402" s="1"/>
      <c r="AJ402" s="1"/>
      <c r="AK402" s="1"/>
      <c r="AL402" s="1"/>
      <c r="AM402" s="1"/>
      <c r="AN402" s="1"/>
      <c r="AO402" s="1"/>
      <c r="AP402" s="1"/>
      <c r="AQ402" s="1"/>
      <c r="AR402" s="1"/>
      <c r="AS402" s="1"/>
      <c r="AT402" s="1"/>
      <c r="AU402" s="1"/>
      <c r="AV402" s="1">
        <f>SUM($AT402,Z402:$AA402)-SUM($AV$5:AV$5)*$J402-SUM($AV$6:AV$6)*$K402</f>
        <v>0</v>
      </c>
      <c r="AW402" s="1">
        <f>SUM($AT402,$AA402:AA402)-SUM($AV$5:AW$5)*$J402-SUM($AV$6:AW$6)*$K402</f>
        <v>0</v>
      </c>
      <c r="AX402" s="1">
        <f>SUM($AT402,$AA402:AB402)-SUM($AV$5:AX$5)*$J402-SUM($AV$6:AX$6)*$K402</f>
        <v>0</v>
      </c>
      <c r="AY402" s="1">
        <f>SUM($AT402,$AA402:AC402)-SUM($AV$5:AY$5)*$J402-SUM($AV$6:AY$6)*$K402</f>
        <v>0</v>
      </c>
      <c r="AZ402" s="1">
        <f>SUM($AT402,$AA402:AD402)-SUM($AV$5:AZ$5)*$J402-SUM($AV$6:AZ$6)*$K402</f>
        <v>-80</v>
      </c>
      <c r="BA402" s="1">
        <f>SUM($AT402,$AA402:AE402)-SUM($AV$5:BA$5)*$J402-SUM($AV$6:BA$6)*$K402</f>
        <v>-160</v>
      </c>
      <c r="BB402" s="1">
        <f>SUM($AT402,$AA402:AF402)-SUM($AV$5:BB$5)*$J402-SUM($AV$6:BB$6)*$K402</f>
        <v>-240</v>
      </c>
      <c r="BC402" s="1">
        <f>SUM($AT402,$AA402:AG402)-SUM($AV$5:BC$5)*$J402-SUM($AV$6:BC$6)*$K402</f>
        <v>-320</v>
      </c>
      <c r="BD402" s="1">
        <f>SUM($AT402,$AA402:AH402)-SUM($AV$5:BD$5)*$J402-SUM($AV$6:BD$6)*$K402</f>
        <v>-400</v>
      </c>
      <c r="BE402" s="1">
        <f>SUM($AT402,$AA402:AI402)-SUM($AV$5:BE$5)*$J402-SUM($AV$6:BE$6)*$K402</f>
        <v>-480</v>
      </c>
      <c r="BF402" s="1">
        <f>SUM($AT402,$AA402:AJ402)-SUM($AV$5:BF$5)*$J402-SUM($AV$6:BF$6)*$K402</f>
        <v>-560</v>
      </c>
      <c r="BG402" s="1">
        <f>SUM($AT402,$AA402:AK402)-SUM($AV$5:BG$5)*$J402-SUM($AV$6:BG$6)*$K402</f>
        <v>-640</v>
      </c>
      <c r="BH402" s="1">
        <f>SUM($AT402,$AA402:AL402)-SUM($AV$5:BH$5)*$J402-SUM($AV$6:BH$6)*$K402</f>
        <v>-720</v>
      </c>
      <c r="BI402" s="1">
        <f>SUM($AT402,$AA402:AM402)-SUM($AV$5:BI$5)*$J402-SUM($AV$6:BI$6)*$K402</f>
        <v>-800</v>
      </c>
      <c r="BJ402" s="1">
        <f>SUM($AT402,$AA402:AN402)-SUM($AV$5:BJ$5)*$J402-SUM($AV$6:BJ$6)*$K402</f>
        <v>-880</v>
      </c>
      <c r="BK402" s="1">
        <f>SUM($AT402,$AA402:AO402)-SUM($AV$5:BK$5)*$J402-SUM($AV$6:BK$6)*$K402</f>
        <v>-960</v>
      </c>
      <c r="BL402" s="1">
        <f>SUM($AT402,$AA402:AP402)-SUM($AV$5:BL$5)*$J402-SUM($AV$6:BL$6)*$K402</f>
        <v>-1040</v>
      </c>
      <c r="BM402" s="1">
        <f>SUM($AT402,$AA402:AQ402)-SUM($AV$5:BM$5)*$J402-SUM($AV$6:BM$6)*$K402</f>
        <v>-1120</v>
      </c>
      <c r="BN402" s="1">
        <f>SUM($AT402,$AA402:AR402)-SUM($AV$5:BN$5)*$J402-SUM($AV$6:BN$6)*$K402</f>
        <v>-1164</v>
      </c>
    </row>
    <row r="403" spans="1:66">
      <c r="A403" s="1">
        <v>284</v>
      </c>
      <c r="B403" s="28" t="s">
        <v>1240</v>
      </c>
      <c r="C403" s="1" t="s">
        <v>40</v>
      </c>
      <c r="D403" s="2">
        <v>408193709</v>
      </c>
      <c r="E403" s="3" t="s">
        <v>1241</v>
      </c>
      <c r="F403" s="1"/>
      <c r="G403" s="1" t="s">
        <v>42</v>
      </c>
      <c r="H403" s="1">
        <v>2</v>
      </c>
      <c r="I403" s="1">
        <v>16</v>
      </c>
      <c r="J403" s="1">
        <v>16</v>
      </c>
      <c r="K403" s="1">
        <v>0</v>
      </c>
      <c r="L403" s="1">
        <v>0</v>
      </c>
      <c r="M403" s="1">
        <f t="shared" si="14"/>
        <v>9312</v>
      </c>
      <c r="N403" s="1">
        <f t="shared" si="15"/>
        <v>9312</v>
      </c>
      <c r="O403" s="2" t="s">
        <v>323</v>
      </c>
      <c r="P403" s="1"/>
      <c r="Q403" s="1">
        <v>18.88</v>
      </c>
      <c r="R403" s="1" t="s">
        <v>44</v>
      </c>
      <c r="S403" s="30" t="s">
        <v>324</v>
      </c>
      <c r="T403" s="31" t="s">
        <v>323</v>
      </c>
      <c r="U403" s="1">
        <v>1</v>
      </c>
      <c r="V403" s="1">
        <v>1</v>
      </c>
      <c r="W403" s="1" t="s">
        <v>325</v>
      </c>
      <c r="X403" s="32" t="s">
        <v>326</v>
      </c>
      <c r="Y403" s="1" t="s">
        <v>327</v>
      </c>
      <c r="Z403" s="2" t="s">
        <v>323</v>
      </c>
      <c r="AA403" s="1"/>
      <c r="AB403" s="1"/>
      <c r="AC403" s="1"/>
      <c r="AD403" s="1"/>
      <c r="AE403" s="1"/>
      <c r="AF403" s="1"/>
      <c r="AG403" s="1"/>
      <c r="AH403" s="1"/>
      <c r="AI403" s="1"/>
      <c r="AJ403" s="1"/>
      <c r="AK403" s="1"/>
      <c r="AL403" s="1"/>
      <c r="AM403" s="1"/>
      <c r="AN403" s="1"/>
      <c r="AO403" s="1"/>
      <c r="AP403" s="1"/>
      <c r="AQ403" s="1"/>
      <c r="AR403" s="1"/>
      <c r="AS403" s="1"/>
      <c r="AT403" s="1"/>
      <c r="AU403" s="1"/>
      <c r="AV403" s="1">
        <f>SUM($AT403,Z403:$AA403)-SUM($AV$5:AV$5)*$J403-SUM($AV$6:AV$6)*$K403</f>
        <v>0</v>
      </c>
      <c r="AW403" s="1">
        <f>SUM($AT403,$AA403:AA403)-SUM($AV$5:AW$5)*$J403-SUM($AV$6:AW$6)*$K403</f>
        <v>0</v>
      </c>
      <c r="AX403" s="1">
        <f>SUM($AT403,$AA403:AB403)-SUM($AV$5:AX$5)*$J403-SUM($AV$6:AX$6)*$K403</f>
        <v>0</v>
      </c>
      <c r="AY403" s="1">
        <f>SUM($AT403,$AA403:AC403)-SUM($AV$5:AY$5)*$J403-SUM($AV$6:AY$6)*$K403</f>
        <v>0</v>
      </c>
      <c r="AZ403" s="1">
        <f>SUM($AT403,$AA403:AD403)-SUM($AV$5:AZ$5)*$J403-SUM($AV$6:AZ$6)*$K403</f>
        <v>-640</v>
      </c>
      <c r="BA403" s="1">
        <f>SUM($AT403,$AA403:AE403)-SUM($AV$5:BA$5)*$J403-SUM($AV$6:BA$6)*$K403</f>
        <v>-1280</v>
      </c>
      <c r="BB403" s="1">
        <f>SUM($AT403,$AA403:AF403)-SUM($AV$5:BB$5)*$J403-SUM($AV$6:BB$6)*$K403</f>
        <v>-1920</v>
      </c>
      <c r="BC403" s="1">
        <f>SUM($AT403,$AA403:AG403)-SUM($AV$5:BC$5)*$J403-SUM($AV$6:BC$6)*$K403</f>
        <v>-2560</v>
      </c>
      <c r="BD403" s="1">
        <f>SUM($AT403,$AA403:AH403)-SUM($AV$5:BD$5)*$J403-SUM($AV$6:BD$6)*$K403</f>
        <v>-3200</v>
      </c>
      <c r="BE403" s="1">
        <f>SUM($AT403,$AA403:AI403)-SUM($AV$5:BE$5)*$J403-SUM($AV$6:BE$6)*$K403</f>
        <v>-3840</v>
      </c>
      <c r="BF403" s="1">
        <f>SUM($AT403,$AA403:AJ403)-SUM($AV$5:BF$5)*$J403-SUM($AV$6:BF$6)*$K403</f>
        <v>-4480</v>
      </c>
      <c r="BG403" s="1">
        <f>SUM($AT403,$AA403:AK403)-SUM($AV$5:BG$5)*$J403-SUM($AV$6:BG$6)*$K403</f>
        <v>-5120</v>
      </c>
      <c r="BH403" s="1">
        <f>SUM($AT403,$AA403:AL403)-SUM($AV$5:BH$5)*$J403-SUM($AV$6:BH$6)*$K403</f>
        <v>-5760</v>
      </c>
      <c r="BI403" s="1">
        <f>SUM($AT403,$AA403:AM403)-SUM($AV$5:BI$5)*$J403-SUM($AV$6:BI$6)*$K403</f>
        <v>-6400</v>
      </c>
      <c r="BJ403" s="1">
        <f>SUM($AT403,$AA403:AN403)-SUM($AV$5:BJ$5)*$J403-SUM($AV$6:BJ$6)*$K403</f>
        <v>-7040</v>
      </c>
      <c r="BK403" s="1">
        <f>SUM($AT403,$AA403:AO403)-SUM($AV$5:BK$5)*$J403-SUM($AV$6:BK$6)*$K403</f>
        <v>-7680</v>
      </c>
      <c r="BL403" s="1">
        <f>SUM($AT403,$AA403:AP403)-SUM($AV$5:BL$5)*$J403-SUM($AV$6:BL$6)*$K403</f>
        <v>-8320</v>
      </c>
      <c r="BM403" s="1">
        <f>SUM($AT403,$AA403:AQ403)-SUM($AV$5:BM$5)*$J403-SUM($AV$6:BM$6)*$K403</f>
        <v>-8960</v>
      </c>
      <c r="BN403" s="1">
        <f>SUM($AT403,$AA403:AR403)-SUM($AV$5:BN$5)*$J403-SUM($AV$6:BN$6)*$K403</f>
        <v>-9312</v>
      </c>
    </row>
    <row r="404" spans="1:66">
      <c r="A404" s="1">
        <v>286</v>
      </c>
      <c r="B404" s="28" t="s">
        <v>1242</v>
      </c>
      <c r="C404" s="1" t="s">
        <v>40</v>
      </c>
      <c r="D404" s="2">
        <v>421316474</v>
      </c>
      <c r="E404" s="3" t="s">
        <v>1243</v>
      </c>
      <c r="F404" s="1">
        <v>405133467</v>
      </c>
      <c r="G404" s="1" t="s">
        <v>42</v>
      </c>
      <c r="H404" s="1">
        <v>2</v>
      </c>
      <c r="I404" s="1">
        <v>17</v>
      </c>
      <c r="J404" s="1">
        <v>17</v>
      </c>
      <c r="K404" s="1">
        <v>0</v>
      </c>
      <c r="L404" s="1">
        <v>0</v>
      </c>
      <c r="M404" s="1">
        <f t="shared" si="14"/>
        <v>9894</v>
      </c>
      <c r="N404" s="1">
        <f t="shared" si="15"/>
        <v>9894</v>
      </c>
      <c r="O404" s="2" t="s">
        <v>323</v>
      </c>
      <c r="P404" s="1"/>
      <c r="Q404" s="1">
        <v>44.29</v>
      </c>
      <c r="R404" s="1" t="s">
        <v>44</v>
      </c>
      <c r="S404" s="30" t="s">
        <v>324</v>
      </c>
      <c r="T404" s="31" t="s">
        <v>323</v>
      </c>
      <c r="U404" s="1">
        <v>1</v>
      </c>
      <c r="V404" s="1">
        <v>1</v>
      </c>
      <c r="W404" s="1" t="s">
        <v>325</v>
      </c>
      <c r="X404" s="32" t="s">
        <v>326</v>
      </c>
      <c r="Y404" s="1" t="s">
        <v>327</v>
      </c>
      <c r="Z404" s="2" t="s">
        <v>323</v>
      </c>
      <c r="AA404" s="1"/>
      <c r="AB404" s="1"/>
      <c r="AC404" s="1"/>
      <c r="AD404" s="1"/>
      <c r="AE404" s="1"/>
      <c r="AF404" s="1"/>
      <c r="AG404" s="1"/>
      <c r="AH404" s="1"/>
      <c r="AI404" s="1"/>
      <c r="AJ404" s="1"/>
      <c r="AK404" s="1"/>
      <c r="AL404" s="1"/>
      <c r="AM404" s="1"/>
      <c r="AN404" s="1"/>
      <c r="AO404" s="1"/>
      <c r="AP404" s="1"/>
      <c r="AQ404" s="1"/>
      <c r="AR404" s="1"/>
      <c r="AS404" s="1"/>
      <c r="AT404" s="1"/>
      <c r="AU404" s="1"/>
      <c r="AV404" s="1">
        <f>SUM($AT404,Z404:$AA404)-SUM($AV$5:AV$5)*$J404-SUM($AV$6:AV$6)*$K404</f>
        <v>0</v>
      </c>
      <c r="AW404" s="1">
        <f>SUM($AT404,$AA404:AA404)-SUM($AV$5:AW$5)*$J404-SUM($AV$6:AW$6)*$K404</f>
        <v>0</v>
      </c>
      <c r="AX404" s="1">
        <f>SUM($AT404,$AA404:AB404)-SUM($AV$5:AX$5)*$J404-SUM($AV$6:AX$6)*$K404</f>
        <v>0</v>
      </c>
      <c r="AY404" s="1">
        <f>SUM($AT404,$AA404:AC404)-SUM($AV$5:AY$5)*$J404-SUM($AV$6:AY$6)*$K404</f>
        <v>0</v>
      </c>
      <c r="AZ404" s="1">
        <f>SUM($AT404,$AA404:AD404)-SUM($AV$5:AZ$5)*$J404-SUM($AV$6:AZ$6)*$K404</f>
        <v>-680</v>
      </c>
      <c r="BA404" s="1">
        <f>SUM($AT404,$AA404:AE404)-SUM($AV$5:BA$5)*$J404-SUM($AV$6:BA$6)*$K404</f>
        <v>-1360</v>
      </c>
      <c r="BB404" s="1">
        <f>SUM($AT404,$AA404:AF404)-SUM($AV$5:BB$5)*$J404-SUM($AV$6:BB$6)*$K404</f>
        <v>-2040</v>
      </c>
      <c r="BC404" s="1">
        <f>SUM($AT404,$AA404:AG404)-SUM($AV$5:BC$5)*$J404-SUM($AV$6:BC$6)*$K404</f>
        <v>-2720</v>
      </c>
      <c r="BD404" s="1">
        <f>SUM($AT404,$AA404:AH404)-SUM($AV$5:BD$5)*$J404-SUM($AV$6:BD$6)*$K404</f>
        <v>-3400</v>
      </c>
      <c r="BE404" s="1">
        <f>SUM($AT404,$AA404:AI404)-SUM($AV$5:BE$5)*$J404-SUM($AV$6:BE$6)*$K404</f>
        <v>-4080</v>
      </c>
      <c r="BF404" s="1">
        <f>SUM($AT404,$AA404:AJ404)-SUM($AV$5:BF$5)*$J404-SUM($AV$6:BF$6)*$K404</f>
        <v>-4760</v>
      </c>
      <c r="BG404" s="1">
        <f>SUM($AT404,$AA404:AK404)-SUM($AV$5:BG$5)*$J404-SUM($AV$6:BG$6)*$K404</f>
        <v>-5440</v>
      </c>
      <c r="BH404" s="1">
        <f>SUM($AT404,$AA404:AL404)-SUM($AV$5:BH$5)*$J404-SUM($AV$6:BH$6)*$K404</f>
        <v>-6120</v>
      </c>
      <c r="BI404" s="1">
        <f>SUM($AT404,$AA404:AM404)-SUM($AV$5:BI$5)*$J404-SUM($AV$6:BI$6)*$K404</f>
        <v>-6800</v>
      </c>
      <c r="BJ404" s="1">
        <f>SUM($AT404,$AA404:AN404)-SUM($AV$5:BJ$5)*$J404-SUM($AV$6:BJ$6)*$K404</f>
        <v>-7480</v>
      </c>
      <c r="BK404" s="1">
        <f>SUM($AT404,$AA404:AO404)-SUM($AV$5:BK$5)*$J404-SUM($AV$6:BK$6)*$K404</f>
        <v>-8160</v>
      </c>
      <c r="BL404" s="1">
        <f>SUM($AT404,$AA404:AP404)-SUM($AV$5:BL$5)*$J404-SUM($AV$6:BL$6)*$K404</f>
        <v>-8840</v>
      </c>
      <c r="BM404" s="1">
        <f>SUM($AT404,$AA404:AQ404)-SUM($AV$5:BM$5)*$J404-SUM($AV$6:BM$6)*$K404</f>
        <v>-9520</v>
      </c>
      <c r="BN404" s="1">
        <f>SUM($AT404,$AA404:AR404)-SUM($AV$5:BN$5)*$J404-SUM($AV$6:BN$6)*$K404</f>
        <v>-9894</v>
      </c>
    </row>
    <row r="405" spans="1:66">
      <c r="A405" s="1">
        <v>287</v>
      </c>
      <c r="B405" s="28" t="s">
        <v>1244</v>
      </c>
      <c r="C405" s="1" t="s">
        <v>40</v>
      </c>
      <c r="D405" s="2">
        <v>400564048</v>
      </c>
      <c r="E405" s="3" t="s">
        <v>1245</v>
      </c>
      <c r="F405" s="1"/>
      <c r="G405" s="1" t="s">
        <v>42</v>
      </c>
      <c r="H405" s="1">
        <v>2</v>
      </c>
      <c r="I405" s="1">
        <v>50</v>
      </c>
      <c r="J405" s="1">
        <v>50</v>
      </c>
      <c r="K405" s="1">
        <v>0</v>
      </c>
      <c r="L405" s="1">
        <v>0</v>
      </c>
      <c r="M405" s="1">
        <f t="shared" si="14"/>
        <v>29100</v>
      </c>
      <c r="N405" s="1">
        <f t="shared" si="15"/>
        <v>29100</v>
      </c>
      <c r="O405" s="2" t="s">
        <v>323</v>
      </c>
      <c r="P405" s="1"/>
      <c r="Q405" s="1">
        <v>17.84</v>
      </c>
      <c r="R405" s="1" t="s">
        <v>44</v>
      </c>
      <c r="S405" s="30" t="s">
        <v>324</v>
      </c>
      <c r="T405" s="31" t="s">
        <v>323</v>
      </c>
      <c r="U405" s="1"/>
      <c r="V405" s="1">
        <v>100</v>
      </c>
      <c r="W405" s="1" t="s">
        <v>325</v>
      </c>
      <c r="X405" s="32" t="s">
        <v>326</v>
      </c>
      <c r="Y405" s="1" t="s">
        <v>327</v>
      </c>
      <c r="Z405" s="2" t="s">
        <v>323</v>
      </c>
      <c r="AA405" s="1"/>
      <c r="AB405" s="1"/>
      <c r="AC405" s="1"/>
      <c r="AD405" s="1"/>
      <c r="AE405" s="1"/>
      <c r="AF405" s="1"/>
      <c r="AG405" s="1"/>
      <c r="AH405" s="1"/>
      <c r="AI405" s="1"/>
      <c r="AJ405" s="1"/>
      <c r="AK405" s="1"/>
      <c r="AL405" s="1"/>
      <c r="AM405" s="1"/>
      <c r="AN405" s="1"/>
      <c r="AO405" s="1"/>
      <c r="AP405" s="1"/>
      <c r="AQ405" s="1"/>
      <c r="AR405" s="1"/>
      <c r="AS405" s="1"/>
      <c r="AT405" s="1"/>
      <c r="AU405" s="1"/>
      <c r="AV405" s="1">
        <f>SUM($AT405,Z405:$AA405)-SUM($AV$5:AV$5)*$J405-SUM($AV$6:AV$6)*$K405</f>
        <v>0</v>
      </c>
      <c r="AW405" s="1">
        <f>SUM($AT405,$AA405:AA405)-SUM($AV$5:AW$5)*$J405-SUM($AV$6:AW$6)*$K405</f>
        <v>0</v>
      </c>
      <c r="AX405" s="1">
        <f>SUM($AT405,$AA405:AB405)-SUM($AV$5:AX$5)*$J405-SUM($AV$6:AX$6)*$K405</f>
        <v>0</v>
      </c>
      <c r="AY405" s="1">
        <f>SUM($AT405,$AA405:AC405)-SUM($AV$5:AY$5)*$J405-SUM($AV$6:AY$6)*$K405</f>
        <v>0</v>
      </c>
      <c r="AZ405" s="1">
        <f>SUM($AT405,$AA405:AD405)-SUM($AV$5:AZ$5)*$J405-SUM($AV$6:AZ$6)*$K405</f>
        <v>-2000</v>
      </c>
      <c r="BA405" s="1">
        <f>SUM($AT405,$AA405:AE405)-SUM($AV$5:BA$5)*$J405-SUM($AV$6:BA$6)*$K405</f>
        <v>-4000</v>
      </c>
      <c r="BB405" s="1">
        <f>SUM($AT405,$AA405:AF405)-SUM($AV$5:BB$5)*$J405-SUM($AV$6:BB$6)*$K405</f>
        <v>-6000</v>
      </c>
      <c r="BC405" s="1">
        <f>SUM($AT405,$AA405:AG405)-SUM($AV$5:BC$5)*$J405-SUM($AV$6:BC$6)*$K405</f>
        <v>-8000</v>
      </c>
      <c r="BD405" s="1">
        <f>SUM($AT405,$AA405:AH405)-SUM($AV$5:BD$5)*$J405-SUM($AV$6:BD$6)*$K405</f>
        <v>-10000</v>
      </c>
      <c r="BE405" s="1">
        <f>SUM($AT405,$AA405:AI405)-SUM($AV$5:BE$5)*$J405-SUM($AV$6:BE$6)*$K405</f>
        <v>-12000</v>
      </c>
      <c r="BF405" s="1">
        <f>SUM($AT405,$AA405:AJ405)-SUM($AV$5:BF$5)*$J405-SUM($AV$6:BF$6)*$K405</f>
        <v>-14000</v>
      </c>
      <c r="BG405" s="1">
        <f>SUM($AT405,$AA405:AK405)-SUM($AV$5:BG$5)*$J405-SUM($AV$6:BG$6)*$K405</f>
        <v>-16000</v>
      </c>
      <c r="BH405" s="1">
        <f>SUM($AT405,$AA405:AL405)-SUM($AV$5:BH$5)*$J405-SUM($AV$6:BH$6)*$K405</f>
        <v>-18000</v>
      </c>
      <c r="BI405" s="1">
        <f>SUM($AT405,$AA405:AM405)-SUM($AV$5:BI$5)*$J405-SUM($AV$6:BI$6)*$K405</f>
        <v>-20000</v>
      </c>
      <c r="BJ405" s="1">
        <f>SUM($AT405,$AA405:AN405)-SUM($AV$5:BJ$5)*$J405-SUM($AV$6:BJ$6)*$K405</f>
        <v>-22000</v>
      </c>
      <c r="BK405" s="1">
        <f>SUM($AT405,$AA405:AO405)-SUM($AV$5:BK$5)*$J405-SUM($AV$6:BK$6)*$K405</f>
        <v>-24000</v>
      </c>
      <c r="BL405" s="1">
        <f>SUM($AT405,$AA405:AP405)-SUM($AV$5:BL$5)*$J405-SUM($AV$6:BL$6)*$K405</f>
        <v>-26000</v>
      </c>
      <c r="BM405" s="1">
        <f>SUM($AT405,$AA405:AQ405)-SUM($AV$5:BM$5)*$J405-SUM($AV$6:BM$6)*$K405</f>
        <v>-28000</v>
      </c>
      <c r="BN405" s="1">
        <f>SUM($AT405,$AA405:AR405)-SUM($AV$5:BN$5)*$J405-SUM($AV$6:BN$6)*$K405</f>
        <v>-29100</v>
      </c>
    </row>
    <row r="406" spans="1:66">
      <c r="A406" s="1">
        <v>290</v>
      </c>
      <c r="B406" s="28" t="s">
        <v>1246</v>
      </c>
      <c r="C406" s="1" t="s">
        <v>40</v>
      </c>
      <c r="D406" s="2" t="s">
        <v>1247</v>
      </c>
      <c r="E406" s="3" t="s">
        <v>1248</v>
      </c>
      <c r="F406" s="1"/>
      <c r="G406" s="1" t="s">
        <v>42</v>
      </c>
      <c r="H406" s="1">
        <v>2</v>
      </c>
      <c r="I406" s="1">
        <v>1</v>
      </c>
      <c r="J406" s="1">
        <v>1</v>
      </c>
      <c r="K406" s="1">
        <v>0</v>
      </c>
      <c r="L406" s="1">
        <v>0</v>
      </c>
      <c r="M406" s="1">
        <f t="shared" si="14"/>
        <v>582</v>
      </c>
      <c r="N406" s="1">
        <f t="shared" si="15"/>
        <v>582</v>
      </c>
      <c r="O406" s="2" t="s">
        <v>799</v>
      </c>
      <c r="P406" s="1"/>
      <c r="Q406" s="1">
        <v>103.87</v>
      </c>
      <c r="R406" s="1" t="s">
        <v>44</v>
      </c>
      <c r="S406" s="30" t="s">
        <v>780</v>
      </c>
      <c r="T406" s="31" t="s">
        <v>273</v>
      </c>
      <c r="U406" s="1">
        <v>1</v>
      </c>
      <c r="V406" s="1">
        <v>1</v>
      </c>
      <c r="W406" s="1" t="s">
        <v>274</v>
      </c>
      <c r="X406" s="32" t="s">
        <v>275</v>
      </c>
      <c r="Y406" s="1" t="s">
        <v>276</v>
      </c>
      <c r="Z406" s="2" t="s">
        <v>799</v>
      </c>
      <c r="AA406" s="1"/>
      <c r="AB406" s="1"/>
      <c r="AC406" s="1"/>
      <c r="AD406" s="1"/>
      <c r="AE406" s="1"/>
      <c r="AF406" s="1"/>
      <c r="AG406" s="1"/>
      <c r="AH406" s="1"/>
      <c r="AI406" s="1"/>
      <c r="AJ406" s="1"/>
      <c r="AK406" s="1"/>
      <c r="AL406" s="1"/>
      <c r="AM406" s="1"/>
      <c r="AN406" s="1"/>
      <c r="AO406" s="1"/>
      <c r="AP406" s="1"/>
      <c r="AQ406" s="1"/>
      <c r="AR406" s="1"/>
      <c r="AS406" s="1"/>
      <c r="AT406" s="1"/>
      <c r="AU406" s="1"/>
      <c r="AV406" s="1">
        <f>SUM($AT406,Z406:$AA406)-SUM($AV$5:AV$5)*$J406-SUM($AV$6:AV$6)*$K406</f>
        <v>0</v>
      </c>
      <c r="AW406" s="1">
        <f>SUM($AT406,$AA406:AA406)-SUM($AV$5:AW$5)*$J406-SUM($AV$6:AW$6)*$K406</f>
        <v>0</v>
      </c>
      <c r="AX406" s="1">
        <f>SUM($AT406,$AA406:AB406)-SUM($AV$5:AX$5)*$J406-SUM($AV$6:AX$6)*$K406</f>
        <v>0</v>
      </c>
      <c r="AY406" s="1">
        <f>SUM($AT406,$AA406:AC406)-SUM($AV$5:AY$5)*$J406-SUM($AV$6:AY$6)*$K406</f>
        <v>0</v>
      </c>
      <c r="AZ406" s="1">
        <f>SUM($AT406,$AA406:AD406)-SUM($AV$5:AZ$5)*$J406-SUM($AV$6:AZ$6)*$K406</f>
        <v>-40</v>
      </c>
      <c r="BA406" s="1">
        <f>SUM($AT406,$AA406:AE406)-SUM($AV$5:BA$5)*$J406-SUM($AV$6:BA$6)*$K406</f>
        <v>-80</v>
      </c>
      <c r="BB406" s="1">
        <f>SUM($AT406,$AA406:AF406)-SUM($AV$5:BB$5)*$J406-SUM($AV$6:BB$6)*$K406</f>
        <v>-120</v>
      </c>
      <c r="BC406" s="1">
        <f>SUM($AT406,$AA406:AG406)-SUM($AV$5:BC$5)*$J406-SUM($AV$6:BC$6)*$K406</f>
        <v>-160</v>
      </c>
      <c r="BD406" s="1">
        <f>SUM($AT406,$AA406:AH406)-SUM($AV$5:BD$5)*$J406-SUM($AV$6:BD$6)*$K406</f>
        <v>-200</v>
      </c>
      <c r="BE406" s="1">
        <f>SUM($AT406,$AA406:AI406)-SUM($AV$5:BE$5)*$J406-SUM($AV$6:BE$6)*$K406</f>
        <v>-240</v>
      </c>
      <c r="BF406" s="1">
        <f>SUM($AT406,$AA406:AJ406)-SUM($AV$5:BF$5)*$J406-SUM($AV$6:BF$6)*$K406</f>
        <v>-280</v>
      </c>
      <c r="BG406" s="1">
        <f>SUM($AT406,$AA406:AK406)-SUM($AV$5:BG$5)*$J406-SUM($AV$6:BG$6)*$K406</f>
        <v>-320</v>
      </c>
      <c r="BH406" s="1">
        <f>SUM($AT406,$AA406:AL406)-SUM($AV$5:BH$5)*$J406-SUM($AV$6:BH$6)*$K406</f>
        <v>-360</v>
      </c>
      <c r="BI406" s="1">
        <f>SUM($AT406,$AA406:AM406)-SUM($AV$5:BI$5)*$J406-SUM($AV$6:BI$6)*$K406</f>
        <v>-400</v>
      </c>
      <c r="BJ406" s="1">
        <f>SUM($AT406,$AA406:AN406)-SUM($AV$5:BJ$5)*$J406-SUM($AV$6:BJ$6)*$K406</f>
        <v>-440</v>
      </c>
      <c r="BK406" s="1">
        <f>SUM($AT406,$AA406:AO406)-SUM($AV$5:BK$5)*$J406-SUM($AV$6:BK$6)*$K406</f>
        <v>-480</v>
      </c>
      <c r="BL406" s="1">
        <f>SUM($AT406,$AA406:AP406)-SUM($AV$5:BL$5)*$J406-SUM($AV$6:BL$6)*$K406</f>
        <v>-520</v>
      </c>
      <c r="BM406" s="1">
        <f>SUM($AT406,$AA406:AQ406)-SUM($AV$5:BM$5)*$J406-SUM($AV$6:BM$6)*$K406</f>
        <v>-560</v>
      </c>
      <c r="BN406" s="1">
        <f>SUM($AT406,$AA406:AR406)-SUM($AV$5:BN$5)*$J406-SUM($AV$6:BN$6)*$K406</f>
        <v>-582</v>
      </c>
    </row>
    <row r="407" spans="1:66">
      <c r="A407" s="1">
        <v>293</v>
      </c>
      <c r="B407" s="28" t="s">
        <v>1249</v>
      </c>
      <c r="C407" s="1" t="s">
        <v>40</v>
      </c>
      <c r="D407" s="2">
        <v>400569265</v>
      </c>
      <c r="E407" s="3" t="s">
        <v>1250</v>
      </c>
      <c r="F407" s="1"/>
      <c r="G407" s="1" t="s">
        <v>42</v>
      </c>
      <c r="H407" s="1">
        <v>2</v>
      </c>
      <c r="I407" s="1">
        <v>1</v>
      </c>
      <c r="J407" s="1">
        <v>1</v>
      </c>
      <c r="K407" s="1">
        <v>0</v>
      </c>
      <c r="L407" s="1">
        <v>0</v>
      </c>
      <c r="M407" s="1">
        <f t="shared" si="14"/>
        <v>582</v>
      </c>
      <c r="N407" s="1">
        <f t="shared" si="15"/>
        <v>582</v>
      </c>
      <c r="O407" s="2" t="s">
        <v>1251</v>
      </c>
      <c r="P407" s="1"/>
      <c r="Q407" s="1">
        <v>14.58</v>
      </c>
      <c r="R407" s="1" t="s">
        <v>44</v>
      </c>
      <c r="S407" s="30" t="s">
        <v>891</v>
      </c>
      <c r="T407" s="31" t="s">
        <v>417</v>
      </c>
      <c r="U407" s="1"/>
      <c r="V407" s="1">
        <v>90</v>
      </c>
      <c r="W407" s="1" t="s">
        <v>418</v>
      </c>
      <c r="X407" s="33" t="s">
        <v>419</v>
      </c>
      <c r="Y407" s="1" t="s">
        <v>420</v>
      </c>
      <c r="Z407" s="2" t="s">
        <v>1251</v>
      </c>
      <c r="AA407" s="1"/>
      <c r="AB407" s="1"/>
      <c r="AC407" s="1"/>
      <c r="AD407" s="1"/>
      <c r="AE407" s="1"/>
      <c r="AF407" s="1"/>
      <c r="AG407" s="1"/>
      <c r="AH407" s="1"/>
      <c r="AI407" s="1"/>
      <c r="AJ407" s="1"/>
      <c r="AK407" s="1"/>
      <c r="AL407" s="1"/>
      <c r="AM407" s="1"/>
      <c r="AN407" s="1"/>
      <c r="AO407" s="1"/>
      <c r="AP407" s="1"/>
      <c r="AQ407" s="1"/>
      <c r="AR407" s="1"/>
      <c r="AS407" s="1"/>
      <c r="AT407" s="1"/>
      <c r="AU407" s="1"/>
      <c r="AV407" s="1">
        <f>SUM($AT407,Z407:$AA407)-SUM($AV$5:AV$5)*$J407-SUM($AV$6:AV$6)*$K407</f>
        <v>0</v>
      </c>
      <c r="AW407" s="1">
        <f>SUM($AT407,$AA407:AA407)-SUM($AV$5:AW$5)*$J407-SUM($AV$6:AW$6)*$K407</f>
        <v>0</v>
      </c>
      <c r="AX407" s="1">
        <f>SUM($AT407,$AA407:AB407)-SUM($AV$5:AX$5)*$J407-SUM($AV$6:AX$6)*$K407</f>
        <v>0</v>
      </c>
      <c r="AY407" s="1">
        <f>SUM($AT407,$AA407:AC407)-SUM($AV$5:AY$5)*$J407-SUM($AV$6:AY$6)*$K407</f>
        <v>0</v>
      </c>
      <c r="AZ407" s="1">
        <f>SUM($AT407,$AA407:AD407)-SUM($AV$5:AZ$5)*$J407-SUM($AV$6:AZ$6)*$K407</f>
        <v>-40</v>
      </c>
      <c r="BA407" s="1">
        <f>SUM($AT407,$AA407:AE407)-SUM($AV$5:BA$5)*$J407-SUM($AV$6:BA$6)*$K407</f>
        <v>-80</v>
      </c>
      <c r="BB407" s="1">
        <f>SUM($AT407,$AA407:AF407)-SUM($AV$5:BB$5)*$J407-SUM($AV$6:BB$6)*$K407</f>
        <v>-120</v>
      </c>
      <c r="BC407" s="1">
        <f>SUM($AT407,$AA407:AG407)-SUM($AV$5:BC$5)*$J407-SUM($AV$6:BC$6)*$K407</f>
        <v>-160</v>
      </c>
      <c r="BD407" s="1">
        <f>SUM($AT407,$AA407:AH407)-SUM($AV$5:BD$5)*$J407-SUM($AV$6:BD$6)*$K407</f>
        <v>-200</v>
      </c>
      <c r="BE407" s="1">
        <f>SUM($AT407,$AA407:AI407)-SUM($AV$5:BE$5)*$J407-SUM($AV$6:BE$6)*$K407</f>
        <v>-240</v>
      </c>
      <c r="BF407" s="1">
        <f>SUM($AT407,$AA407:AJ407)-SUM($AV$5:BF$5)*$J407-SUM($AV$6:BF$6)*$K407</f>
        <v>-280</v>
      </c>
      <c r="BG407" s="1">
        <f>SUM($AT407,$AA407:AK407)-SUM($AV$5:BG$5)*$J407-SUM($AV$6:BG$6)*$K407</f>
        <v>-320</v>
      </c>
      <c r="BH407" s="1">
        <f>SUM($AT407,$AA407:AL407)-SUM($AV$5:BH$5)*$J407-SUM($AV$6:BH$6)*$K407</f>
        <v>-360</v>
      </c>
      <c r="BI407" s="1">
        <f>SUM($AT407,$AA407:AM407)-SUM($AV$5:BI$5)*$J407-SUM($AV$6:BI$6)*$K407</f>
        <v>-400</v>
      </c>
      <c r="BJ407" s="1">
        <f>SUM($AT407,$AA407:AN407)-SUM($AV$5:BJ$5)*$J407-SUM($AV$6:BJ$6)*$K407</f>
        <v>-440</v>
      </c>
      <c r="BK407" s="1">
        <f>SUM($AT407,$AA407:AO407)-SUM($AV$5:BK$5)*$J407-SUM($AV$6:BK$6)*$K407</f>
        <v>-480</v>
      </c>
      <c r="BL407" s="1">
        <f>SUM($AT407,$AA407:AP407)-SUM($AV$5:BL$5)*$J407-SUM($AV$6:BL$6)*$K407</f>
        <v>-520</v>
      </c>
      <c r="BM407" s="1">
        <f>SUM($AT407,$AA407:AQ407)-SUM($AV$5:BM$5)*$J407-SUM($AV$6:BM$6)*$K407</f>
        <v>-560</v>
      </c>
      <c r="BN407" s="1">
        <f>SUM($AT407,$AA407:AR407)-SUM($AV$5:BN$5)*$J407-SUM($AV$6:BN$6)*$K407</f>
        <v>-582</v>
      </c>
    </row>
    <row r="408" spans="1:66">
      <c r="A408" s="1">
        <v>297</v>
      </c>
      <c r="B408" s="28" t="s">
        <v>1252</v>
      </c>
      <c r="C408" s="1" t="s">
        <v>40</v>
      </c>
      <c r="D408" s="2">
        <v>400013186</v>
      </c>
      <c r="E408" s="3" t="s">
        <v>1253</v>
      </c>
      <c r="F408" s="1">
        <v>403174996</v>
      </c>
      <c r="G408" s="1" t="s">
        <v>42</v>
      </c>
      <c r="H408" s="1">
        <v>2</v>
      </c>
      <c r="I408" s="1">
        <v>1</v>
      </c>
      <c r="J408" s="1">
        <v>1</v>
      </c>
      <c r="K408" s="1">
        <v>0</v>
      </c>
      <c r="L408" s="1">
        <v>0</v>
      </c>
      <c r="M408" s="1">
        <f t="shared" si="14"/>
        <v>582</v>
      </c>
      <c r="N408" s="1">
        <f t="shared" si="15"/>
        <v>582</v>
      </c>
      <c r="O408" s="2" t="s">
        <v>215</v>
      </c>
      <c r="P408" s="1"/>
      <c r="Q408" s="1">
        <v>8.9600000000000009</v>
      </c>
      <c r="R408" s="1" t="s">
        <v>44</v>
      </c>
      <c r="S408" s="30" t="s">
        <v>272</v>
      </c>
      <c r="T408" s="31" t="s">
        <v>215</v>
      </c>
      <c r="U408" s="1"/>
      <c r="V408" s="1">
        <v>200</v>
      </c>
      <c r="W408" s="1" t="s">
        <v>216</v>
      </c>
      <c r="X408" s="32" t="s">
        <v>217</v>
      </c>
      <c r="Y408" s="1" t="s">
        <v>218</v>
      </c>
      <c r="Z408" s="2" t="s">
        <v>215</v>
      </c>
      <c r="AA408" s="1"/>
      <c r="AB408" s="1"/>
      <c r="AC408" s="1"/>
      <c r="AD408" s="1"/>
      <c r="AE408" s="1"/>
      <c r="AF408" s="1"/>
      <c r="AG408" s="1"/>
      <c r="AH408" s="1"/>
      <c r="AI408" s="1"/>
      <c r="AJ408" s="1"/>
      <c r="AK408" s="1"/>
      <c r="AL408" s="1"/>
      <c r="AM408" s="1"/>
      <c r="AN408" s="1"/>
      <c r="AO408" s="1"/>
      <c r="AP408" s="1"/>
      <c r="AQ408" s="1"/>
      <c r="AR408" s="1"/>
      <c r="AS408" s="1"/>
      <c r="AT408" s="1"/>
      <c r="AU408" s="1"/>
      <c r="AV408" s="1">
        <f>SUM($AT408,Z408:$AA408)-SUM($AV$5:AV$5)*$J408-SUM($AV$6:AV$6)*$K408</f>
        <v>0</v>
      </c>
      <c r="AW408" s="1">
        <f>SUM($AT408,$AA408:AA408)-SUM($AV$5:AW$5)*$J408-SUM($AV$6:AW$6)*$K408</f>
        <v>0</v>
      </c>
      <c r="AX408" s="1">
        <f>SUM($AT408,$AA408:AB408)-SUM($AV$5:AX$5)*$J408-SUM($AV$6:AX$6)*$K408</f>
        <v>0</v>
      </c>
      <c r="AY408" s="1">
        <f>SUM($AT408,$AA408:AC408)-SUM($AV$5:AY$5)*$J408-SUM($AV$6:AY$6)*$K408</f>
        <v>0</v>
      </c>
      <c r="AZ408" s="1">
        <f>SUM($AT408,$AA408:AD408)-SUM($AV$5:AZ$5)*$J408-SUM($AV$6:AZ$6)*$K408</f>
        <v>-40</v>
      </c>
      <c r="BA408" s="1">
        <f>SUM($AT408,$AA408:AE408)-SUM($AV$5:BA$5)*$J408-SUM($AV$6:BA$6)*$K408</f>
        <v>-80</v>
      </c>
      <c r="BB408" s="1">
        <f>SUM($AT408,$AA408:AF408)-SUM($AV$5:BB$5)*$J408-SUM($AV$6:BB$6)*$K408</f>
        <v>-120</v>
      </c>
      <c r="BC408" s="1">
        <f>SUM($AT408,$AA408:AG408)-SUM($AV$5:BC$5)*$J408-SUM($AV$6:BC$6)*$K408</f>
        <v>-160</v>
      </c>
      <c r="BD408" s="1">
        <f>SUM($AT408,$AA408:AH408)-SUM($AV$5:BD$5)*$J408-SUM($AV$6:BD$6)*$K408</f>
        <v>-200</v>
      </c>
      <c r="BE408" s="1">
        <f>SUM($AT408,$AA408:AI408)-SUM($AV$5:BE$5)*$J408-SUM($AV$6:BE$6)*$K408</f>
        <v>-240</v>
      </c>
      <c r="BF408" s="1">
        <f>SUM($AT408,$AA408:AJ408)-SUM($AV$5:BF$5)*$J408-SUM($AV$6:BF$6)*$K408</f>
        <v>-280</v>
      </c>
      <c r="BG408" s="1">
        <f>SUM($AT408,$AA408:AK408)-SUM($AV$5:BG$5)*$J408-SUM($AV$6:BG$6)*$K408</f>
        <v>-320</v>
      </c>
      <c r="BH408" s="1">
        <f>SUM($AT408,$AA408:AL408)-SUM($AV$5:BH$5)*$J408-SUM($AV$6:BH$6)*$K408</f>
        <v>-360</v>
      </c>
      <c r="BI408" s="1">
        <f>SUM($AT408,$AA408:AM408)-SUM($AV$5:BI$5)*$J408-SUM($AV$6:BI$6)*$K408</f>
        <v>-400</v>
      </c>
      <c r="BJ408" s="1">
        <f>SUM($AT408,$AA408:AN408)-SUM($AV$5:BJ$5)*$J408-SUM($AV$6:BJ$6)*$K408</f>
        <v>-440</v>
      </c>
      <c r="BK408" s="1">
        <f>SUM($AT408,$AA408:AO408)-SUM($AV$5:BK$5)*$J408-SUM($AV$6:BK$6)*$K408</f>
        <v>-480</v>
      </c>
      <c r="BL408" s="1">
        <f>SUM($AT408,$AA408:AP408)-SUM($AV$5:BL$5)*$J408-SUM($AV$6:BL$6)*$K408</f>
        <v>-520</v>
      </c>
      <c r="BM408" s="1">
        <f>SUM($AT408,$AA408:AQ408)-SUM($AV$5:BM$5)*$J408-SUM($AV$6:BM$6)*$K408</f>
        <v>-560</v>
      </c>
      <c r="BN408" s="1">
        <f>SUM($AT408,$AA408:AR408)-SUM($AV$5:BN$5)*$J408-SUM($AV$6:BN$6)*$K408</f>
        <v>-582</v>
      </c>
    </row>
    <row r="409" spans="1:66">
      <c r="A409" s="1">
        <v>321</v>
      </c>
      <c r="B409" s="28" t="s">
        <v>1254</v>
      </c>
      <c r="C409" s="1" t="s">
        <v>40</v>
      </c>
      <c r="D409" s="2">
        <v>400638927</v>
      </c>
      <c r="E409" s="3" t="s">
        <v>1255</v>
      </c>
      <c r="F409" s="1">
        <v>400639216</v>
      </c>
      <c r="G409" s="1" t="s">
        <v>42</v>
      </c>
      <c r="H409" s="1">
        <v>2</v>
      </c>
      <c r="I409" s="1">
        <v>16</v>
      </c>
      <c r="J409" s="1">
        <v>16</v>
      </c>
      <c r="K409" s="1">
        <v>0</v>
      </c>
      <c r="L409" s="1">
        <v>0</v>
      </c>
      <c r="M409" s="1">
        <f t="shared" si="14"/>
        <v>9312</v>
      </c>
      <c r="N409" s="1">
        <f t="shared" si="15"/>
        <v>9312</v>
      </c>
      <c r="O409" s="2" t="s">
        <v>323</v>
      </c>
      <c r="P409" s="1"/>
      <c r="Q409" s="1">
        <v>8.26</v>
      </c>
      <c r="R409" s="1" t="s">
        <v>44</v>
      </c>
      <c r="S409" s="30" t="s">
        <v>324</v>
      </c>
      <c r="T409" s="31" t="s">
        <v>323</v>
      </c>
      <c r="U409" s="1"/>
      <c r="V409" s="1">
        <v>52</v>
      </c>
      <c r="W409" s="1" t="s">
        <v>325</v>
      </c>
      <c r="X409" s="32" t="s">
        <v>326</v>
      </c>
      <c r="Y409" s="1" t="s">
        <v>327</v>
      </c>
      <c r="Z409" s="2" t="s">
        <v>323</v>
      </c>
      <c r="AA409" s="1"/>
      <c r="AB409" s="1"/>
      <c r="AC409" s="1"/>
      <c r="AD409" s="1"/>
      <c r="AE409" s="1"/>
      <c r="AF409" s="1"/>
      <c r="AG409" s="1"/>
      <c r="AH409" s="1"/>
      <c r="AI409" s="1"/>
      <c r="AJ409" s="1"/>
      <c r="AK409" s="1"/>
      <c r="AL409" s="1"/>
      <c r="AM409" s="1"/>
      <c r="AN409" s="1"/>
      <c r="AO409" s="1"/>
      <c r="AP409" s="1"/>
      <c r="AQ409" s="1"/>
      <c r="AR409" s="1"/>
      <c r="AS409" s="1"/>
      <c r="AT409" s="1"/>
      <c r="AU409" s="1"/>
      <c r="AV409" s="1">
        <f>SUM($AT409,Z409:$AA409)-SUM($AV$5:AV$5)*$J409-SUM($AV$6:AV$6)*$K409</f>
        <v>0</v>
      </c>
      <c r="AW409" s="1">
        <f>SUM($AT409,$AA409:AA409)-SUM($AV$5:AW$5)*$J409-SUM($AV$6:AW$6)*$K409</f>
        <v>0</v>
      </c>
      <c r="AX409" s="1">
        <f>SUM($AT409,$AA409:AB409)-SUM($AV$5:AX$5)*$J409-SUM($AV$6:AX$6)*$K409</f>
        <v>0</v>
      </c>
      <c r="AY409" s="1">
        <f>SUM($AT409,$AA409:AC409)-SUM($AV$5:AY$5)*$J409-SUM($AV$6:AY$6)*$K409</f>
        <v>0</v>
      </c>
      <c r="AZ409" s="1">
        <f>SUM($AT409,$AA409:AD409)-SUM($AV$5:AZ$5)*$J409-SUM($AV$6:AZ$6)*$K409</f>
        <v>-640</v>
      </c>
      <c r="BA409" s="1">
        <f>SUM($AT409,$AA409:AE409)-SUM($AV$5:BA$5)*$J409-SUM($AV$6:BA$6)*$K409</f>
        <v>-1280</v>
      </c>
      <c r="BB409" s="1">
        <f>SUM($AT409,$AA409:AF409)-SUM($AV$5:BB$5)*$J409-SUM($AV$6:BB$6)*$K409</f>
        <v>-1920</v>
      </c>
      <c r="BC409" s="1">
        <f>SUM($AT409,$AA409:AG409)-SUM($AV$5:BC$5)*$J409-SUM($AV$6:BC$6)*$K409</f>
        <v>-2560</v>
      </c>
      <c r="BD409" s="1">
        <f>SUM($AT409,$AA409:AH409)-SUM($AV$5:BD$5)*$J409-SUM($AV$6:BD$6)*$K409</f>
        <v>-3200</v>
      </c>
      <c r="BE409" s="1">
        <f>SUM($AT409,$AA409:AI409)-SUM($AV$5:BE$5)*$J409-SUM($AV$6:BE$6)*$K409</f>
        <v>-3840</v>
      </c>
      <c r="BF409" s="1">
        <f>SUM($AT409,$AA409:AJ409)-SUM($AV$5:BF$5)*$J409-SUM($AV$6:BF$6)*$K409</f>
        <v>-4480</v>
      </c>
      <c r="BG409" s="1">
        <f>SUM($AT409,$AA409:AK409)-SUM($AV$5:BG$5)*$J409-SUM($AV$6:BG$6)*$K409</f>
        <v>-5120</v>
      </c>
      <c r="BH409" s="1">
        <f>SUM($AT409,$AA409:AL409)-SUM($AV$5:BH$5)*$J409-SUM($AV$6:BH$6)*$K409</f>
        <v>-5760</v>
      </c>
      <c r="BI409" s="1">
        <f>SUM($AT409,$AA409:AM409)-SUM($AV$5:BI$5)*$J409-SUM($AV$6:BI$6)*$K409</f>
        <v>-6400</v>
      </c>
      <c r="BJ409" s="1">
        <f>SUM($AT409,$AA409:AN409)-SUM($AV$5:BJ$5)*$J409-SUM($AV$6:BJ$6)*$K409</f>
        <v>-7040</v>
      </c>
      <c r="BK409" s="1">
        <f>SUM($AT409,$AA409:AO409)-SUM($AV$5:BK$5)*$J409-SUM($AV$6:BK$6)*$K409</f>
        <v>-7680</v>
      </c>
      <c r="BL409" s="1">
        <f>SUM($AT409,$AA409:AP409)-SUM($AV$5:BL$5)*$J409-SUM($AV$6:BL$6)*$K409</f>
        <v>-8320</v>
      </c>
      <c r="BM409" s="1">
        <f>SUM($AT409,$AA409:AQ409)-SUM($AV$5:BM$5)*$J409-SUM($AV$6:BM$6)*$K409</f>
        <v>-8960</v>
      </c>
      <c r="BN409" s="1">
        <f>SUM($AT409,$AA409:AR409)-SUM($AV$5:BN$5)*$J409-SUM($AV$6:BN$6)*$K409</f>
        <v>-9312</v>
      </c>
    </row>
    <row r="410" spans="1:66">
      <c r="A410" s="1">
        <v>324</v>
      </c>
      <c r="B410" s="28" t="s">
        <v>1256</v>
      </c>
      <c r="C410" s="1" t="s">
        <v>176</v>
      </c>
      <c r="D410" s="2">
        <v>400611960</v>
      </c>
      <c r="E410" s="3" t="s">
        <v>1257</v>
      </c>
      <c r="F410" s="1"/>
      <c r="G410" s="1" t="s">
        <v>42</v>
      </c>
      <c r="H410" s="1">
        <v>2</v>
      </c>
      <c r="I410" s="1">
        <v>7</v>
      </c>
      <c r="J410" s="1">
        <v>7</v>
      </c>
      <c r="K410" s="1">
        <v>0</v>
      </c>
      <c r="L410" s="1">
        <v>0</v>
      </c>
      <c r="M410" s="1">
        <f t="shared" si="14"/>
        <v>4074</v>
      </c>
      <c r="N410" s="1">
        <f t="shared" si="15"/>
        <v>4074</v>
      </c>
      <c r="O410" s="2" t="s">
        <v>323</v>
      </c>
      <c r="P410" s="1"/>
      <c r="Q410" s="1">
        <v>9.48</v>
      </c>
      <c r="R410" s="1" t="s">
        <v>44</v>
      </c>
      <c r="S410" s="30" t="s">
        <v>324</v>
      </c>
      <c r="T410" s="31" t="s">
        <v>323</v>
      </c>
      <c r="U410" s="1"/>
      <c r="V410" s="1">
        <v>170</v>
      </c>
      <c r="W410" s="1" t="s">
        <v>325</v>
      </c>
      <c r="X410" s="32" t="s">
        <v>326</v>
      </c>
      <c r="Y410" s="1" t="s">
        <v>327</v>
      </c>
      <c r="Z410" s="2" t="s">
        <v>323</v>
      </c>
      <c r="AA410" s="1"/>
      <c r="AB410" s="1"/>
      <c r="AC410" s="1"/>
      <c r="AD410" s="1"/>
      <c r="AE410" s="1"/>
      <c r="AF410" s="1"/>
      <c r="AG410" s="1"/>
      <c r="AH410" s="1"/>
      <c r="AI410" s="1"/>
      <c r="AJ410" s="1"/>
      <c r="AK410" s="1"/>
      <c r="AL410" s="1"/>
      <c r="AM410" s="1"/>
      <c r="AN410" s="1"/>
      <c r="AO410" s="1"/>
      <c r="AP410" s="1"/>
      <c r="AQ410" s="1"/>
      <c r="AR410" s="1"/>
      <c r="AS410" s="1"/>
      <c r="AT410" s="1"/>
      <c r="AU410" s="1"/>
      <c r="AV410" s="1">
        <f>SUM($AT410,Z410:$AA410)-SUM($AV$5:AV$5)*$J410-SUM($AV$6:AV$6)*$K410</f>
        <v>0</v>
      </c>
      <c r="AW410" s="1">
        <f>SUM($AT410,$AA410:AA410)-SUM($AV$5:AW$5)*$J410-SUM($AV$6:AW$6)*$K410</f>
        <v>0</v>
      </c>
      <c r="AX410" s="1">
        <f>SUM($AT410,$AA410:AB410)-SUM($AV$5:AX$5)*$J410-SUM($AV$6:AX$6)*$K410</f>
        <v>0</v>
      </c>
      <c r="AY410" s="1">
        <f>SUM($AT410,$AA410:AC410)-SUM($AV$5:AY$5)*$J410-SUM($AV$6:AY$6)*$K410</f>
        <v>0</v>
      </c>
      <c r="AZ410" s="1">
        <f>SUM($AT410,$AA410:AD410)-SUM($AV$5:AZ$5)*$J410-SUM($AV$6:AZ$6)*$K410</f>
        <v>-280</v>
      </c>
      <c r="BA410" s="1">
        <f>SUM($AT410,$AA410:AE410)-SUM($AV$5:BA$5)*$J410-SUM($AV$6:BA$6)*$K410</f>
        <v>-560</v>
      </c>
      <c r="BB410" s="1">
        <f>SUM($AT410,$AA410:AF410)-SUM($AV$5:BB$5)*$J410-SUM($AV$6:BB$6)*$K410</f>
        <v>-840</v>
      </c>
      <c r="BC410" s="1">
        <f>SUM($AT410,$AA410:AG410)-SUM($AV$5:BC$5)*$J410-SUM($AV$6:BC$6)*$K410</f>
        <v>-1120</v>
      </c>
      <c r="BD410" s="1">
        <f>SUM($AT410,$AA410:AH410)-SUM($AV$5:BD$5)*$J410-SUM($AV$6:BD$6)*$K410</f>
        <v>-1400</v>
      </c>
      <c r="BE410" s="1">
        <f>SUM($AT410,$AA410:AI410)-SUM($AV$5:BE$5)*$J410-SUM($AV$6:BE$6)*$K410</f>
        <v>-1680</v>
      </c>
      <c r="BF410" s="1">
        <f>SUM($AT410,$AA410:AJ410)-SUM($AV$5:BF$5)*$J410-SUM($AV$6:BF$6)*$K410</f>
        <v>-1960</v>
      </c>
      <c r="BG410" s="1">
        <f>SUM($AT410,$AA410:AK410)-SUM($AV$5:BG$5)*$J410-SUM($AV$6:BG$6)*$K410</f>
        <v>-2240</v>
      </c>
      <c r="BH410" s="1">
        <f>SUM($AT410,$AA410:AL410)-SUM($AV$5:BH$5)*$J410-SUM($AV$6:BH$6)*$K410</f>
        <v>-2520</v>
      </c>
      <c r="BI410" s="1">
        <f>SUM($AT410,$AA410:AM410)-SUM($AV$5:BI$5)*$J410-SUM($AV$6:BI$6)*$K410</f>
        <v>-2800</v>
      </c>
      <c r="BJ410" s="1">
        <f>SUM($AT410,$AA410:AN410)-SUM($AV$5:BJ$5)*$J410-SUM($AV$6:BJ$6)*$K410</f>
        <v>-3080</v>
      </c>
      <c r="BK410" s="1">
        <f>SUM($AT410,$AA410:AO410)-SUM($AV$5:BK$5)*$J410-SUM($AV$6:BK$6)*$K410</f>
        <v>-3360</v>
      </c>
      <c r="BL410" s="1">
        <f>SUM($AT410,$AA410:AP410)-SUM($AV$5:BL$5)*$J410-SUM($AV$6:BL$6)*$K410</f>
        <v>-3640</v>
      </c>
      <c r="BM410" s="1">
        <f>SUM($AT410,$AA410:AQ410)-SUM($AV$5:BM$5)*$J410-SUM($AV$6:BM$6)*$K410</f>
        <v>-3920</v>
      </c>
      <c r="BN410" s="1">
        <f>SUM($AT410,$AA410:AR410)-SUM($AV$5:BN$5)*$J410-SUM($AV$6:BN$6)*$K410</f>
        <v>-4074</v>
      </c>
    </row>
    <row r="411" spans="1:66">
      <c r="A411" s="1">
        <v>328</v>
      </c>
      <c r="B411" s="28" t="s">
        <v>1258</v>
      </c>
      <c r="C411" s="1" t="s">
        <v>176</v>
      </c>
      <c r="D411" s="2">
        <v>400203456</v>
      </c>
      <c r="E411" s="3" t="s">
        <v>1259</v>
      </c>
      <c r="F411" s="1">
        <v>405820010</v>
      </c>
      <c r="G411" s="1" t="s">
        <v>42</v>
      </c>
      <c r="H411" s="1">
        <v>2</v>
      </c>
      <c r="I411" s="1">
        <v>1</v>
      </c>
      <c r="J411" s="1">
        <v>1</v>
      </c>
      <c r="K411" s="1">
        <v>0</v>
      </c>
      <c r="L411" s="1">
        <v>0</v>
      </c>
      <c r="M411" s="1">
        <f t="shared" si="14"/>
        <v>582</v>
      </c>
      <c r="N411" s="1">
        <f t="shared" si="15"/>
        <v>582</v>
      </c>
      <c r="O411" s="2" t="s">
        <v>745</v>
      </c>
      <c r="P411" s="1"/>
      <c r="Q411" s="1">
        <v>13.93</v>
      </c>
      <c r="R411" s="1" t="s">
        <v>44</v>
      </c>
      <c r="S411" s="30" t="s">
        <v>794</v>
      </c>
      <c r="T411" s="31" t="s">
        <v>417</v>
      </c>
      <c r="U411" s="1"/>
      <c r="V411" s="1">
        <v>100</v>
      </c>
      <c r="W411" s="1" t="s">
        <v>418</v>
      </c>
      <c r="X411" s="32" t="s">
        <v>419</v>
      </c>
      <c r="Y411" s="1" t="s">
        <v>420</v>
      </c>
      <c r="Z411" s="2" t="s">
        <v>745</v>
      </c>
      <c r="AA411" s="1"/>
      <c r="AB411" s="1"/>
      <c r="AC411" s="1"/>
      <c r="AD411" s="1"/>
      <c r="AE411" s="1"/>
      <c r="AF411" s="1"/>
      <c r="AG411" s="1">
        <v>600</v>
      </c>
      <c r="AH411" s="1"/>
      <c r="AI411" s="1"/>
      <c r="AJ411" s="1"/>
      <c r="AK411" s="1"/>
      <c r="AL411" s="1"/>
      <c r="AM411" s="1"/>
      <c r="AN411" s="1"/>
      <c r="AO411" s="1"/>
      <c r="AP411" s="1"/>
      <c r="AQ411" s="1"/>
      <c r="AR411" s="1"/>
      <c r="AS411" s="1"/>
      <c r="AT411" s="1"/>
      <c r="AU411" s="1"/>
      <c r="AV411" s="1">
        <f>SUM($AT411,Z411:$AA411)-SUM($AV$5:AV$5)*$J411-SUM($AV$6:AV$6)*$K411</f>
        <v>0</v>
      </c>
      <c r="AW411" s="1">
        <f>SUM($AT411,$AA411:AA411)-SUM($AV$5:AW$5)*$J411-SUM($AV$6:AW$6)*$K411</f>
        <v>0</v>
      </c>
      <c r="AX411" s="1">
        <f>SUM($AT411,$AA411:AB411)-SUM($AV$5:AX$5)*$J411-SUM($AV$6:AX$6)*$K411</f>
        <v>0</v>
      </c>
      <c r="AY411" s="1">
        <f>SUM($AT411,$AA411:AC411)-SUM($AV$5:AY$5)*$J411-SUM($AV$6:AY$6)*$K411</f>
        <v>0</v>
      </c>
      <c r="AZ411" s="1">
        <f>SUM($AT411,$AA411:AD411)-SUM($AV$5:AZ$5)*$J411-SUM($AV$6:AZ$6)*$K411</f>
        <v>-40</v>
      </c>
      <c r="BA411" s="1">
        <f>SUM($AT411,$AA411:AE411)-SUM($AV$5:BA$5)*$J411-SUM($AV$6:BA$6)*$K411</f>
        <v>-80</v>
      </c>
      <c r="BB411" s="1">
        <f>SUM($AT411,$AA411:AF411)-SUM($AV$5:BB$5)*$J411-SUM($AV$6:BB$6)*$K411</f>
        <v>-120</v>
      </c>
      <c r="BC411" s="1">
        <f>SUM($AT411,$AA411:AG411)-SUM($AV$5:BC$5)*$J411-SUM($AV$6:BC$6)*$K411</f>
        <v>440</v>
      </c>
      <c r="BD411" s="1">
        <f>SUM($AT411,$AA411:AH411)-SUM($AV$5:BD$5)*$J411-SUM($AV$6:BD$6)*$K411</f>
        <v>400</v>
      </c>
      <c r="BE411" s="1">
        <f>SUM($AT411,$AA411:AI411)-SUM($AV$5:BE$5)*$J411-SUM($AV$6:BE$6)*$K411</f>
        <v>360</v>
      </c>
      <c r="BF411" s="1">
        <f>SUM($AT411,$AA411:AJ411)-SUM($AV$5:BF$5)*$J411-SUM($AV$6:BF$6)*$K411</f>
        <v>320</v>
      </c>
      <c r="BG411" s="1">
        <f>SUM($AT411,$AA411:AK411)-SUM($AV$5:BG$5)*$J411-SUM($AV$6:BG$6)*$K411</f>
        <v>280</v>
      </c>
      <c r="BH411" s="1">
        <f>SUM($AT411,$AA411:AL411)-SUM($AV$5:BH$5)*$J411-SUM($AV$6:BH$6)*$K411</f>
        <v>240</v>
      </c>
      <c r="BI411" s="1">
        <f>SUM($AT411,$AA411:AM411)-SUM($AV$5:BI$5)*$J411-SUM($AV$6:BI$6)*$K411</f>
        <v>200</v>
      </c>
      <c r="BJ411" s="1">
        <f>SUM($AT411,$AA411:AN411)-SUM($AV$5:BJ$5)*$J411-SUM($AV$6:BJ$6)*$K411</f>
        <v>160</v>
      </c>
      <c r="BK411" s="1">
        <f>SUM($AT411,$AA411:AO411)-SUM($AV$5:BK$5)*$J411-SUM($AV$6:BK$6)*$K411</f>
        <v>120</v>
      </c>
      <c r="BL411" s="1">
        <f>SUM($AT411,$AA411:AP411)-SUM($AV$5:BL$5)*$J411-SUM($AV$6:BL$6)*$K411</f>
        <v>80</v>
      </c>
      <c r="BM411" s="1">
        <f>SUM($AT411,$AA411:AQ411)-SUM($AV$5:BM$5)*$J411-SUM($AV$6:BM$6)*$K411</f>
        <v>40</v>
      </c>
      <c r="BN411" s="1">
        <f>SUM($AT411,$AA411:AR411)-SUM($AV$5:BN$5)*$J411-SUM($AV$6:BN$6)*$K411</f>
        <v>18</v>
      </c>
    </row>
    <row r="412" spans="1:66">
      <c r="A412" s="1">
        <v>431</v>
      </c>
      <c r="B412" s="45" t="s">
        <v>1260</v>
      </c>
      <c r="C412" s="1" t="s">
        <v>40</v>
      </c>
      <c r="D412" s="2">
        <v>404179731</v>
      </c>
      <c r="E412" s="3" t="s">
        <v>1261</v>
      </c>
      <c r="F412" s="1"/>
      <c r="G412" s="1" t="s">
        <v>42</v>
      </c>
      <c r="H412" s="1">
        <v>2</v>
      </c>
      <c r="I412" s="1">
        <v>4</v>
      </c>
      <c r="J412" s="1">
        <v>0</v>
      </c>
      <c r="K412" s="1">
        <v>0</v>
      </c>
      <c r="L412" s="1">
        <v>4</v>
      </c>
      <c r="M412" s="1">
        <f t="shared" si="14"/>
        <v>1104</v>
      </c>
      <c r="N412" s="1">
        <f t="shared" si="15"/>
        <v>1104</v>
      </c>
      <c r="O412" s="2" t="s">
        <v>826</v>
      </c>
      <c r="P412" s="1"/>
      <c r="Q412" s="1">
        <v>8.5</v>
      </c>
      <c r="R412" s="1" t="s">
        <v>44</v>
      </c>
      <c r="S412" s="30" t="s">
        <v>945</v>
      </c>
      <c r="T412" s="31" t="s">
        <v>826</v>
      </c>
      <c r="U412" s="1">
        <v>1000</v>
      </c>
      <c r="V412" s="1">
        <v>1000</v>
      </c>
      <c r="W412" s="1" t="s">
        <v>827</v>
      </c>
      <c r="X412" s="33" t="s">
        <v>828</v>
      </c>
      <c r="Y412" s="1" t="s">
        <v>829</v>
      </c>
      <c r="Z412" s="2" t="s">
        <v>826</v>
      </c>
      <c r="AA412" s="1"/>
      <c r="AB412" s="1"/>
      <c r="AC412" s="1"/>
      <c r="AD412" s="1"/>
      <c r="AE412" s="1"/>
      <c r="AF412" s="1"/>
      <c r="AG412" s="1"/>
      <c r="AH412" s="1"/>
      <c r="AI412" s="1"/>
      <c r="AJ412" s="1"/>
      <c r="AK412" s="1"/>
      <c r="AL412" s="1"/>
      <c r="AM412" s="1"/>
      <c r="AN412" s="1"/>
      <c r="AO412" s="1"/>
      <c r="AP412" s="1"/>
      <c r="AQ412" s="1"/>
      <c r="AR412" s="1"/>
      <c r="AS412" s="1"/>
      <c r="AT412" s="1"/>
      <c r="AU412" s="1"/>
      <c r="AV412" s="1">
        <f>SUM($AT412,Z412:$AA412)-SUM($AV$5:AV$5)*$J412-SUM($AV$6:AV$6)*$K412</f>
        <v>0</v>
      </c>
      <c r="AW412" s="1">
        <f>SUM($AT412,$AA412:AA412)-SUM($AV$5:AW$5)*$J412-SUM($AV$6:AW$6)*$K412</f>
        <v>0</v>
      </c>
      <c r="AX412" s="1">
        <f>SUM($AT412,$AA412:AB412)-SUM($AV$5:AX$5)*$J412-SUM($AV$6:AX$6)*$K412</f>
        <v>0</v>
      </c>
      <c r="AY412" s="1">
        <f>SUM($AT412,$AA412:AC412)-SUM($AV$5:AY$5)*$J412-SUM($AV$6:AY$6)*$K412</f>
        <v>0</v>
      </c>
      <c r="AZ412" s="1">
        <f>SUM($AT412,$AA412:AD412)-SUM($AV$5:AZ$5)*$J412-SUM($AV$6:AZ$6)*$K412</f>
        <v>0</v>
      </c>
      <c r="BA412" s="1">
        <f>SUM($AT412,$AA412:AE412)-SUM($AV$5:BA$5)*$J412-SUM($AV$6:BA$6)*$K412</f>
        <v>0</v>
      </c>
      <c r="BB412" s="1">
        <f>SUM($AT412,$AA412:AF412)-SUM($AV$5:BB$5)*$J412-SUM($AV$6:BB$6)*$K412</f>
        <v>0</v>
      </c>
      <c r="BC412" s="1">
        <f>SUM($AT412,$AA412:AG412)-SUM($AV$5:BC$5)*$J412-SUM($AV$6:BC$6)*$K412</f>
        <v>0</v>
      </c>
      <c r="BD412" s="1">
        <f>SUM($AT412,$AA412:AH412)-SUM($AV$5:BD$5)*$J412-SUM($AV$6:BD$6)*$K412</f>
        <v>0</v>
      </c>
      <c r="BE412" s="1">
        <f>SUM($AT412,$AA412:AI412)-SUM($AV$5:BE$5)*$J412-SUM($AV$6:BE$6)*$K412</f>
        <v>0</v>
      </c>
      <c r="BF412" s="1">
        <f>SUM($AT412,$AA412:AJ412)-SUM($AV$5:BF$5)*$J412-SUM($AV$6:BF$6)*$K412</f>
        <v>0</v>
      </c>
      <c r="BG412" s="1">
        <f>SUM($AT412,$AA412:AK412)-SUM($AV$5:BG$5)*$J412-SUM($AV$6:BG$6)*$K412</f>
        <v>0</v>
      </c>
      <c r="BH412" s="1">
        <f>SUM($AT412,$AA412:AL412)-SUM($AV$5:BH$5)*$J412-SUM($AV$6:BH$6)*$K412</f>
        <v>0</v>
      </c>
      <c r="BI412" s="1">
        <f>SUM($AT412,$AA412:AM412)-SUM($AV$5:BI$5)*$J412-SUM($AV$6:BI$6)*$K412</f>
        <v>0</v>
      </c>
      <c r="BJ412" s="1">
        <f>SUM($AT412,$AA412:AN412)-SUM($AV$5:BJ$5)*$J412-SUM($AV$6:BJ$6)*$K412</f>
        <v>0</v>
      </c>
      <c r="BK412" s="1">
        <f>SUM($AT412,$AA412:AO412)-SUM($AV$5:BK$5)*$J412-SUM($AV$6:BK$6)*$K412</f>
        <v>0</v>
      </c>
      <c r="BL412" s="1">
        <f>SUM($AT412,$AA412:AP412)-SUM($AV$5:BL$5)*$J412-SUM($AV$6:BL$6)*$K412</f>
        <v>0</v>
      </c>
      <c r="BM412" s="1">
        <f>SUM($AT412,$AA412:AQ412)-SUM($AV$5:BM$5)*$J412-SUM($AV$6:BM$6)*$K412</f>
        <v>0</v>
      </c>
      <c r="BN412" s="1">
        <f>SUM($AT412,$AA412:AR412)-SUM($AV$5:BN$5)*$J412-SUM($AV$6:BN$6)*$K412</f>
        <v>0</v>
      </c>
    </row>
    <row r="413" spans="1:66">
      <c r="A413" s="1">
        <v>45</v>
      </c>
      <c r="B413" s="28" t="s">
        <v>1262</v>
      </c>
      <c r="C413" s="1" t="s">
        <v>127</v>
      </c>
      <c r="D413" s="2">
        <v>415322322</v>
      </c>
      <c r="E413" s="3" t="s">
        <v>1263</v>
      </c>
      <c r="F413" s="1"/>
      <c r="G413" s="1" t="s">
        <v>42</v>
      </c>
      <c r="H413" s="1">
        <v>1</v>
      </c>
      <c r="I413" s="1">
        <v>1</v>
      </c>
      <c r="J413" s="1">
        <v>0</v>
      </c>
      <c r="K413" s="1">
        <v>1</v>
      </c>
      <c r="L413" s="1">
        <v>0</v>
      </c>
      <c r="M413" s="1">
        <f t="shared" si="14"/>
        <v>276</v>
      </c>
      <c r="N413" s="1">
        <f t="shared" si="15"/>
        <v>276</v>
      </c>
      <c r="O413" s="31" t="s">
        <v>1264</v>
      </c>
      <c r="P413" s="1"/>
      <c r="Q413" s="1">
        <v>19</v>
      </c>
      <c r="R413" s="1" t="s">
        <v>44</v>
      </c>
      <c r="S413" s="30"/>
      <c r="T413" s="31" t="s">
        <v>1264</v>
      </c>
      <c r="U413" s="1">
        <v>1</v>
      </c>
      <c r="V413" s="1">
        <v>1</v>
      </c>
      <c r="W413" s="1" t="s">
        <v>1265</v>
      </c>
      <c r="X413" s="33" t="s">
        <v>1266</v>
      </c>
      <c r="Y413" s="1" t="s">
        <v>1267</v>
      </c>
      <c r="Z413" s="2" t="s">
        <v>1128</v>
      </c>
      <c r="AA413" s="1"/>
      <c r="AB413" s="1"/>
      <c r="AC413" s="1"/>
      <c r="AD413" s="1"/>
      <c r="AE413" s="1"/>
      <c r="AF413" s="1"/>
      <c r="AG413" s="1"/>
      <c r="AH413" s="1"/>
      <c r="AI413" s="1"/>
      <c r="AJ413" s="1"/>
      <c r="AK413" s="1"/>
      <c r="AL413" s="1"/>
      <c r="AM413" s="1"/>
      <c r="AN413" s="1"/>
      <c r="AO413" s="1"/>
      <c r="AP413" s="1"/>
      <c r="AQ413" s="1"/>
      <c r="AR413" s="1"/>
      <c r="AS413" s="1"/>
      <c r="AT413" s="1"/>
      <c r="AU413" s="1"/>
      <c r="AV413" s="1">
        <f>SUM($AT413,Z413:$AA413)-SUM($AV$5:AV$5)*$J413-SUM($AV$6:AV$6)*$K413</f>
        <v>0</v>
      </c>
      <c r="AW413" s="1">
        <f>SUM($AT413,$AA413:AA413)-SUM($AV$5:AW$5)*$J413-SUM($AV$6:AW$6)*$K413</f>
        <v>0</v>
      </c>
      <c r="AX413" s="1">
        <f>SUM($AT413,$AA413:AB413)-SUM($AV$5:AX$5)*$J413-SUM($AV$6:AX$6)*$K413</f>
        <v>0</v>
      </c>
      <c r="AY413" s="1">
        <f>SUM($AT413,$AA413:AC413)-SUM($AV$5:AY$5)*$J413-SUM($AV$6:AY$6)*$K413</f>
        <v>0</v>
      </c>
      <c r="AZ413" s="1">
        <f>SUM($AT413,$AA413:AD413)-SUM($AV$5:AZ$5)*$J413-SUM($AV$6:AZ$6)*$K413</f>
        <v>-10</v>
      </c>
      <c r="BA413" s="1">
        <f>SUM($AT413,$AA413:AE413)-SUM($AV$5:BA$5)*$J413-SUM($AV$6:BA$6)*$K413</f>
        <v>-30</v>
      </c>
      <c r="BB413" s="1">
        <f>SUM($AT413,$AA413:AF413)-SUM($AV$5:BB$5)*$J413-SUM($AV$6:BB$6)*$K413</f>
        <v>-120</v>
      </c>
      <c r="BC413" s="1">
        <f>SUM($AT413,$AA413:AG413)-SUM($AV$5:BC$5)*$J413-SUM($AV$6:BC$6)*$K413</f>
        <v>-210</v>
      </c>
      <c r="BD413" s="1">
        <f>SUM($AT413,$AA413:AH413)-SUM($AV$5:BD$5)*$J413-SUM($AV$6:BD$6)*$K413</f>
        <v>-276</v>
      </c>
      <c r="BE413" s="1">
        <f>SUM($AT413,$AA413:AI413)-SUM($AV$5:BE$5)*$J413-SUM($AV$6:BE$6)*$K413</f>
        <v>-276</v>
      </c>
      <c r="BF413" s="1">
        <f>SUM($AT413,$AA413:AJ413)-SUM($AV$5:BF$5)*$J413-SUM($AV$6:BF$6)*$K413</f>
        <v>-276</v>
      </c>
      <c r="BG413" s="1">
        <f>SUM($AT413,$AA413:AK413)-SUM($AV$5:BG$5)*$J413-SUM($AV$6:BG$6)*$K413</f>
        <v>-276</v>
      </c>
      <c r="BH413" s="1">
        <f>SUM($AT413,$AA413:AL413)-SUM($AV$5:BH$5)*$J413-SUM($AV$6:BH$6)*$K413</f>
        <v>-276</v>
      </c>
      <c r="BI413" s="1">
        <f>SUM($AT413,$AA413:AM413)-SUM($AV$5:BI$5)*$J413-SUM($AV$6:BI$6)*$K413</f>
        <v>-276</v>
      </c>
      <c r="BJ413" s="1">
        <f>SUM($AT413,$AA413:AN413)-SUM($AV$5:BJ$5)*$J413-SUM($AV$6:BJ$6)*$K413</f>
        <v>-276</v>
      </c>
      <c r="BK413" s="1">
        <f>SUM($AT413,$AA413:AO413)-SUM($AV$5:BK$5)*$J413-SUM($AV$6:BK$6)*$K413</f>
        <v>-276</v>
      </c>
      <c r="BL413" s="1">
        <f>SUM($AT413,$AA413:AP413)-SUM($AV$5:BL$5)*$J413-SUM($AV$6:BL$6)*$K413</f>
        <v>-276</v>
      </c>
      <c r="BM413" s="1">
        <f>SUM($AT413,$AA413:AQ413)-SUM($AV$5:BM$5)*$J413-SUM($AV$6:BM$6)*$K413</f>
        <v>-276</v>
      </c>
      <c r="BN413" s="1">
        <f>SUM($AT413,$AA413:AR413)-SUM($AV$5:BN$5)*$J413-SUM($AV$6:BN$6)*$K413</f>
        <v>-276</v>
      </c>
    </row>
    <row r="414" spans="1:66">
      <c r="A414" s="1">
        <v>433</v>
      </c>
      <c r="B414" s="28" t="s">
        <v>1268</v>
      </c>
      <c r="C414" s="1" t="s">
        <v>40</v>
      </c>
      <c r="D414" s="2">
        <v>410928732</v>
      </c>
      <c r="E414" s="3" t="s">
        <v>1269</v>
      </c>
      <c r="F414" s="1"/>
      <c r="G414" s="1" t="s">
        <v>42</v>
      </c>
      <c r="H414" s="1">
        <v>2</v>
      </c>
      <c r="I414" s="1">
        <v>2</v>
      </c>
      <c r="J414" s="1">
        <v>1</v>
      </c>
      <c r="K414" s="1">
        <v>0</v>
      </c>
      <c r="L414" s="1">
        <v>1</v>
      </c>
      <c r="M414" s="1">
        <f t="shared" si="14"/>
        <v>858</v>
      </c>
      <c r="N414" s="1">
        <f t="shared" si="15"/>
        <v>858</v>
      </c>
      <c r="O414" s="2" t="s">
        <v>1270</v>
      </c>
      <c r="P414" s="1"/>
      <c r="Q414" s="1">
        <v>7.1300000000000002E-2</v>
      </c>
      <c r="R414" s="1" t="s">
        <v>44</v>
      </c>
      <c r="S414" s="30" t="s">
        <v>8</v>
      </c>
      <c r="T414" s="31" t="s">
        <v>1271</v>
      </c>
      <c r="U414" s="1">
        <v>10000</v>
      </c>
      <c r="V414" s="1">
        <v>750</v>
      </c>
      <c r="W414" s="1" t="s">
        <v>1272</v>
      </c>
      <c r="X414" s="33" t="s">
        <v>1273</v>
      </c>
      <c r="Y414" s="1" t="s">
        <v>1274</v>
      </c>
      <c r="Z414" s="2" t="s">
        <v>1270</v>
      </c>
      <c r="AA414" s="1"/>
      <c r="AB414" s="1"/>
      <c r="AC414" s="1"/>
      <c r="AD414" s="1"/>
      <c r="AE414" s="1"/>
      <c r="AF414" s="1"/>
      <c r="AG414" s="1"/>
      <c r="AH414" s="1"/>
      <c r="AI414" s="1"/>
      <c r="AJ414" s="1"/>
      <c r="AK414" s="1"/>
      <c r="AL414" s="1"/>
      <c r="AM414" s="1"/>
      <c r="AN414" s="1"/>
      <c r="AO414" s="1"/>
      <c r="AP414" s="1"/>
      <c r="AQ414" s="1"/>
      <c r="AR414" s="1"/>
      <c r="AS414" s="1"/>
      <c r="AT414" s="1"/>
      <c r="AU414" s="1"/>
      <c r="AV414" s="1">
        <f>SUM($AT414,Z414:$AA414)-SUM($AV$5:AV$5)*$J414-SUM($AV$6:AV$6)*$K414</f>
        <v>0</v>
      </c>
      <c r="AW414" s="1">
        <f>SUM($AT414,$AA414:AA414)-SUM($AV$5:AW$5)*$J414-SUM($AV$6:AW$6)*$K414</f>
        <v>0</v>
      </c>
      <c r="AX414" s="1">
        <f>SUM($AT414,$AA414:AB414)-SUM($AV$5:AX$5)*$J414-SUM($AV$6:AX$6)*$K414</f>
        <v>0</v>
      </c>
      <c r="AY414" s="1">
        <f>SUM($AT414,$AA414:AC414)-SUM($AV$5:AY$5)*$J414-SUM($AV$6:AY$6)*$K414</f>
        <v>0</v>
      </c>
      <c r="AZ414" s="1">
        <f>SUM($AT414,$AA414:AD414)-SUM($AV$5:AZ$5)*$J414-SUM($AV$6:AZ$6)*$K414</f>
        <v>-40</v>
      </c>
      <c r="BA414" s="1">
        <f>SUM($AT414,$AA414:AE414)-SUM($AV$5:BA$5)*$J414-SUM($AV$6:BA$6)*$K414</f>
        <v>-80</v>
      </c>
      <c r="BB414" s="1">
        <f>SUM($AT414,$AA414:AF414)-SUM($AV$5:BB$5)*$J414-SUM($AV$6:BB$6)*$K414</f>
        <v>-120</v>
      </c>
      <c r="BC414" s="1">
        <f>SUM($AT414,$AA414:AG414)-SUM($AV$5:BC$5)*$J414-SUM($AV$6:BC$6)*$K414</f>
        <v>-160</v>
      </c>
      <c r="BD414" s="1">
        <f>SUM($AT414,$AA414:AH414)-SUM($AV$5:BD$5)*$J414-SUM($AV$6:BD$6)*$K414</f>
        <v>-200</v>
      </c>
      <c r="BE414" s="1">
        <f>SUM($AT414,$AA414:AI414)-SUM($AV$5:BE$5)*$J414-SUM($AV$6:BE$6)*$K414</f>
        <v>-240</v>
      </c>
      <c r="BF414" s="1">
        <f>SUM($AT414,$AA414:AJ414)-SUM($AV$5:BF$5)*$J414-SUM($AV$6:BF$6)*$K414</f>
        <v>-280</v>
      </c>
      <c r="BG414" s="1">
        <f>SUM($AT414,$AA414:AK414)-SUM($AV$5:BG$5)*$J414-SUM($AV$6:BG$6)*$K414</f>
        <v>-320</v>
      </c>
      <c r="BH414" s="1">
        <f>SUM($AT414,$AA414:AL414)-SUM($AV$5:BH$5)*$J414-SUM($AV$6:BH$6)*$K414</f>
        <v>-360</v>
      </c>
      <c r="BI414" s="1">
        <f>SUM($AT414,$AA414:AM414)-SUM($AV$5:BI$5)*$J414-SUM($AV$6:BI$6)*$K414</f>
        <v>-400</v>
      </c>
      <c r="BJ414" s="1">
        <f>SUM($AT414,$AA414:AN414)-SUM($AV$5:BJ$5)*$J414-SUM($AV$6:BJ$6)*$K414</f>
        <v>-440</v>
      </c>
      <c r="BK414" s="1">
        <f>SUM($AT414,$AA414:AO414)-SUM($AV$5:BK$5)*$J414-SUM($AV$6:BK$6)*$K414</f>
        <v>-480</v>
      </c>
      <c r="BL414" s="1">
        <f>SUM($AT414,$AA414:AP414)-SUM($AV$5:BL$5)*$J414-SUM($AV$6:BL$6)*$K414</f>
        <v>-520</v>
      </c>
      <c r="BM414" s="1">
        <f>SUM($AT414,$AA414:AQ414)-SUM($AV$5:BM$5)*$J414-SUM($AV$6:BM$6)*$K414</f>
        <v>-560</v>
      </c>
      <c r="BN414" s="1">
        <f>SUM($AT414,$AA414:AR414)-SUM($AV$5:BN$5)*$J414-SUM($AV$6:BN$6)*$K414</f>
        <v>-582</v>
      </c>
    </row>
    <row r="415" spans="1:66">
      <c r="A415" s="1">
        <v>335</v>
      </c>
      <c r="B415" s="28" t="s">
        <v>1275</v>
      </c>
      <c r="C415" s="1" t="s">
        <v>40</v>
      </c>
      <c r="D415" s="2">
        <v>400120141</v>
      </c>
      <c r="E415" s="3" t="s">
        <v>1276</v>
      </c>
      <c r="F415" s="1"/>
      <c r="G415" s="1" t="s">
        <v>42</v>
      </c>
      <c r="H415" s="1">
        <v>1</v>
      </c>
      <c r="I415" s="1">
        <v>1</v>
      </c>
      <c r="J415" s="1">
        <v>1</v>
      </c>
      <c r="K415" s="1">
        <v>0</v>
      </c>
      <c r="L415" s="1">
        <v>0</v>
      </c>
      <c r="M415" s="1">
        <f t="shared" ref="M415:M430" si="16">SUMPRODUCT(J415:L415,$J$2:$L$2)</f>
        <v>582</v>
      </c>
      <c r="N415" s="1">
        <f t="shared" ref="N415:N430" si="17">SUMPRODUCT(J415:L415,$J$2:$L$2)</f>
        <v>582</v>
      </c>
      <c r="O415" s="2" t="s">
        <v>765</v>
      </c>
      <c r="P415" s="1"/>
      <c r="Q415" s="1">
        <v>12.91</v>
      </c>
      <c r="R415" s="1" t="s">
        <v>44</v>
      </c>
      <c r="S415" s="30" t="s">
        <v>900</v>
      </c>
      <c r="T415" s="31" t="s">
        <v>417</v>
      </c>
      <c r="U415" s="1"/>
      <c r="V415" s="1">
        <v>75</v>
      </c>
      <c r="W415" s="1" t="s">
        <v>418</v>
      </c>
      <c r="X415" s="32" t="s">
        <v>419</v>
      </c>
      <c r="Y415" s="1" t="s">
        <v>420</v>
      </c>
      <c r="Z415" s="2" t="s">
        <v>765</v>
      </c>
      <c r="AA415" s="1"/>
      <c r="AB415" s="1"/>
      <c r="AC415" s="1"/>
      <c r="AD415" s="1"/>
      <c r="AE415" s="1"/>
      <c r="AF415" s="1"/>
      <c r="AG415" s="1"/>
      <c r="AH415" s="1"/>
      <c r="AI415" s="1"/>
      <c r="AJ415" s="1"/>
      <c r="AK415" s="1"/>
      <c r="AL415" s="1"/>
      <c r="AM415" s="1"/>
      <c r="AN415" s="1"/>
      <c r="AO415" s="1"/>
      <c r="AP415" s="1"/>
      <c r="AQ415" s="1"/>
      <c r="AR415" s="1"/>
      <c r="AS415" s="1"/>
      <c r="AT415" s="1"/>
      <c r="AU415" s="1"/>
      <c r="AV415" s="1">
        <f>SUM($AT415,Z415:$AA415)-SUM($AV$5:AV$5)*$J415-SUM($AV$6:AV$6)*$K415</f>
        <v>0</v>
      </c>
      <c r="AW415" s="1">
        <f>SUM($AT415,$AA415:AA415)-SUM($AV$5:AW$5)*$J415-SUM($AV$6:AW$6)*$K415</f>
        <v>0</v>
      </c>
      <c r="AX415" s="1">
        <f>SUM($AT415,$AA415:AB415)-SUM($AV$5:AX$5)*$J415-SUM($AV$6:AX$6)*$K415</f>
        <v>0</v>
      </c>
      <c r="AY415" s="1">
        <f>SUM($AT415,$AA415:AC415)-SUM($AV$5:AY$5)*$J415-SUM($AV$6:AY$6)*$K415</f>
        <v>0</v>
      </c>
      <c r="AZ415" s="1">
        <f>SUM($AT415,$AA415:AD415)-SUM($AV$5:AZ$5)*$J415-SUM($AV$6:AZ$6)*$K415</f>
        <v>-40</v>
      </c>
      <c r="BA415" s="1">
        <f>SUM($AT415,$AA415:AE415)-SUM($AV$5:BA$5)*$J415-SUM($AV$6:BA$6)*$K415</f>
        <v>-80</v>
      </c>
      <c r="BB415" s="1">
        <f>SUM($AT415,$AA415:AF415)-SUM($AV$5:BB$5)*$J415-SUM($AV$6:BB$6)*$K415</f>
        <v>-120</v>
      </c>
      <c r="BC415" s="1">
        <f>SUM($AT415,$AA415:AG415)-SUM($AV$5:BC$5)*$J415-SUM($AV$6:BC$6)*$K415</f>
        <v>-160</v>
      </c>
      <c r="BD415" s="1">
        <f>SUM($AT415,$AA415:AH415)-SUM($AV$5:BD$5)*$J415-SUM($AV$6:BD$6)*$K415</f>
        <v>-200</v>
      </c>
      <c r="BE415" s="1">
        <f>SUM($AT415,$AA415:AI415)-SUM($AV$5:BE$5)*$J415-SUM($AV$6:BE$6)*$K415</f>
        <v>-240</v>
      </c>
      <c r="BF415" s="1">
        <f>SUM($AT415,$AA415:AJ415)-SUM($AV$5:BF$5)*$J415-SUM($AV$6:BF$6)*$K415</f>
        <v>-280</v>
      </c>
      <c r="BG415" s="1">
        <f>SUM($AT415,$AA415:AK415)-SUM($AV$5:BG$5)*$J415-SUM($AV$6:BG$6)*$K415</f>
        <v>-320</v>
      </c>
      <c r="BH415" s="1">
        <f>SUM($AT415,$AA415:AL415)-SUM($AV$5:BH$5)*$J415-SUM($AV$6:BH$6)*$K415</f>
        <v>-360</v>
      </c>
      <c r="BI415" s="1">
        <f>SUM($AT415,$AA415:AM415)-SUM($AV$5:BI$5)*$J415-SUM($AV$6:BI$6)*$K415</f>
        <v>-400</v>
      </c>
      <c r="BJ415" s="1">
        <f>SUM($AT415,$AA415:AN415)-SUM($AV$5:BJ$5)*$J415-SUM($AV$6:BJ$6)*$K415</f>
        <v>-440</v>
      </c>
      <c r="BK415" s="1">
        <f>SUM($AT415,$AA415:AO415)-SUM($AV$5:BK$5)*$J415-SUM($AV$6:BK$6)*$K415</f>
        <v>-480</v>
      </c>
      <c r="BL415" s="1">
        <f>SUM($AT415,$AA415:AP415)-SUM($AV$5:BL$5)*$J415-SUM($AV$6:BL$6)*$K415</f>
        <v>-520</v>
      </c>
      <c r="BM415" s="1">
        <f>SUM($AT415,$AA415:AQ415)-SUM($AV$5:BM$5)*$J415-SUM($AV$6:BM$6)*$K415</f>
        <v>-560</v>
      </c>
      <c r="BN415" s="1">
        <f>SUM($AT415,$AA415:AR415)-SUM($AV$5:BN$5)*$J415-SUM($AV$6:BN$6)*$K415</f>
        <v>-582</v>
      </c>
    </row>
    <row r="416" spans="1:66">
      <c r="A416" s="1">
        <v>436</v>
      </c>
      <c r="B416" s="28" t="s">
        <v>1277</v>
      </c>
      <c r="C416" s="1" t="s">
        <v>40</v>
      </c>
      <c r="D416" s="2">
        <v>421575553</v>
      </c>
      <c r="E416" s="3" t="s">
        <v>1278</v>
      </c>
      <c r="F416" s="1"/>
      <c r="G416" s="1" t="s">
        <v>42</v>
      </c>
      <c r="H416" s="1">
        <v>2</v>
      </c>
      <c r="I416" s="1">
        <v>8</v>
      </c>
      <c r="J416" s="1">
        <v>0</v>
      </c>
      <c r="K416" s="1">
        <v>0</v>
      </c>
      <c r="L416" s="1">
        <v>8</v>
      </c>
      <c r="M416" s="1">
        <f t="shared" si="16"/>
        <v>2208</v>
      </c>
      <c r="N416" s="1">
        <f t="shared" si="17"/>
        <v>2208</v>
      </c>
      <c r="O416" s="2" t="s">
        <v>826</v>
      </c>
      <c r="P416" s="1"/>
      <c r="Q416" s="1">
        <v>1.1499999999999999</v>
      </c>
      <c r="R416" s="1" t="s">
        <v>44</v>
      </c>
      <c r="S416" s="30" t="s">
        <v>945</v>
      </c>
      <c r="T416" s="31" t="s">
        <v>826</v>
      </c>
      <c r="U416" s="1"/>
      <c r="V416" s="1">
        <v>2500</v>
      </c>
      <c r="W416" s="1" t="s">
        <v>827</v>
      </c>
      <c r="X416" s="33" t="s">
        <v>828</v>
      </c>
      <c r="Y416" s="1" t="s">
        <v>829</v>
      </c>
      <c r="Z416" s="2" t="s">
        <v>826</v>
      </c>
      <c r="AA416" s="1"/>
      <c r="AB416" s="1"/>
      <c r="AC416" s="1"/>
      <c r="AD416" s="1"/>
      <c r="AE416" s="1"/>
      <c r="AF416" s="1"/>
      <c r="AG416" s="1"/>
      <c r="AH416" s="1"/>
      <c r="AI416" s="1"/>
      <c r="AJ416" s="1"/>
      <c r="AK416" s="1"/>
      <c r="AL416" s="1"/>
      <c r="AM416" s="1"/>
      <c r="AN416" s="1"/>
      <c r="AO416" s="1"/>
      <c r="AP416" s="1"/>
      <c r="AQ416" s="1"/>
      <c r="AR416" s="1"/>
      <c r="AS416" s="1"/>
      <c r="AT416" s="1"/>
      <c r="AU416" s="1"/>
      <c r="AV416" s="1">
        <f>SUM($AT416,Z416:$AA416)-SUM($AV$5:AV$5)*$J416-SUM($AV$6:AV$6)*$K416</f>
        <v>0</v>
      </c>
      <c r="AW416" s="1">
        <f>SUM($AT416,$AA416:AA416)-SUM($AV$5:AW$5)*$J416-SUM($AV$6:AW$6)*$K416</f>
        <v>0</v>
      </c>
      <c r="AX416" s="1">
        <f>SUM($AT416,$AA416:AB416)-SUM($AV$5:AX$5)*$J416-SUM($AV$6:AX$6)*$K416</f>
        <v>0</v>
      </c>
      <c r="AY416" s="1">
        <f>SUM($AT416,$AA416:AC416)-SUM($AV$5:AY$5)*$J416-SUM($AV$6:AY$6)*$K416</f>
        <v>0</v>
      </c>
      <c r="AZ416" s="1">
        <f>SUM($AT416,$AA416:AD416)-SUM($AV$5:AZ$5)*$J416-SUM($AV$6:AZ$6)*$K416</f>
        <v>0</v>
      </c>
      <c r="BA416" s="1">
        <f>SUM($AT416,$AA416:AE416)-SUM($AV$5:BA$5)*$J416-SUM($AV$6:BA$6)*$K416</f>
        <v>0</v>
      </c>
      <c r="BB416" s="1">
        <f>SUM($AT416,$AA416:AF416)-SUM($AV$5:BB$5)*$J416-SUM($AV$6:BB$6)*$K416</f>
        <v>0</v>
      </c>
      <c r="BC416" s="1">
        <f>SUM($AT416,$AA416:AG416)-SUM($AV$5:BC$5)*$J416-SUM($AV$6:BC$6)*$K416</f>
        <v>0</v>
      </c>
      <c r="BD416" s="1">
        <f>SUM($AT416,$AA416:AH416)-SUM($AV$5:BD$5)*$J416-SUM($AV$6:BD$6)*$K416</f>
        <v>0</v>
      </c>
      <c r="BE416" s="1">
        <f>SUM($AT416,$AA416:AI416)-SUM($AV$5:BE$5)*$J416-SUM($AV$6:BE$6)*$K416</f>
        <v>0</v>
      </c>
      <c r="BF416" s="1">
        <f>SUM($AT416,$AA416:AJ416)-SUM($AV$5:BF$5)*$J416-SUM($AV$6:BF$6)*$K416</f>
        <v>0</v>
      </c>
      <c r="BG416" s="1">
        <f>SUM($AT416,$AA416:AK416)-SUM($AV$5:BG$5)*$J416-SUM($AV$6:BG$6)*$K416</f>
        <v>0</v>
      </c>
      <c r="BH416" s="1">
        <f>SUM($AT416,$AA416:AL416)-SUM($AV$5:BH$5)*$J416-SUM($AV$6:BH$6)*$K416</f>
        <v>0</v>
      </c>
      <c r="BI416" s="1">
        <f>SUM($AT416,$AA416:AM416)-SUM($AV$5:BI$5)*$J416-SUM($AV$6:BI$6)*$K416</f>
        <v>0</v>
      </c>
      <c r="BJ416" s="1">
        <f>SUM($AT416,$AA416:AN416)-SUM($AV$5:BJ$5)*$J416-SUM($AV$6:BJ$6)*$K416</f>
        <v>0</v>
      </c>
      <c r="BK416" s="1">
        <f>SUM($AT416,$AA416:AO416)-SUM($AV$5:BK$5)*$J416-SUM($AV$6:BK$6)*$K416</f>
        <v>0</v>
      </c>
      <c r="BL416" s="1">
        <f>SUM($AT416,$AA416:AP416)-SUM($AV$5:BL$5)*$J416-SUM($AV$6:BL$6)*$K416</f>
        <v>0</v>
      </c>
      <c r="BM416" s="1">
        <f>SUM($AT416,$AA416:AQ416)-SUM($AV$5:BM$5)*$J416-SUM($AV$6:BM$6)*$K416</f>
        <v>0</v>
      </c>
      <c r="BN416" s="1">
        <f>SUM($AT416,$AA416:AR416)-SUM($AV$5:BN$5)*$J416-SUM($AV$6:BN$6)*$K416</f>
        <v>0</v>
      </c>
    </row>
    <row r="417" spans="1:66">
      <c r="A417" s="1">
        <v>448</v>
      </c>
      <c r="B417" s="28" t="s">
        <v>1279</v>
      </c>
      <c r="C417" s="1" t="s">
        <v>40</v>
      </c>
      <c r="D417" s="2" t="s">
        <v>1280</v>
      </c>
      <c r="E417" s="3" t="s">
        <v>1281</v>
      </c>
      <c r="F417" s="1"/>
      <c r="G417" s="1" t="s">
        <v>42</v>
      </c>
      <c r="H417" s="1">
        <v>2</v>
      </c>
      <c r="I417" s="1">
        <v>1</v>
      </c>
      <c r="J417" s="1">
        <v>1</v>
      </c>
      <c r="K417" s="1">
        <v>0</v>
      </c>
      <c r="L417" s="1">
        <v>0</v>
      </c>
      <c r="M417" s="1">
        <f t="shared" si="16"/>
        <v>582</v>
      </c>
      <c r="N417" s="1">
        <f t="shared" si="17"/>
        <v>582</v>
      </c>
      <c r="O417" s="2" t="s">
        <v>1282</v>
      </c>
      <c r="P417" s="1"/>
      <c r="Q417" s="1">
        <v>12.5</v>
      </c>
      <c r="R417" s="1" t="s">
        <v>44</v>
      </c>
      <c r="S417" s="30"/>
      <c r="T417" s="31" t="s">
        <v>1283</v>
      </c>
      <c r="U417" s="1"/>
      <c r="V417" s="1">
        <v>600</v>
      </c>
      <c r="W417" s="1" t="s">
        <v>1284</v>
      </c>
      <c r="X417" s="32" t="s">
        <v>1285</v>
      </c>
      <c r="Y417" s="1" t="s">
        <v>1286</v>
      </c>
      <c r="Z417" s="2" t="s">
        <v>1282</v>
      </c>
      <c r="AA417" s="1"/>
      <c r="AB417" s="1"/>
      <c r="AC417" s="1"/>
      <c r="AD417" s="1"/>
      <c r="AE417" s="1"/>
      <c r="AF417" s="1"/>
      <c r="AG417" s="1"/>
      <c r="AH417" s="1"/>
      <c r="AI417" s="1"/>
      <c r="AJ417" s="1"/>
      <c r="AK417" s="1"/>
      <c r="AL417" s="1"/>
      <c r="AM417" s="1"/>
      <c r="AN417" s="1"/>
      <c r="AO417" s="1"/>
      <c r="AP417" s="1"/>
      <c r="AQ417" s="1"/>
      <c r="AR417" s="1"/>
      <c r="AS417" s="1"/>
      <c r="AT417" s="1"/>
      <c r="AU417" s="1"/>
      <c r="AV417" s="1">
        <f>SUM($AT417,Z417:$AA417)-SUM($AV$5:AV$5)*$J417-SUM($AV$6:AV$6)*$K417</f>
        <v>0</v>
      </c>
      <c r="AW417" s="1">
        <f>SUM($AT417,$AA417:AA417)-SUM($AV$5:AW$5)*$J417-SUM($AV$6:AW$6)*$K417</f>
        <v>0</v>
      </c>
      <c r="AX417" s="1">
        <f>SUM($AT417,$AA417:AB417)-SUM($AV$5:AX$5)*$J417-SUM($AV$6:AX$6)*$K417</f>
        <v>0</v>
      </c>
      <c r="AY417" s="1">
        <f>SUM($AT417,$AA417:AC417)-SUM($AV$5:AY$5)*$J417-SUM($AV$6:AY$6)*$K417</f>
        <v>0</v>
      </c>
      <c r="AZ417" s="1">
        <f>SUM($AT417,$AA417:AD417)-SUM($AV$5:AZ$5)*$J417-SUM($AV$6:AZ$6)*$K417</f>
        <v>-40</v>
      </c>
      <c r="BA417" s="1">
        <f>SUM($AT417,$AA417:AE417)-SUM($AV$5:BA$5)*$J417-SUM($AV$6:BA$6)*$K417</f>
        <v>-80</v>
      </c>
      <c r="BB417" s="1">
        <f>SUM($AT417,$AA417:AF417)-SUM($AV$5:BB$5)*$J417-SUM($AV$6:BB$6)*$K417</f>
        <v>-120</v>
      </c>
      <c r="BC417" s="1">
        <f>SUM($AT417,$AA417:AG417)-SUM($AV$5:BC$5)*$J417-SUM($AV$6:BC$6)*$K417</f>
        <v>-160</v>
      </c>
      <c r="BD417" s="1">
        <f>SUM($AT417,$AA417:AH417)-SUM($AV$5:BD$5)*$J417-SUM($AV$6:BD$6)*$K417</f>
        <v>-200</v>
      </c>
      <c r="BE417" s="1">
        <f>SUM($AT417,$AA417:AI417)-SUM($AV$5:BE$5)*$J417-SUM($AV$6:BE$6)*$K417</f>
        <v>-240</v>
      </c>
      <c r="BF417" s="1">
        <f>SUM($AT417,$AA417:AJ417)-SUM($AV$5:BF$5)*$J417-SUM($AV$6:BF$6)*$K417</f>
        <v>-280</v>
      </c>
      <c r="BG417" s="1">
        <f>SUM($AT417,$AA417:AK417)-SUM($AV$5:BG$5)*$J417-SUM($AV$6:BG$6)*$K417</f>
        <v>-320</v>
      </c>
      <c r="BH417" s="1">
        <f>SUM($AT417,$AA417:AL417)-SUM($AV$5:BH$5)*$J417-SUM($AV$6:BH$6)*$K417</f>
        <v>-360</v>
      </c>
      <c r="BI417" s="1">
        <f>SUM($AT417,$AA417:AM417)-SUM($AV$5:BI$5)*$J417-SUM($AV$6:BI$6)*$K417</f>
        <v>-400</v>
      </c>
      <c r="BJ417" s="1">
        <f>SUM($AT417,$AA417:AN417)-SUM($AV$5:BJ$5)*$J417-SUM($AV$6:BJ$6)*$K417</f>
        <v>-440</v>
      </c>
      <c r="BK417" s="1">
        <f>SUM($AT417,$AA417:AO417)-SUM($AV$5:BK$5)*$J417-SUM($AV$6:BK$6)*$K417</f>
        <v>-480</v>
      </c>
      <c r="BL417" s="1">
        <f>SUM($AT417,$AA417:AP417)-SUM($AV$5:BL$5)*$J417-SUM($AV$6:BL$6)*$K417</f>
        <v>-520</v>
      </c>
      <c r="BM417" s="1">
        <f>SUM($AT417,$AA417:AQ417)-SUM($AV$5:BM$5)*$J417-SUM($AV$6:BM$6)*$K417</f>
        <v>-560</v>
      </c>
      <c r="BN417" s="1">
        <f>SUM($AT417,$AA417:AR417)-SUM($AV$5:BN$5)*$J417-SUM($AV$6:BN$6)*$K417</f>
        <v>-582</v>
      </c>
    </row>
    <row r="418" spans="1:66">
      <c r="A418" s="1">
        <v>364</v>
      </c>
      <c r="B418" s="28" t="s">
        <v>1287</v>
      </c>
      <c r="C418" s="1" t="s">
        <v>40</v>
      </c>
      <c r="D418" s="2">
        <v>400752821</v>
      </c>
      <c r="E418" s="3" t="s">
        <v>1288</v>
      </c>
      <c r="F418" s="1">
        <v>400754926</v>
      </c>
      <c r="G418" s="1" t="s">
        <v>42</v>
      </c>
      <c r="H418" s="1">
        <v>1</v>
      </c>
      <c r="I418" s="1">
        <v>1</v>
      </c>
      <c r="J418" s="1">
        <v>1</v>
      </c>
      <c r="K418" s="1">
        <v>0</v>
      </c>
      <c r="L418" s="1">
        <v>0</v>
      </c>
      <c r="M418" s="1">
        <f t="shared" si="16"/>
        <v>582</v>
      </c>
      <c r="N418" s="1">
        <f t="shared" si="17"/>
        <v>582</v>
      </c>
      <c r="O418" s="2" t="s">
        <v>170</v>
      </c>
      <c r="P418" s="1"/>
      <c r="Q418" s="1">
        <v>8.6999999999999993</v>
      </c>
      <c r="R418" s="1" t="s">
        <v>44</v>
      </c>
      <c r="S418" s="30" t="s">
        <v>961</v>
      </c>
      <c r="T418" s="31" t="s">
        <v>317</v>
      </c>
      <c r="U418" s="1">
        <v>600</v>
      </c>
      <c r="V418" s="1">
        <v>1</v>
      </c>
      <c r="W418" s="1" t="s">
        <v>318</v>
      </c>
      <c r="X418" s="32" t="s">
        <v>319</v>
      </c>
      <c r="Y418" s="1" t="s">
        <v>320</v>
      </c>
      <c r="Z418" s="2" t="s">
        <v>170</v>
      </c>
      <c r="AA418" s="1"/>
      <c r="AB418" s="1"/>
      <c r="AC418" s="1"/>
      <c r="AD418" s="1"/>
      <c r="AE418" s="1"/>
      <c r="AF418" s="1"/>
      <c r="AG418" s="1"/>
      <c r="AH418" s="1"/>
      <c r="AI418" s="1"/>
      <c r="AJ418" s="1"/>
      <c r="AK418" s="1"/>
      <c r="AL418" s="1"/>
      <c r="AM418" s="1"/>
      <c r="AN418" s="1"/>
      <c r="AO418" s="1"/>
      <c r="AP418" s="1"/>
      <c r="AQ418" s="1"/>
      <c r="AR418" s="1"/>
      <c r="AS418" s="1"/>
      <c r="AT418" s="1"/>
      <c r="AU418" s="1"/>
      <c r="AV418" s="1">
        <f>SUM($AT418,Z418:$AA418)-SUM($AV$5:AV$5)*$J418-SUM($AV$6:AV$6)*$K418</f>
        <v>0</v>
      </c>
      <c r="AW418" s="1">
        <f>SUM($AT418,$AA418:AA418)-SUM($AV$5:AW$5)*$J418-SUM($AV$6:AW$6)*$K418</f>
        <v>0</v>
      </c>
      <c r="AX418" s="1">
        <f>SUM($AT418,$AA418:AB418)-SUM($AV$5:AX$5)*$J418-SUM($AV$6:AX$6)*$K418</f>
        <v>0</v>
      </c>
      <c r="AY418" s="1">
        <f>SUM($AT418,$AA418:AC418)-SUM($AV$5:AY$5)*$J418-SUM($AV$6:AY$6)*$K418</f>
        <v>0</v>
      </c>
      <c r="AZ418" s="1">
        <f>SUM($AT418,$AA418:AD418)-SUM($AV$5:AZ$5)*$J418-SUM($AV$6:AZ$6)*$K418</f>
        <v>-40</v>
      </c>
      <c r="BA418" s="1">
        <f>SUM($AT418,$AA418:AE418)-SUM($AV$5:BA$5)*$J418-SUM($AV$6:BA$6)*$K418</f>
        <v>-80</v>
      </c>
      <c r="BB418" s="1">
        <f>SUM($AT418,$AA418:AF418)-SUM($AV$5:BB$5)*$J418-SUM($AV$6:BB$6)*$K418</f>
        <v>-120</v>
      </c>
      <c r="BC418" s="1">
        <f>SUM($AT418,$AA418:AG418)-SUM($AV$5:BC$5)*$J418-SUM($AV$6:BC$6)*$K418</f>
        <v>-160</v>
      </c>
      <c r="BD418" s="1">
        <f>SUM($AT418,$AA418:AH418)-SUM($AV$5:BD$5)*$J418-SUM($AV$6:BD$6)*$K418</f>
        <v>-200</v>
      </c>
      <c r="BE418" s="1">
        <f>SUM($AT418,$AA418:AI418)-SUM($AV$5:BE$5)*$J418-SUM($AV$6:BE$6)*$K418</f>
        <v>-240</v>
      </c>
      <c r="BF418" s="1">
        <f>SUM($AT418,$AA418:AJ418)-SUM($AV$5:BF$5)*$J418-SUM($AV$6:BF$6)*$K418</f>
        <v>-280</v>
      </c>
      <c r="BG418" s="1">
        <f>SUM($AT418,$AA418:AK418)-SUM($AV$5:BG$5)*$J418-SUM($AV$6:BG$6)*$K418</f>
        <v>-320</v>
      </c>
      <c r="BH418" s="1">
        <f>SUM($AT418,$AA418:AL418)-SUM($AV$5:BH$5)*$J418-SUM($AV$6:BH$6)*$K418</f>
        <v>-360</v>
      </c>
      <c r="BI418" s="1">
        <f>SUM($AT418,$AA418:AM418)-SUM($AV$5:BI$5)*$J418-SUM($AV$6:BI$6)*$K418</f>
        <v>-400</v>
      </c>
      <c r="BJ418" s="1">
        <f>SUM($AT418,$AA418:AN418)-SUM($AV$5:BJ$5)*$J418-SUM($AV$6:BJ$6)*$K418</f>
        <v>-440</v>
      </c>
      <c r="BK418" s="1">
        <f>SUM($AT418,$AA418:AO418)-SUM($AV$5:BK$5)*$J418-SUM($AV$6:BK$6)*$K418</f>
        <v>-480</v>
      </c>
      <c r="BL418" s="1">
        <f>SUM($AT418,$AA418:AP418)-SUM($AV$5:BL$5)*$J418-SUM($AV$6:BL$6)*$K418</f>
        <v>-520</v>
      </c>
      <c r="BM418" s="1">
        <f>SUM($AT418,$AA418:AQ418)-SUM($AV$5:BM$5)*$J418-SUM($AV$6:BM$6)*$K418</f>
        <v>-560</v>
      </c>
      <c r="BN418" s="1">
        <f>SUM($AT418,$AA418:AR418)-SUM($AV$5:BN$5)*$J418-SUM($AV$6:BN$6)*$K418</f>
        <v>-582</v>
      </c>
    </row>
    <row r="419" spans="1:66">
      <c r="A419" s="1">
        <v>27</v>
      </c>
      <c r="B419" s="28" t="s">
        <v>1289</v>
      </c>
      <c r="C419" s="1" t="s">
        <v>151</v>
      </c>
      <c r="D419" s="2">
        <v>400909746</v>
      </c>
      <c r="E419" s="3" t="s">
        <v>1290</v>
      </c>
      <c r="F419" s="1"/>
      <c r="G419" s="1" t="s">
        <v>42</v>
      </c>
      <c r="H419" s="1">
        <v>1</v>
      </c>
      <c r="I419" s="1">
        <v>2</v>
      </c>
      <c r="J419" s="1">
        <v>2</v>
      </c>
      <c r="K419" s="1">
        <v>0</v>
      </c>
      <c r="L419" s="1">
        <v>0</v>
      </c>
      <c r="M419" s="1">
        <f t="shared" si="16"/>
        <v>1164</v>
      </c>
      <c r="N419" s="1">
        <f t="shared" si="17"/>
        <v>1164</v>
      </c>
      <c r="O419" s="31" t="s">
        <v>1291</v>
      </c>
      <c r="P419" s="1"/>
      <c r="Q419" s="1">
        <v>7</v>
      </c>
      <c r="R419" s="1" t="s">
        <v>44</v>
      </c>
      <c r="S419" s="30"/>
      <c r="T419" s="12" t="s">
        <v>1291</v>
      </c>
      <c r="U419" s="1">
        <v>1</v>
      </c>
      <c r="V419" s="1">
        <v>1</v>
      </c>
      <c r="W419" s="1" t="s">
        <v>1292</v>
      </c>
      <c r="X419" s="33" t="s">
        <v>1293</v>
      </c>
      <c r="Y419" s="1" t="s">
        <v>1294</v>
      </c>
      <c r="Z419" s="2" t="s">
        <v>823</v>
      </c>
      <c r="AA419" s="1"/>
      <c r="AB419" s="1"/>
      <c r="AC419" s="1"/>
      <c r="AD419" s="1"/>
      <c r="AE419" s="1"/>
      <c r="AF419" s="1"/>
      <c r="AG419" s="1"/>
      <c r="AH419" s="1"/>
      <c r="AI419" s="1"/>
      <c r="AJ419" s="1"/>
      <c r="AK419" s="1"/>
      <c r="AL419" s="1"/>
      <c r="AM419" s="1"/>
      <c r="AN419" s="1"/>
      <c r="AO419" s="1"/>
      <c r="AP419" s="1"/>
      <c r="AQ419" s="1"/>
      <c r="AR419" s="1"/>
      <c r="AS419" s="1"/>
      <c r="AT419" s="1"/>
      <c r="AU419" s="1"/>
      <c r="AV419" s="1">
        <f>SUM($AT419,Z419:$AA419)-SUM($AV$5:AV$5)*$J419-SUM($AV$6:AV$6)*$K419</f>
        <v>0</v>
      </c>
      <c r="AW419" s="1">
        <f>SUM($AT419,$AA419:AA419)-SUM($AV$5:AW$5)*$J419-SUM($AV$6:AW$6)*$K419</f>
        <v>0</v>
      </c>
      <c r="AX419" s="1">
        <f>SUM($AT419,$AA419:AB419)-SUM($AV$5:AX$5)*$J419-SUM($AV$6:AX$6)*$K419</f>
        <v>0</v>
      </c>
      <c r="AY419" s="1">
        <f>SUM($AT419,$AA419:AC419)-SUM($AV$5:AY$5)*$J419-SUM($AV$6:AY$6)*$K419</f>
        <v>0</v>
      </c>
      <c r="AZ419" s="1">
        <f>SUM($AT419,$AA419:AD419)-SUM($AV$5:AZ$5)*$J419-SUM($AV$6:AZ$6)*$K419</f>
        <v>-80</v>
      </c>
      <c r="BA419" s="1">
        <f>SUM($AT419,$AA419:AE419)-SUM($AV$5:BA$5)*$J419-SUM($AV$6:BA$6)*$K419</f>
        <v>-160</v>
      </c>
      <c r="BB419" s="1">
        <f>SUM($AT419,$AA419:AF419)-SUM($AV$5:BB$5)*$J419-SUM($AV$6:BB$6)*$K419</f>
        <v>-240</v>
      </c>
      <c r="BC419" s="1">
        <f>SUM($AT419,$AA419:AG419)-SUM($AV$5:BC$5)*$J419-SUM($AV$6:BC$6)*$K419</f>
        <v>-320</v>
      </c>
      <c r="BD419" s="1">
        <f>SUM($AT419,$AA419:AH419)-SUM($AV$5:BD$5)*$J419-SUM($AV$6:BD$6)*$K419</f>
        <v>-400</v>
      </c>
      <c r="BE419" s="1">
        <f>SUM($AT419,$AA419:AI419)-SUM($AV$5:BE$5)*$J419-SUM($AV$6:BE$6)*$K419</f>
        <v>-480</v>
      </c>
      <c r="BF419" s="1">
        <f>SUM($AT419,$AA419:AJ419)-SUM($AV$5:BF$5)*$J419-SUM($AV$6:BF$6)*$K419</f>
        <v>-560</v>
      </c>
      <c r="BG419" s="1">
        <f>SUM($AT419,$AA419:AK419)-SUM($AV$5:BG$5)*$J419-SUM($AV$6:BG$6)*$K419</f>
        <v>-640</v>
      </c>
      <c r="BH419" s="1">
        <f>SUM($AT419,$AA419:AL419)-SUM($AV$5:BH$5)*$J419-SUM($AV$6:BH$6)*$K419</f>
        <v>-720</v>
      </c>
      <c r="BI419" s="1">
        <f>SUM($AT419,$AA419:AM419)-SUM($AV$5:BI$5)*$J419-SUM($AV$6:BI$6)*$K419</f>
        <v>-800</v>
      </c>
      <c r="BJ419" s="1">
        <f>SUM($AT419,$AA419:AN419)-SUM($AV$5:BJ$5)*$J419-SUM($AV$6:BJ$6)*$K419</f>
        <v>-880</v>
      </c>
      <c r="BK419" s="1">
        <f>SUM($AT419,$AA419:AO419)-SUM($AV$5:BK$5)*$J419-SUM($AV$6:BK$6)*$K419</f>
        <v>-960</v>
      </c>
      <c r="BL419" s="1">
        <f>SUM($AT419,$AA419:AP419)-SUM($AV$5:BL$5)*$J419-SUM($AV$6:BL$6)*$K419</f>
        <v>-1040</v>
      </c>
      <c r="BM419" s="1">
        <f>SUM($AT419,$AA419:AQ419)-SUM($AV$5:BM$5)*$J419-SUM($AV$6:BM$6)*$K419</f>
        <v>-1120</v>
      </c>
      <c r="BN419" s="1">
        <f>SUM($AT419,$AA419:AR419)-SUM($AV$5:BN$5)*$J419-SUM($AV$6:BN$6)*$K419</f>
        <v>-1164</v>
      </c>
    </row>
    <row r="420" spans="1:66">
      <c r="A420" s="1">
        <v>28</v>
      </c>
      <c r="B420" s="28" t="s">
        <v>1295</v>
      </c>
      <c r="C420" s="1" t="s">
        <v>151</v>
      </c>
      <c r="D420" s="2">
        <v>403933229</v>
      </c>
      <c r="E420" s="3" t="s">
        <v>1296</v>
      </c>
      <c r="F420" s="1"/>
      <c r="G420" s="1" t="s">
        <v>42</v>
      </c>
      <c r="H420" s="1">
        <v>1</v>
      </c>
      <c r="I420" s="1">
        <v>2</v>
      </c>
      <c r="J420" s="1">
        <v>2</v>
      </c>
      <c r="K420" s="1">
        <v>0</v>
      </c>
      <c r="L420" s="1">
        <v>0</v>
      </c>
      <c r="M420" s="1">
        <f t="shared" si="16"/>
        <v>1164</v>
      </c>
      <c r="N420" s="1">
        <f t="shared" si="17"/>
        <v>1164</v>
      </c>
      <c r="O420" s="31" t="s">
        <v>1297</v>
      </c>
      <c r="P420" s="1"/>
      <c r="Q420" s="1">
        <v>3.2</v>
      </c>
      <c r="R420" s="1" t="s">
        <v>44</v>
      </c>
      <c r="S420" s="30"/>
      <c r="T420" s="12" t="s">
        <v>1297</v>
      </c>
      <c r="U420" s="1">
        <v>1</v>
      </c>
      <c r="V420" s="1">
        <v>1</v>
      </c>
      <c r="W420" s="1" t="s">
        <v>1292</v>
      </c>
      <c r="X420" s="33" t="s">
        <v>1293</v>
      </c>
      <c r="Y420" s="1" t="s">
        <v>1294</v>
      </c>
      <c r="Z420" s="2" t="s">
        <v>823</v>
      </c>
      <c r="AA420" s="1"/>
      <c r="AB420" s="1"/>
      <c r="AC420" s="1"/>
      <c r="AD420" s="1"/>
      <c r="AE420" s="1"/>
      <c r="AF420" s="1"/>
      <c r="AG420" s="1"/>
      <c r="AH420" s="1"/>
      <c r="AI420" s="1"/>
      <c r="AJ420" s="1"/>
      <c r="AK420" s="1"/>
      <c r="AL420" s="1"/>
      <c r="AM420" s="1"/>
      <c r="AN420" s="1"/>
      <c r="AO420" s="1"/>
      <c r="AP420" s="1"/>
      <c r="AQ420" s="1"/>
      <c r="AR420" s="1"/>
      <c r="AS420" s="1"/>
      <c r="AT420" s="1"/>
      <c r="AU420" s="1"/>
      <c r="AV420" s="1">
        <f>SUM($AT420,Z420:$AA420)-SUM($AV$5:AV$5)*$J420-SUM($AV$6:AV$6)*$K420</f>
        <v>0</v>
      </c>
      <c r="AW420" s="1">
        <f>SUM($AT420,$AA420:AA420)-SUM($AV$5:AW$5)*$J420-SUM($AV$6:AW$6)*$K420</f>
        <v>0</v>
      </c>
      <c r="AX420" s="1">
        <f>SUM($AT420,$AA420:AB420)-SUM($AV$5:AX$5)*$J420-SUM($AV$6:AX$6)*$K420</f>
        <v>0</v>
      </c>
      <c r="AY420" s="1">
        <f>SUM($AT420,$AA420:AC420)-SUM($AV$5:AY$5)*$J420-SUM($AV$6:AY$6)*$K420</f>
        <v>0</v>
      </c>
      <c r="AZ420" s="1">
        <f>SUM($AT420,$AA420:AD420)-SUM($AV$5:AZ$5)*$J420-SUM($AV$6:AZ$6)*$K420</f>
        <v>-80</v>
      </c>
      <c r="BA420" s="1">
        <f>SUM($AT420,$AA420:AE420)-SUM($AV$5:BA$5)*$J420-SUM($AV$6:BA$6)*$K420</f>
        <v>-160</v>
      </c>
      <c r="BB420" s="1">
        <f>SUM($AT420,$AA420:AF420)-SUM($AV$5:BB$5)*$J420-SUM($AV$6:BB$6)*$K420</f>
        <v>-240</v>
      </c>
      <c r="BC420" s="1">
        <f>SUM($AT420,$AA420:AG420)-SUM($AV$5:BC$5)*$J420-SUM($AV$6:BC$6)*$K420</f>
        <v>-320</v>
      </c>
      <c r="BD420" s="1">
        <f>SUM($AT420,$AA420:AH420)-SUM($AV$5:BD$5)*$J420-SUM($AV$6:BD$6)*$K420</f>
        <v>-400</v>
      </c>
      <c r="BE420" s="1">
        <f>SUM($AT420,$AA420:AI420)-SUM($AV$5:BE$5)*$J420-SUM($AV$6:BE$6)*$K420</f>
        <v>-480</v>
      </c>
      <c r="BF420" s="1">
        <f>SUM($AT420,$AA420:AJ420)-SUM($AV$5:BF$5)*$J420-SUM($AV$6:BF$6)*$K420</f>
        <v>-560</v>
      </c>
      <c r="BG420" s="1">
        <f>SUM($AT420,$AA420:AK420)-SUM($AV$5:BG$5)*$J420-SUM($AV$6:BG$6)*$K420</f>
        <v>-640</v>
      </c>
      <c r="BH420" s="1">
        <f>SUM($AT420,$AA420:AL420)-SUM($AV$5:BH$5)*$J420-SUM($AV$6:BH$6)*$K420</f>
        <v>-720</v>
      </c>
      <c r="BI420" s="1">
        <f>SUM($AT420,$AA420:AM420)-SUM($AV$5:BI$5)*$J420-SUM($AV$6:BI$6)*$K420</f>
        <v>-800</v>
      </c>
      <c r="BJ420" s="1">
        <f>SUM($AT420,$AA420:AN420)-SUM($AV$5:BJ$5)*$J420-SUM($AV$6:BJ$6)*$K420</f>
        <v>-880</v>
      </c>
      <c r="BK420" s="1">
        <f>SUM($AT420,$AA420:AO420)-SUM($AV$5:BK$5)*$J420-SUM($AV$6:BK$6)*$K420</f>
        <v>-960</v>
      </c>
      <c r="BL420" s="1">
        <f>SUM($AT420,$AA420:AP420)-SUM($AV$5:BL$5)*$J420-SUM($AV$6:BL$6)*$K420</f>
        <v>-1040</v>
      </c>
      <c r="BM420" s="1">
        <f>SUM($AT420,$AA420:AQ420)-SUM($AV$5:BM$5)*$J420-SUM($AV$6:BM$6)*$K420</f>
        <v>-1120</v>
      </c>
      <c r="BN420" s="1">
        <f>SUM($AT420,$AA420:AR420)-SUM($AV$5:BN$5)*$J420-SUM($AV$6:BN$6)*$K420</f>
        <v>-1164</v>
      </c>
    </row>
    <row r="421" spans="1:66">
      <c r="A421" s="1">
        <v>32</v>
      </c>
      <c r="B421" s="28" t="s">
        <v>1298</v>
      </c>
      <c r="C421" s="1" t="s">
        <v>127</v>
      </c>
      <c r="D421" s="2" t="s">
        <v>1299</v>
      </c>
      <c r="E421" s="3" t="s">
        <v>1300</v>
      </c>
      <c r="F421" s="1"/>
      <c r="G421" s="1" t="s">
        <v>42</v>
      </c>
      <c r="H421" s="1">
        <v>1</v>
      </c>
      <c r="I421" s="1">
        <v>14</v>
      </c>
      <c r="J421" s="1">
        <v>14</v>
      </c>
      <c r="K421" s="1">
        <v>0</v>
      </c>
      <c r="L421" s="1">
        <v>0</v>
      </c>
      <c r="M421" s="1">
        <f t="shared" si="16"/>
        <v>8148</v>
      </c>
      <c r="N421" s="1">
        <f t="shared" si="17"/>
        <v>8148</v>
      </c>
      <c r="O421" s="31" t="s">
        <v>1301</v>
      </c>
      <c r="P421" s="1"/>
      <c r="Q421" s="1">
        <v>1.4</v>
      </c>
      <c r="R421" s="1" t="s">
        <v>44</v>
      </c>
      <c r="S421" s="30"/>
      <c r="T421" s="31" t="s">
        <v>1301</v>
      </c>
      <c r="U421" s="1">
        <v>1</v>
      </c>
      <c r="V421" s="1">
        <v>1</v>
      </c>
      <c r="W421" s="1" t="s">
        <v>1302</v>
      </c>
      <c r="X421" s="33" t="s">
        <v>1303</v>
      </c>
      <c r="Y421" s="1" t="s">
        <v>1304</v>
      </c>
      <c r="Z421" s="2" t="s">
        <v>823</v>
      </c>
      <c r="AA421" s="1"/>
      <c r="AB421" s="1"/>
      <c r="AC421" s="1"/>
      <c r="AD421" s="1"/>
      <c r="AE421" s="1"/>
      <c r="AF421" s="1"/>
      <c r="AG421" s="1"/>
      <c r="AH421" s="1"/>
      <c r="AI421" s="1"/>
      <c r="AJ421" s="1"/>
      <c r="AK421" s="1"/>
      <c r="AL421" s="1"/>
      <c r="AM421" s="1"/>
      <c r="AN421" s="1"/>
      <c r="AO421" s="1"/>
      <c r="AP421" s="1"/>
      <c r="AQ421" s="1"/>
      <c r="AR421" s="1"/>
      <c r="AS421" s="1"/>
      <c r="AT421" s="1"/>
      <c r="AU421" s="1"/>
      <c r="AV421" s="1">
        <f>SUM($AT421,Z421:$AA421)-SUM($AV$5:AV$5)*$J421-SUM($AV$6:AV$6)*$K421</f>
        <v>0</v>
      </c>
      <c r="AW421" s="1">
        <f>SUM($AT421,$AA421:AA421)-SUM($AV$5:AW$5)*$J421-SUM($AV$6:AW$6)*$K421</f>
        <v>0</v>
      </c>
      <c r="AX421" s="1">
        <f>SUM($AT421,$AA421:AB421)-SUM($AV$5:AX$5)*$J421-SUM($AV$6:AX$6)*$K421</f>
        <v>0</v>
      </c>
      <c r="AY421" s="1">
        <f>SUM($AT421,$AA421:AC421)-SUM($AV$5:AY$5)*$J421-SUM($AV$6:AY$6)*$K421</f>
        <v>0</v>
      </c>
      <c r="AZ421" s="1">
        <f>SUM($AT421,$AA421:AD421)-SUM($AV$5:AZ$5)*$J421-SUM($AV$6:AZ$6)*$K421</f>
        <v>-560</v>
      </c>
      <c r="BA421" s="1">
        <f>SUM($AT421,$AA421:AE421)-SUM($AV$5:BA$5)*$J421-SUM($AV$6:BA$6)*$K421</f>
        <v>-1120</v>
      </c>
      <c r="BB421" s="1">
        <f>SUM($AT421,$AA421:AF421)-SUM($AV$5:BB$5)*$J421-SUM($AV$6:BB$6)*$K421</f>
        <v>-1680</v>
      </c>
      <c r="BC421" s="1">
        <f>SUM($AT421,$AA421:AG421)-SUM($AV$5:BC$5)*$J421-SUM($AV$6:BC$6)*$K421</f>
        <v>-2240</v>
      </c>
      <c r="BD421" s="1">
        <f>SUM($AT421,$AA421:AH421)-SUM($AV$5:BD$5)*$J421-SUM($AV$6:BD$6)*$K421</f>
        <v>-2800</v>
      </c>
      <c r="BE421" s="1">
        <f>SUM($AT421,$AA421:AI421)-SUM($AV$5:BE$5)*$J421-SUM($AV$6:BE$6)*$K421</f>
        <v>-3360</v>
      </c>
      <c r="BF421" s="1">
        <f>SUM($AT421,$AA421:AJ421)-SUM($AV$5:BF$5)*$J421-SUM($AV$6:BF$6)*$K421</f>
        <v>-3920</v>
      </c>
      <c r="BG421" s="1">
        <f>SUM($AT421,$AA421:AK421)-SUM($AV$5:BG$5)*$J421-SUM($AV$6:BG$6)*$K421</f>
        <v>-4480</v>
      </c>
      <c r="BH421" s="1">
        <f>SUM($AT421,$AA421:AL421)-SUM($AV$5:BH$5)*$J421-SUM($AV$6:BH$6)*$K421</f>
        <v>-5040</v>
      </c>
      <c r="BI421" s="1">
        <f>SUM($AT421,$AA421:AM421)-SUM($AV$5:BI$5)*$J421-SUM($AV$6:BI$6)*$K421</f>
        <v>-5600</v>
      </c>
      <c r="BJ421" s="1">
        <f>SUM($AT421,$AA421:AN421)-SUM($AV$5:BJ$5)*$J421-SUM($AV$6:BJ$6)*$K421</f>
        <v>-6160</v>
      </c>
      <c r="BK421" s="1">
        <f>SUM($AT421,$AA421:AO421)-SUM($AV$5:BK$5)*$J421-SUM($AV$6:BK$6)*$K421</f>
        <v>-6720</v>
      </c>
      <c r="BL421" s="1">
        <f>SUM($AT421,$AA421:AP421)-SUM($AV$5:BL$5)*$J421-SUM($AV$6:BL$6)*$K421</f>
        <v>-7280</v>
      </c>
      <c r="BM421" s="1">
        <f>SUM($AT421,$AA421:AQ421)-SUM($AV$5:BM$5)*$J421-SUM($AV$6:BM$6)*$K421</f>
        <v>-7840</v>
      </c>
      <c r="BN421" s="1">
        <f>SUM($AT421,$AA421:AR421)-SUM($AV$5:BN$5)*$J421-SUM($AV$6:BN$6)*$K421</f>
        <v>-8148</v>
      </c>
    </row>
    <row r="422" spans="1:66">
      <c r="A422" s="1">
        <v>29</v>
      </c>
      <c r="B422" s="28" t="s">
        <v>1305</v>
      </c>
      <c r="C422" s="1" t="s">
        <v>151</v>
      </c>
      <c r="D422" s="2">
        <v>400952147</v>
      </c>
      <c r="E422" s="3" t="s">
        <v>1306</v>
      </c>
      <c r="F422" s="1"/>
      <c r="G422" s="1" t="s">
        <v>42</v>
      </c>
      <c r="H422" s="1">
        <v>1</v>
      </c>
      <c r="I422" s="1">
        <v>1</v>
      </c>
      <c r="J422" s="1">
        <v>1</v>
      </c>
      <c r="K422" s="1">
        <v>0</v>
      </c>
      <c r="L422" s="1">
        <v>0</v>
      </c>
      <c r="M422" s="1">
        <f t="shared" si="16"/>
        <v>582</v>
      </c>
      <c r="N422" s="1">
        <f t="shared" si="17"/>
        <v>582</v>
      </c>
      <c r="O422" s="31" t="s">
        <v>1307</v>
      </c>
      <c r="P422" s="1"/>
      <c r="Q422" s="1">
        <v>28</v>
      </c>
      <c r="R422" s="1" t="s">
        <v>44</v>
      </c>
      <c r="S422" s="30" t="s">
        <v>145</v>
      </c>
      <c r="T422" s="31" t="s">
        <v>1307</v>
      </c>
      <c r="U422" s="1">
        <v>1</v>
      </c>
      <c r="V422" s="1">
        <v>1</v>
      </c>
      <c r="W422" s="1" t="s">
        <v>1308</v>
      </c>
      <c r="X422" s="33" t="s">
        <v>1309</v>
      </c>
      <c r="Y422" s="1" t="s">
        <v>1310</v>
      </c>
      <c r="Z422" s="2" t="s">
        <v>823</v>
      </c>
      <c r="AA422" s="1"/>
      <c r="AB422" s="1"/>
      <c r="AC422" s="1"/>
      <c r="AD422" s="1"/>
      <c r="AE422" s="1"/>
      <c r="AF422" s="1"/>
      <c r="AG422" s="1"/>
      <c r="AH422" s="1"/>
      <c r="AI422" s="1"/>
      <c r="AJ422" s="1"/>
      <c r="AK422" s="1"/>
      <c r="AL422" s="1"/>
      <c r="AM422" s="1"/>
      <c r="AN422" s="1"/>
      <c r="AO422" s="1"/>
      <c r="AP422" s="1"/>
      <c r="AQ422" s="1"/>
      <c r="AR422" s="1"/>
      <c r="AS422" s="1"/>
      <c r="AT422" s="1"/>
      <c r="AU422" s="1"/>
      <c r="AV422" s="1">
        <f>SUM($AT422,Z422:$AA422)-SUM($AV$5:AV$5)*$J422-SUM($AV$6:AV$6)*$K422</f>
        <v>0</v>
      </c>
      <c r="AW422" s="1">
        <f>SUM($AT422,$AA422:AA422)-SUM($AV$5:AW$5)*$J422-SUM($AV$6:AW$6)*$K422</f>
        <v>0</v>
      </c>
      <c r="AX422" s="1">
        <f>SUM($AT422,$AA422:AB422)-SUM($AV$5:AX$5)*$J422-SUM($AV$6:AX$6)*$K422</f>
        <v>0</v>
      </c>
      <c r="AY422" s="1">
        <f>SUM($AT422,$AA422:AC422)-SUM($AV$5:AY$5)*$J422-SUM($AV$6:AY$6)*$K422</f>
        <v>0</v>
      </c>
      <c r="AZ422" s="1">
        <f>SUM($AT422,$AA422:AD422)-SUM($AV$5:AZ$5)*$J422-SUM($AV$6:AZ$6)*$K422</f>
        <v>-40</v>
      </c>
      <c r="BA422" s="1">
        <f>SUM($AT422,$AA422:AE422)-SUM($AV$5:BA$5)*$J422-SUM($AV$6:BA$6)*$K422</f>
        <v>-80</v>
      </c>
      <c r="BB422" s="1">
        <f>SUM($AT422,$AA422:AF422)-SUM($AV$5:BB$5)*$J422-SUM($AV$6:BB$6)*$K422</f>
        <v>-120</v>
      </c>
      <c r="BC422" s="1">
        <f>SUM($AT422,$AA422:AG422)-SUM($AV$5:BC$5)*$J422-SUM($AV$6:BC$6)*$K422</f>
        <v>-160</v>
      </c>
      <c r="BD422" s="1">
        <f>SUM($AT422,$AA422:AH422)-SUM($AV$5:BD$5)*$J422-SUM($AV$6:BD$6)*$K422</f>
        <v>-200</v>
      </c>
      <c r="BE422" s="1">
        <f>SUM($AT422,$AA422:AI422)-SUM($AV$5:BE$5)*$J422-SUM($AV$6:BE$6)*$K422</f>
        <v>-240</v>
      </c>
      <c r="BF422" s="1">
        <f>SUM($AT422,$AA422:AJ422)-SUM($AV$5:BF$5)*$J422-SUM($AV$6:BF$6)*$K422</f>
        <v>-280</v>
      </c>
      <c r="BG422" s="1">
        <f>SUM($AT422,$AA422:AK422)-SUM($AV$5:BG$5)*$J422-SUM($AV$6:BG$6)*$K422</f>
        <v>-320</v>
      </c>
      <c r="BH422" s="1">
        <f>SUM($AT422,$AA422:AL422)-SUM($AV$5:BH$5)*$J422-SUM($AV$6:BH$6)*$K422</f>
        <v>-360</v>
      </c>
      <c r="BI422" s="1">
        <f>SUM($AT422,$AA422:AM422)-SUM($AV$5:BI$5)*$J422-SUM($AV$6:BI$6)*$K422</f>
        <v>-400</v>
      </c>
      <c r="BJ422" s="1">
        <f>SUM($AT422,$AA422:AN422)-SUM($AV$5:BJ$5)*$J422-SUM($AV$6:BJ$6)*$K422</f>
        <v>-440</v>
      </c>
      <c r="BK422" s="1">
        <f>SUM($AT422,$AA422:AO422)-SUM($AV$5:BK$5)*$J422-SUM($AV$6:BK$6)*$K422</f>
        <v>-480</v>
      </c>
      <c r="BL422" s="1">
        <f>SUM($AT422,$AA422:AP422)-SUM($AV$5:BL$5)*$J422-SUM($AV$6:BL$6)*$K422</f>
        <v>-520</v>
      </c>
      <c r="BM422" s="1">
        <f>SUM($AT422,$AA422:AQ422)-SUM($AV$5:BM$5)*$J422-SUM($AV$6:BM$6)*$K422</f>
        <v>-560</v>
      </c>
      <c r="BN422" s="1">
        <f>SUM($AT422,$AA422:AR422)-SUM($AV$5:BN$5)*$J422-SUM($AV$6:BN$6)*$K422</f>
        <v>-582</v>
      </c>
    </row>
    <row r="423" spans="1:66">
      <c r="A423" s="1">
        <v>386</v>
      </c>
      <c r="B423" s="28" t="s">
        <v>1311</v>
      </c>
      <c r="C423" s="1" t="s">
        <v>40</v>
      </c>
      <c r="D423" s="2">
        <v>403882064</v>
      </c>
      <c r="E423" s="3" t="s">
        <v>1312</v>
      </c>
      <c r="F423" s="1"/>
      <c r="G423" s="1" t="s">
        <v>42</v>
      </c>
      <c r="H423" s="1">
        <v>2</v>
      </c>
      <c r="I423" s="1">
        <v>1</v>
      </c>
      <c r="J423" s="1">
        <v>1</v>
      </c>
      <c r="K423" s="1">
        <v>0</v>
      </c>
      <c r="L423" s="1">
        <v>0</v>
      </c>
      <c r="M423" s="1">
        <f t="shared" si="16"/>
        <v>582</v>
      </c>
      <c r="N423" s="1">
        <f t="shared" si="17"/>
        <v>582</v>
      </c>
      <c r="O423" s="2" t="s">
        <v>368</v>
      </c>
      <c r="P423" s="1"/>
      <c r="Q423" s="1">
        <v>178.55</v>
      </c>
      <c r="R423" s="1" t="s">
        <v>44</v>
      </c>
      <c r="S423" s="30" t="s">
        <v>111</v>
      </c>
      <c r="T423" s="31" t="s">
        <v>369</v>
      </c>
      <c r="U423" s="1">
        <v>1</v>
      </c>
      <c r="V423" s="1">
        <v>1</v>
      </c>
      <c r="W423" s="1" t="s">
        <v>370</v>
      </c>
      <c r="X423" s="33" t="s">
        <v>371</v>
      </c>
      <c r="Y423" s="1" t="s">
        <v>372</v>
      </c>
      <c r="Z423" s="2" t="s">
        <v>368</v>
      </c>
      <c r="AA423" s="1"/>
      <c r="AB423" s="1"/>
      <c r="AC423" s="1"/>
      <c r="AD423" s="1"/>
      <c r="AE423" s="1"/>
      <c r="AF423" s="1"/>
      <c r="AG423" s="1"/>
      <c r="AH423" s="1"/>
      <c r="AI423" s="1"/>
      <c r="AJ423" s="1"/>
      <c r="AK423" s="1"/>
      <c r="AL423" s="1"/>
      <c r="AM423" s="1"/>
      <c r="AN423" s="1"/>
      <c r="AO423" s="1"/>
      <c r="AP423" s="1"/>
      <c r="AQ423" s="1"/>
      <c r="AR423" s="1"/>
      <c r="AS423" s="1"/>
      <c r="AT423" s="1"/>
      <c r="AU423" s="1"/>
      <c r="AV423" s="1">
        <f>SUM($AT423,Z423:$AA423)-SUM($AV$5:AV$5)*$J423-SUM($AV$6:AV$6)*$K423</f>
        <v>0</v>
      </c>
      <c r="AW423" s="1">
        <f>SUM($AT423,$AA423:AA423)-SUM($AV$5:AW$5)*$J423-SUM($AV$6:AW$6)*$K423</f>
        <v>0</v>
      </c>
      <c r="AX423" s="1">
        <f>SUM($AT423,$AA423:AB423)-SUM($AV$5:AX$5)*$J423-SUM($AV$6:AX$6)*$K423</f>
        <v>0</v>
      </c>
      <c r="AY423" s="1">
        <f>SUM($AT423,$AA423:AC423)-SUM($AV$5:AY$5)*$J423-SUM($AV$6:AY$6)*$K423</f>
        <v>0</v>
      </c>
      <c r="AZ423" s="1">
        <f>SUM($AT423,$AA423:AD423)-SUM($AV$5:AZ$5)*$J423-SUM($AV$6:AZ$6)*$K423</f>
        <v>-40</v>
      </c>
      <c r="BA423" s="1">
        <f>SUM($AT423,$AA423:AE423)-SUM($AV$5:BA$5)*$J423-SUM($AV$6:BA$6)*$K423</f>
        <v>-80</v>
      </c>
      <c r="BB423" s="1">
        <f>SUM($AT423,$AA423:AF423)-SUM($AV$5:BB$5)*$J423-SUM($AV$6:BB$6)*$K423</f>
        <v>-120</v>
      </c>
      <c r="BC423" s="1">
        <f>SUM($AT423,$AA423:AG423)-SUM($AV$5:BC$5)*$J423-SUM($AV$6:BC$6)*$K423</f>
        <v>-160</v>
      </c>
      <c r="BD423" s="1">
        <f>SUM($AT423,$AA423:AH423)-SUM($AV$5:BD$5)*$J423-SUM($AV$6:BD$6)*$K423</f>
        <v>-200</v>
      </c>
      <c r="BE423" s="1">
        <f>SUM($AT423,$AA423:AI423)-SUM($AV$5:BE$5)*$J423-SUM($AV$6:BE$6)*$K423</f>
        <v>-240</v>
      </c>
      <c r="BF423" s="1">
        <f>SUM($AT423,$AA423:AJ423)-SUM($AV$5:BF$5)*$J423-SUM($AV$6:BF$6)*$K423</f>
        <v>-280</v>
      </c>
      <c r="BG423" s="1">
        <f>SUM($AT423,$AA423:AK423)-SUM($AV$5:BG$5)*$J423-SUM($AV$6:BG$6)*$K423</f>
        <v>-320</v>
      </c>
      <c r="BH423" s="1">
        <f>SUM($AT423,$AA423:AL423)-SUM($AV$5:BH$5)*$J423-SUM($AV$6:BH$6)*$K423</f>
        <v>-360</v>
      </c>
      <c r="BI423" s="1">
        <f>SUM($AT423,$AA423:AM423)-SUM($AV$5:BI$5)*$J423-SUM($AV$6:BI$6)*$K423</f>
        <v>-400</v>
      </c>
      <c r="BJ423" s="1">
        <f>SUM($AT423,$AA423:AN423)-SUM($AV$5:BJ$5)*$J423-SUM($AV$6:BJ$6)*$K423</f>
        <v>-440</v>
      </c>
      <c r="BK423" s="1">
        <f>SUM($AT423,$AA423:AO423)-SUM($AV$5:BK$5)*$J423-SUM($AV$6:BK$6)*$K423</f>
        <v>-480</v>
      </c>
      <c r="BL423" s="1">
        <f>SUM($AT423,$AA423:AP423)-SUM($AV$5:BL$5)*$J423-SUM($AV$6:BL$6)*$K423</f>
        <v>-520</v>
      </c>
      <c r="BM423" s="1">
        <f>SUM($AT423,$AA423:AQ423)-SUM($AV$5:BM$5)*$J423-SUM($AV$6:BM$6)*$K423</f>
        <v>-560</v>
      </c>
      <c r="BN423" s="1">
        <f>SUM($AT423,$AA423:AR423)-SUM($AV$5:BN$5)*$J423-SUM($AV$6:BN$6)*$K423</f>
        <v>-582</v>
      </c>
    </row>
    <row r="424" spans="1:66">
      <c r="A424" s="34">
        <v>387</v>
      </c>
      <c r="B424" s="35" t="s">
        <v>1313</v>
      </c>
      <c r="C424" s="34" t="s">
        <v>40</v>
      </c>
      <c r="D424" s="29">
        <v>425279834</v>
      </c>
      <c r="E424" s="36" t="s">
        <v>1314</v>
      </c>
      <c r="F424" s="34"/>
      <c r="G424" s="34" t="s">
        <v>42</v>
      </c>
      <c r="H424" s="34">
        <v>1</v>
      </c>
      <c r="I424" s="34">
        <v>16</v>
      </c>
      <c r="J424" s="34">
        <v>16</v>
      </c>
      <c r="K424" s="34">
        <v>0</v>
      </c>
      <c r="L424" s="34">
        <v>0</v>
      </c>
      <c r="M424" s="34">
        <f t="shared" si="16"/>
        <v>9312</v>
      </c>
      <c r="N424" s="1">
        <f t="shared" si="17"/>
        <v>9312</v>
      </c>
      <c r="O424" s="37" t="s">
        <v>160</v>
      </c>
      <c r="P424" s="1"/>
      <c r="Q424" s="34"/>
      <c r="R424" s="1"/>
      <c r="S424" s="38"/>
      <c r="T424" s="39"/>
      <c r="U424" s="34"/>
      <c r="V424" s="34"/>
      <c r="W424" s="34"/>
      <c r="X424" s="40"/>
      <c r="Y424" s="34"/>
      <c r="Z424" s="29" t="s">
        <v>160</v>
      </c>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1">
        <f>SUM($AT424,Z424:$AA424)-SUM($AV$5:AV$5)*$J424-SUM($AV$6:AV$6)*$K424</f>
        <v>0</v>
      </c>
      <c r="AW424" s="1">
        <f>SUM($AT424,$AA424:AA424)-SUM($AV$5:AW$5)*$J424-SUM($AV$6:AW$6)*$K424</f>
        <v>0</v>
      </c>
      <c r="AX424" s="1">
        <f>SUM($AT424,$AA424:AB424)-SUM($AV$5:AX$5)*$J424-SUM($AV$6:AX$6)*$K424</f>
        <v>0</v>
      </c>
      <c r="AY424" s="1">
        <f>SUM($AT424,$AA424:AC424)-SUM($AV$5:AY$5)*$J424-SUM($AV$6:AY$6)*$K424</f>
        <v>0</v>
      </c>
      <c r="AZ424" s="1">
        <f>SUM($AT424,$AA424:AD424)-SUM($AV$5:AZ$5)*$J424-SUM($AV$6:AZ$6)*$K424</f>
        <v>-640</v>
      </c>
      <c r="BA424" s="1">
        <f>SUM($AT424,$AA424:AE424)-SUM($AV$5:BA$5)*$J424-SUM($AV$6:BA$6)*$K424</f>
        <v>-1280</v>
      </c>
      <c r="BB424" s="1">
        <f>SUM($AT424,$AA424:AF424)-SUM($AV$5:BB$5)*$J424-SUM($AV$6:BB$6)*$K424</f>
        <v>-1920</v>
      </c>
      <c r="BC424" s="1">
        <f>SUM($AT424,$AA424:AG424)-SUM($AV$5:BC$5)*$J424-SUM($AV$6:BC$6)*$K424</f>
        <v>-2560</v>
      </c>
      <c r="BD424" s="1">
        <f>SUM($AT424,$AA424:AH424)-SUM($AV$5:BD$5)*$J424-SUM($AV$6:BD$6)*$K424</f>
        <v>-3200</v>
      </c>
      <c r="BE424" s="1">
        <f>SUM($AT424,$AA424:AI424)-SUM($AV$5:BE$5)*$J424-SUM($AV$6:BE$6)*$K424</f>
        <v>-3840</v>
      </c>
      <c r="BF424" s="1">
        <f>SUM($AT424,$AA424:AJ424)-SUM($AV$5:BF$5)*$J424-SUM($AV$6:BF$6)*$K424</f>
        <v>-4480</v>
      </c>
      <c r="BG424" s="1">
        <f>SUM($AT424,$AA424:AK424)-SUM($AV$5:BG$5)*$J424-SUM($AV$6:BG$6)*$K424</f>
        <v>-5120</v>
      </c>
      <c r="BH424" s="1">
        <f>SUM($AT424,$AA424:AL424)-SUM($AV$5:BH$5)*$J424-SUM($AV$6:BH$6)*$K424</f>
        <v>-5760</v>
      </c>
      <c r="BI424" s="1">
        <f>SUM($AT424,$AA424:AM424)-SUM($AV$5:BI$5)*$J424-SUM($AV$6:BI$6)*$K424</f>
        <v>-6400</v>
      </c>
      <c r="BJ424" s="1">
        <f>SUM($AT424,$AA424:AN424)-SUM($AV$5:BJ$5)*$J424-SUM($AV$6:BJ$6)*$K424</f>
        <v>-7040</v>
      </c>
      <c r="BK424" s="1">
        <f>SUM($AT424,$AA424:AO424)-SUM($AV$5:BK$5)*$J424-SUM($AV$6:BK$6)*$K424</f>
        <v>-7680</v>
      </c>
      <c r="BL424" s="1">
        <f>SUM($AT424,$AA424:AP424)-SUM($AV$5:BL$5)*$J424-SUM($AV$6:BL$6)*$K424</f>
        <v>-8320</v>
      </c>
      <c r="BM424" s="1">
        <f>SUM($AT424,$AA424:AQ424)-SUM($AV$5:BM$5)*$J424-SUM($AV$6:BM$6)*$K424</f>
        <v>-8960</v>
      </c>
      <c r="BN424" s="1">
        <f>SUM($AT424,$AA424:AR424)-SUM($AV$5:BN$5)*$J424-SUM($AV$6:BN$6)*$K424</f>
        <v>-9312</v>
      </c>
    </row>
    <row r="425" spans="1:66">
      <c r="A425" s="1">
        <v>392</v>
      </c>
      <c r="B425" s="45" t="s">
        <v>1315</v>
      </c>
      <c r="C425" s="1" t="s">
        <v>176</v>
      </c>
      <c r="D425" s="2">
        <v>400624402</v>
      </c>
      <c r="E425" s="3" t="s">
        <v>1316</v>
      </c>
      <c r="F425" s="1"/>
      <c r="G425" s="1" t="s">
        <v>42</v>
      </c>
      <c r="H425" s="1">
        <v>1</v>
      </c>
      <c r="I425" s="1">
        <v>1</v>
      </c>
      <c r="J425" s="1">
        <v>1</v>
      </c>
      <c r="K425" s="1">
        <v>0</v>
      </c>
      <c r="L425" s="1">
        <v>0</v>
      </c>
      <c r="M425" s="1">
        <f t="shared" si="16"/>
        <v>582</v>
      </c>
      <c r="N425" s="1">
        <f t="shared" si="17"/>
        <v>582</v>
      </c>
      <c r="O425" s="2" t="s">
        <v>215</v>
      </c>
      <c r="P425" s="1"/>
      <c r="Q425" s="1">
        <v>13.34</v>
      </c>
      <c r="R425" s="1" t="s">
        <v>44</v>
      </c>
      <c r="S425" s="30" t="s">
        <v>897</v>
      </c>
      <c r="T425" s="31" t="s">
        <v>215</v>
      </c>
      <c r="U425" s="1"/>
      <c r="V425" s="1">
        <v>500</v>
      </c>
      <c r="W425" s="1" t="s">
        <v>216</v>
      </c>
      <c r="X425" s="32" t="s">
        <v>217</v>
      </c>
      <c r="Y425" s="1" t="s">
        <v>218</v>
      </c>
      <c r="Z425" s="2" t="s">
        <v>215</v>
      </c>
      <c r="AA425" s="1"/>
      <c r="AB425" s="1"/>
      <c r="AC425" s="1"/>
      <c r="AD425" s="1"/>
      <c r="AE425" s="1"/>
      <c r="AF425" s="1"/>
      <c r="AG425" s="1"/>
      <c r="AH425" s="1"/>
      <c r="AI425" s="1"/>
      <c r="AJ425" s="1"/>
      <c r="AK425" s="1"/>
      <c r="AL425" s="1"/>
      <c r="AM425" s="1"/>
      <c r="AN425" s="1"/>
      <c r="AO425" s="1"/>
      <c r="AP425" s="1"/>
      <c r="AQ425" s="1"/>
      <c r="AR425" s="1"/>
      <c r="AS425" s="1"/>
      <c r="AT425" s="1"/>
      <c r="AU425" s="1"/>
      <c r="AV425" s="1">
        <f>SUM($AT425,Z425:$AA425)-SUM($AV$5:AV$5)*$J425-SUM($AV$6:AV$6)*$K425</f>
        <v>0</v>
      </c>
      <c r="AW425" s="1">
        <f>SUM($AT425,$AA425:AA425)-SUM($AV$5:AW$5)*$J425-SUM($AV$6:AW$6)*$K425</f>
        <v>0</v>
      </c>
      <c r="AX425" s="1">
        <f>SUM($AT425,$AA425:AB425)-SUM($AV$5:AX$5)*$J425-SUM($AV$6:AX$6)*$K425</f>
        <v>0</v>
      </c>
      <c r="AY425" s="1">
        <f>SUM($AT425,$AA425:AC425)-SUM($AV$5:AY$5)*$J425-SUM($AV$6:AY$6)*$K425</f>
        <v>0</v>
      </c>
      <c r="AZ425" s="1">
        <f>SUM($AT425,$AA425:AD425)-SUM($AV$5:AZ$5)*$J425-SUM($AV$6:AZ$6)*$K425</f>
        <v>-40</v>
      </c>
      <c r="BA425" s="1">
        <f>SUM($AT425,$AA425:AE425)-SUM($AV$5:BA$5)*$J425-SUM($AV$6:BA$6)*$K425</f>
        <v>-80</v>
      </c>
      <c r="BB425" s="1">
        <f>SUM($AT425,$AA425:AF425)-SUM($AV$5:BB$5)*$J425-SUM($AV$6:BB$6)*$K425</f>
        <v>-120</v>
      </c>
      <c r="BC425" s="1">
        <f>SUM($AT425,$AA425:AG425)-SUM($AV$5:BC$5)*$J425-SUM($AV$6:BC$6)*$K425</f>
        <v>-160</v>
      </c>
      <c r="BD425" s="1">
        <f>SUM($AT425,$AA425:AH425)-SUM($AV$5:BD$5)*$J425-SUM($AV$6:BD$6)*$K425</f>
        <v>-200</v>
      </c>
      <c r="BE425" s="1">
        <f>SUM($AT425,$AA425:AI425)-SUM($AV$5:BE$5)*$J425-SUM($AV$6:BE$6)*$K425</f>
        <v>-240</v>
      </c>
      <c r="BF425" s="1">
        <f>SUM($AT425,$AA425:AJ425)-SUM($AV$5:BF$5)*$J425-SUM($AV$6:BF$6)*$K425</f>
        <v>-280</v>
      </c>
      <c r="BG425" s="1">
        <f>SUM($AT425,$AA425:AK425)-SUM($AV$5:BG$5)*$J425-SUM($AV$6:BG$6)*$K425</f>
        <v>-320</v>
      </c>
      <c r="BH425" s="1">
        <f>SUM($AT425,$AA425:AL425)-SUM($AV$5:BH$5)*$J425-SUM($AV$6:BH$6)*$K425</f>
        <v>-360</v>
      </c>
      <c r="BI425" s="1">
        <f>SUM($AT425,$AA425:AM425)-SUM($AV$5:BI$5)*$J425-SUM($AV$6:BI$6)*$K425</f>
        <v>-400</v>
      </c>
      <c r="BJ425" s="1">
        <f>SUM($AT425,$AA425:AN425)-SUM($AV$5:BJ$5)*$J425-SUM($AV$6:BJ$6)*$K425</f>
        <v>-440</v>
      </c>
      <c r="BK425" s="1">
        <f>SUM($AT425,$AA425:AO425)-SUM($AV$5:BK$5)*$J425-SUM($AV$6:BK$6)*$K425</f>
        <v>-480</v>
      </c>
      <c r="BL425" s="1">
        <f>SUM($AT425,$AA425:AP425)-SUM($AV$5:BL$5)*$J425-SUM($AV$6:BL$6)*$K425</f>
        <v>-520</v>
      </c>
      <c r="BM425" s="1">
        <f>SUM($AT425,$AA425:AQ425)-SUM($AV$5:BM$5)*$J425-SUM($AV$6:BM$6)*$K425</f>
        <v>-560</v>
      </c>
      <c r="BN425" s="1">
        <f>SUM($AT425,$AA425:AR425)-SUM($AV$5:BN$5)*$J425-SUM($AV$6:BN$6)*$K425</f>
        <v>-582</v>
      </c>
    </row>
    <row r="426" spans="1:66">
      <c r="A426" s="1">
        <v>393</v>
      </c>
      <c r="B426" s="45" t="s">
        <v>1317</v>
      </c>
      <c r="C426" s="1" t="s">
        <v>176</v>
      </c>
      <c r="D426" s="2">
        <v>400610120</v>
      </c>
      <c r="E426" s="3" t="s">
        <v>1318</v>
      </c>
      <c r="F426" s="1"/>
      <c r="G426" s="1" t="s">
        <v>42</v>
      </c>
      <c r="H426" s="1">
        <v>1</v>
      </c>
      <c r="I426" s="1">
        <v>1</v>
      </c>
      <c r="J426" s="1">
        <v>1</v>
      </c>
      <c r="K426" s="1">
        <v>0</v>
      </c>
      <c r="L426" s="1">
        <v>0</v>
      </c>
      <c r="M426" s="1">
        <f t="shared" si="16"/>
        <v>582</v>
      </c>
      <c r="N426" s="1">
        <f t="shared" si="17"/>
        <v>582</v>
      </c>
      <c r="O426" s="2" t="s">
        <v>215</v>
      </c>
      <c r="P426" s="1"/>
      <c r="Q426" s="1">
        <v>18.05</v>
      </c>
      <c r="R426" s="1" t="s">
        <v>44</v>
      </c>
      <c r="S426" s="30" t="s">
        <v>1319</v>
      </c>
      <c r="T426" s="31" t="s">
        <v>215</v>
      </c>
      <c r="U426" s="1"/>
      <c r="V426" s="1">
        <v>2000</v>
      </c>
      <c r="W426" s="1" t="s">
        <v>216</v>
      </c>
      <c r="X426" s="32" t="s">
        <v>217</v>
      </c>
      <c r="Y426" s="1" t="s">
        <v>218</v>
      </c>
      <c r="Z426" s="2" t="s">
        <v>215</v>
      </c>
      <c r="AA426" s="1"/>
      <c r="AB426" s="1"/>
      <c r="AC426" s="1"/>
      <c r="AD426" s="1"/>
      <c r="AE426" s="1"/>
      <c r="AF426" s="1"/>
      <c r="AG426" s="1"/>
      <c r="AH426" s="1"/>
      <c r="AI426" s="1"/>
      <c r="AJ426" s="1"/>
      <c r="AK426" s="1"/>
      <c r="AL426" s="1"/>
      <c r="AM426" s="1"/>
      <c r="AN426" s="1"/>
      <c r="AO426" s="1"/>
      <c r="AP426" s="1"/>
      <c r="AQ426" s="1"/>
      <c r="AR426" s="1"/>
      <c r="AS426" s="1"/>
      <c r="AT426" s="1"/>
      <c r="AU426" s="1"/>
      <c r="AV426" s="1">
        <f>SUM($AT426,Z426:$AA426)-SUM($AV$5:AV$5)*$J426-SUM($AV$6:AV$6)*$K426</f>
        <v>0</v>
      </c>
      <c r="AW426" s="1">
        <f>SUM($AT426,$AA426:AA426)-SUM($AV$5:AW$5)*$J426-SUM($AV$6:AW$6)*$K426</f>
        <v>0</v>
      </c>
      <c r="AX426" s="1">
        <f>SUM($AT426,$AA426:AB426)-SUM($AV$5:AX$5)*$J426-SUM($AV$6:AX$6)*$K426</f>
        <v>0</v>
      </c>
      <c r="AY426" s="1">
        <f>SUM($AT426,$AA426:AC426)-SUM($AV$5:AY$5)*$J426-SUM($AV$6:AY$6)*$K426</f>
        <v>0</v>
      </c>
      <c r="AZ426" s="1">
        <f>SUM($AT426,$AA426:AD426)-SUM($AV$5:AZ$5)*$J426-SUM($AV$6:AZ$6)*$K426</f>
        <v>-40</v>
      </c>
      <c r="BA426" s="1">
        <f>SUM($AT426,$AA426:AE426)-SUM($AV$5:BA$5)*$J426-SUM($AV$6:BA$6)*$K426</f>
        <v>-80</v>
      </c>
      <c r="BB426" s="1">
        <f>SUM($AT426,$AA426:AF426)-SUM($AV$5:BB$5)*$J426-SUM($AV$6:BB$6)*$K426</f>
        <v>-120</v>
      </c>
      <c r="BC426" s="1">
        <f>SUM($AT426,$AA426:AG426)-SUM($AV$5:BC$5)*$J426-SUM($AV$6:BC$6)*$K426</f>
        <v>-160</v>
      </c>
      <c r="BD426" s="1">
        <f>SUM($AT426,$AA426:AH426)-SUM($AV$5:BD$5)*$J426-SUM($AV$6:BD$6)*$K426</f>
        <v>-200</v>
      </c>
      <c r="BE426" s="1">
        <f>SUM($AT426,$AA426:AI426)-SUM($AV$5:BE$5)*$J426-SUM($AV$6:BE$6)*$K426</f>
        <v>-240</v>
      </c>
      <c r="BF426" s="1">
        <f>SUM($AT426,$AA426:AJ426)-SUM($AV$5:BF$5)*$J426-SUM($AV$6:BF$6)*$K426</f>
        <v>-280</v>
      </c>
      <c r="BG426" s="1">
        <f>SUM($AT426,$AA426:AK426)-SUM($AV$5:BG$5)*$J426-SUM($AV$6:BG$6)*$K426</f>
        <v>-320</v>
      </c>
      <c r="BH426" s="1">
        <f>SUM($AT426,$AA426:AL426)-SUM($AV$5:BH$5)*$J426-SUM($AV$6:BH$6)*$K426</f>
        <v>-360</v>
      </c>
      <c r="BI426" s="1">
        <f>SUM($AT426,$AA426:AM426)-SUM($AV$5:BI$5)*$J426-SUM($AV$6:BI$6)*$K426</f>
        <v>-400</v>
      </c>
      <c r="BJ426" s="1">
        <f>SUM($AT426,$AA426:AN426)-SUM($AV$5:BJ$5)*$J426-SUM($AV$6:BJ$6)*$K426</f>
        <v>-440</v>
      </c>
      <c r="BK426" s="1">
        <f>SUM($AT426,$AA426:AO426)-SUM($AV$5:BK$5)*$J426-SUM($AV$6:BK$6)*$K426</f>
        <v>-480</v>
      </c>
      <c r="BL426" s="1">
        <f>SUM($AT426,$AA426:AP426)-SUM($AV$5:BL$5)*$J426-SUM($AV$6:BL$6)*$K426</f>
        <v>-520</v>
      </c>
      <c r="BM426" s="1">
        <f>SUM($AT426,$AA426:AQ426)-SUM($AV$5:BM$5)*$J426-SUM($AV$6:BM$6)*$K426</f>
        <v>-560</v>
      </c>
      <c r="BN426" s="1">
        <f>SUM($AT426,$AA426:AR426)-SUM($AV$5:BN$5)*$J426-SUM($AV$6:BN$6)*$K426</f>
        <v>-582</v>
      </c>
    </row>
    <row r="427" spans="1:66">
      <c r="A427" s="1">
        <v>401</v>
      </c>
      <c r="B427" s="28" t="s">
        <v>1320</v>
      </c>
      <c r="C427" s="1" t="s">
        <v>40</v>
      </c>
      <c r="D427" s="2">
        <v>401248026</v>
      </c>
      <c r="E427" s="3" t="s">
        <v>1321</v>
      </c>
      <c r="F427" s="1"/>
      <c r="G427" s="1" t="s">
        <v>42</v>
      </c>
      <c r="H427" s="1">
        <v>1</v>
      </c>
      <c r="I427" s="1">
        <v>1</v>
      </c>
      <c r="J427" s="1">
        <v>1</v>
      </c>
      <c r="K427" s="1">
        <v>0</v>
      </c>
      <c r="L427" s="1">
        <v>0</v>
      </c>
      <c r="M427" s="1">
        <f t="shared" si="16"/>
        <v>582</v>
      </c>
      <c r="N427" s="1">
        <f t="shared" si="17"/>
        <v>582</v>
      </c>
      <c r="O427" s="2" t="s">
        <v>368</v>
      </c>
      <c r="P427" s="1"/>
      <c r="Q427" s="1">
        <v>15.55</v>
      </c>
      <c r="R427" s="1" t="s">
        <v>44</v>
      </c>
      <c r="S427" s="30" t="s">
        <v>76</v>
      </c>
      <c r="T427" s="31" t="s">
        <v>369</v>
      </c>
      <c r="U427" s="1"/>
      <c r="V427" s="1">
        <v>90</v>
      </c>
      <c r="W427" s="1" t="s">
        <v>370</v>
      </c>
      <c r="X427" s="32" t="s">
        <v>371</v>
      </c>
      <c r="Y427" s="1" t="s">
        <v>372</v>
      </c>
      <c r="Z427" s="2" t="s">
        <v>368</v>
      </c>
      <c r="AA427" s="1"/>
      <c r="AB427" s="1"/>
      <c r="AC427" s="1"/>
      <c r="AD427" s="1"/>
      <c r="AE427" s="1"/>
      <c r="AF427" s="1"/>
      <c r="AG427" s="1"/>
      <c r="AH427" s="1"/>
      <c r="AI427" s="1"/>
      <c r="AJ427" s="1"/>
      <c r="AK427" s="1"/>
      <c r="AL427" s="1"/>
      <c r="AM427" s="1"/>
      <c r="AN427" s="1"/>
      <c r="AO427" s="1"/>
      <c r="AP427" s="1"/>
      <c r="AQ427" s="1"/>
      <c r="AR427" s="1"/>
      <c r="AS427" s="1"/>
      <c r="AT427" s="1"/>
      <c r="AU427" s="1"/>
      <c r="AV427" s="1">
        <f>SUM($AT427,Z427:$AA427)-SUM($AV$5:AV$5)*$J427-SUM($AV$6:AV$6)*$K427</f>
        <v>0</v>
      </c>
      <c r="AW427" s="1">
        <f>SUM($AT427,$AA427:AA427)-SUM($AV$5:AW$5)*$J427-SUM($AV$6:AW$6)*$K427</f>
        <v>0</v>
      </c>
      <c r="AX427" s="1">
        <f>SUM($AT427,$AA427:AB427)-SUM($AV$5:AX$5)*$J427-SUM($AV$6:AX$6)*$K427</f>
        <v>0</v>
      </c>
      <c r="AY427" s="1">
        <f>SUM($AT427,$AA427:AC427)-SUM($AV$5:AY$5)*$J427-SUM($AV$6:AY$6)*$K427</f>
        <v>0</v>
      </c>
      <c r="AZ427" s="1">
        <f>SUM($AT427,$AA427:AD427)-SUM($AV$5:AZ$5)*$J427-SUM($AV$6:AZ$6)*$K427</f>
        <v>-40</v>
      </c>
      <c r="BA427" s="1">
        <f>SUM($AT427,$AA427:AE427)-SUM($AV$5:BA$5)*$J427-SUM($AV$6:BA$6)*$K427</f>
        <v>-80</v>
      </c>
      <c r="BB427" s="1">
        <f>SUM($AT427,$AA427:AF427)-SUM($AV$5:BB$5)*$J427-SUM($AV$6:BB$6)*$K427</f>
        <v>-120</v>
      </c>
      <c r="BC427" s="1">
        <f>SUM($AT427,$AA427:AG427)-SUM($AV$5:BC$5)*$J427-SUM($AV$6:BC$6)*$K427</f>
        <v>-160</v>
      </c>
      <c r="BD427" s="1">
        <f>SUM($AT427,$AA427:AH427)-SUM($AV$5:BD$5)*$J427-SUM($AV$6:BD$6)*$K427</f>
        <v>-200</v>
      </c>
      <c r="BE427" s="1">
        <f>SUM($AT427,$AA427:AI427)-SUM($AV$5:BE$5)*$J427-SUM($AV$6:BE$6)*$K427</f>
        <v>-240</v>
      </c>
      <c r="BF427" s="1">
        <f>SUM($AT427,$AA427:AJ427)-SUM($AV$5:BF$5)*$J427-SUM($AV$6:BF$6)*$K427</f>
        <v>-280</v>
      </c>
      <c r="BG427" s="1">
        <f>SUM($AT427,$AA427:AK427)-SUM($AV$5:BG$5)*$J427-SUM($AV$6:BG$6)*$K427</f>
        <v>-320</v>
      </c>
      <c r="BH427" s="1">
        <f>SUM($AT427,$AA427:AL427)-SUM($AV$5:BH$5)*$J427-SUM($AV$6:BH$6)*$K427</f>
        <v>-360</v>
      </c>
      <c r="BI427" s="1">
        <f>SUM($AT427,$AA427:AM427)-SUM($AV$5:BI$5)*$J427-SUM($AV$6:BI$6)*$K427</f>
        <v>-400</v>
      </c>
      <c r="BJ427" s="1">
        <f>SUM($AT427,$AA427:AN427)-SUM($AV$5:BJ$5)*$J427-SUM($AV$6:BJ$6)*$K427</f>
        <v>-440</v>
      </c>
      <c r="BK427" s="1">
        <f>SUM($AT427,$AA427:AO427)-SUM($AV$5:BK$5)*$J427-SUM($AV$6:BK$6)*$K427</f>
        <v>-480</v>
      </c>
      <c r="BL427" s="1">
        <f>SUM($AT427,$AA427:AP427)-SUM($AV$5:BL$5)*$J427-SUM($AV$6:BL$6)*$K427</f>
        <v>-520</v>
      </c>
      <c r="BM427" s="1">
        <f>SUM($AT427,$AA427:AQ427)-SUM($AV$5:BM$5)*$J427-SUM($AV$6:BM$6)*$K427</f>
        <v>-560</v>
      </c>
      <c r="BN427" s="1">
        <f>SUM($AT427,$AA427:AR427)-SUM($AV$5:BN$5)*$J427-SUM($AV$6:BN$6)*$K427</f>
        <v>-582</v>
      </c>
    </row>
    <row r="428" spans="1:66">
      <c r="A428" s="1">
        <v>428</v>
      </c>
      <c r="B428" s="28" t="s">
        <v>1322</v>
      </c>
      <c r="C428" s="1" t="s">
        <v>40</v>
      </c>
      <c r="D428" s="2">
        <v>400610123</v>
      </c>
      <c r="E428" s="3" t="s">
        <v>1323</v>
      </c>
      <c r="F428" s="1"/>
      <c r="G428" s="1" t="s">
        <v>42</v>
      </c>
      <c r="H428" s="1">
        <v>2</v>
      </c>
      <c r="I428" s="1">
        <v>1</v>
      </c>
      <c r="J428" s="1">
        <v>1</v>
      </c>
      <c r="K428" s="1">
        <v>0</v>
      </c>
      <c r="L428" s="1">
        <v>0</v>
      </c>
      <c r="M428" s="1">
        <f t="shared" si="16"/>
        <v>582</v>
      </c>
      <c r="N428" s="1">
        <f t="shared" si="17"/>
        <v>582</v>
      </c>
      <c r="O428" s="2" t="s">
        <v>1085</v>
      </c>
      <c r="P428" s="1"/>
      <c r="Q428" s="1">
        <v>6</v>
      </c>
      <c r="R428" s="1" t="s">
        <v>44</v>
      </c>
      <c r="S428" s="30" t="s">
        <v>303</v>
      </c>
      <c r="T428" s="31" t="s">
        <v>1086</v>
      </c>
      <c r="U428" s="1"/>
      <c r="V428" s="1">
        <v>100</v>
      </c>
      <c r="W428" s="1" t="s">
        <v>1087</v>
      </c>
      <c r="X428" s="32" t="s">
        <v>1088</v>
      </c>
      <c r="Y428" s="1" t="s">
        <v>1089</v>
      </c>
      <c r="Z428" s="2" t="s">
        <v>1085</v>
      </c>
      <c r="AA428" s="1"/>
      <c r="AB428" s="1"/>
      <c r="AC428" s="1"/>
      <c r="AD428" s="1"/>
      <c r="AE428" s="1"/>
      <c r="AF428" s="1"/>
      <c r="AG428" s="1"/>
      <c r="AH428" s="1"/>
      <c r="AI428" s="1"/>
      <c r="AJ428" s="1"/>
      <c r="AK428" s="1"/>
      <c r="AL428" s="1"/>
      <c r="AM428" s="1"/>
      <c r="AN428" s="1"/>
      <c r="AO428" s="1"/>
      <c r="AP428" s="1"/>
      <c r="AQ428" s="1"/>
      <c r="AR428" s="1"/>
      <c r="AS428" s="1"/>
      <c r="AT428" s="1"/>
      <c r="AU428" s="1"/>
      <c r="AV428" s="1">
        <f>SUM($AT428,Z428:$AA428)-SUM($AV$5:AV$5)*$J428-SUM($AV$6:AV$6)*$K428</f>
        <v>0</v>
      </c>
      <c r="AW428" s="1">
        <f>SUM($AT428,$AA428:AA428)-SUM($AV$5:AW$5)*$J428-SUM($AV$6:AW$6)*$K428</f>
        <v>0</v>
      </c>
      <c r="AX428" s="1">
        <f>SUM($AT428,$AA428:AB428)-SUM($AV$5:AX$5)*$J428-SUM($AV$6:AX$6)*$K428</f>
        <v>0</v>
      </c>
      <c r="AY428" s="1">
        <f>SUM($AT428,$AA428:AC428)-SUM($AV$5:AY$5)*$J428-SUM($AV$6:AY$6)*$K428</f>
        <v>0</v>
      </c>
      <c r="AZ428" s="1">
        <f>SUM($AT428,$AA428:AD428)-SUM($AV$5:AZ$5)*$J428-SUM($AV$6:AZ$6)*$K428</f>
        <v>-40</v>
      </c>
      <c r="BA428" s="1">
        <f>SUM($AT428,$AA428:AE428)-SUM($AV$5:BA$5)*$J428-SUM($AV$6:BA$6)*$K428</f>
        <v>-80</v>
      </c>
      <c r="BB428" s="1">
        <f>SUM($AT428,$AA428:AF428)-SUM($AV$5:BB$5)*$J428-SUM($AV$6:BB$6)*$K428</f>
        <v>-120</v>
      </c>
      <c r="BC428" s="1">
        <f>SUM($AT428,$AA428:AG428)-SUM($AV$5:BC$5)*$J428-SUM($AV$6:BC$6)*$K428</f>
        <v>-160</v>
      </c>
      <c r="BD428" s="1">
        <f>SUM($AT428,$AA428:AH428)-SUM($AV$5:BD$5)*$J428-SUM($AV$6:BD$6)*$K428</f>
        <v>-200</v>
      </c>
      <c r="BE428" s="1">
        <f>SUM($AT428,$AA428:AI428)-SUM($AV$5:BE$5)*$J428-SUM($AV$6:BE$6)*$K428</f>
        <v>-240</v>
      </c>
      <c r="BF428" s="1">
        <f>SUM($AT428,$AA428:AJ428)-SUM($AV$5:BF$5)*$J428-SUM($AV$6:BF$6)*$K428</f>
        <v>-280</v>
      </c>
      <c r="BG428" s="1">
        <f>SUM($AT428,$AA428:AK428)-SUM($AV$5:BG$5)*$J428-SUM($AV$6:BG$6)*$K428</f>
        <v>-320</v>
      </c>
      <c r="BH428" s="1">
        <f>SUM($AT428,$AA428:AL428)-SUM($AV$5:BH$5)*$J428-SUM($AV$6:BH$6)*$K428</f>
        <v>-360</v>
      </c>
      <c r="BI428" s="1">
        <f>SUM($AT428,$AA428:AM428)-SUM($AV$5:BI$5)*$J428-SUM($AV$6:BI$6)*$K428</f>
        <v>-400</v>
      </c>
      <c r="BJ428" s="1">
        <f>SUM($AT428,$AA428:AN428)-SUM($AV$5:BJ$5)*$J428-SUM($AV$6:BJ$6)*$K428</f>
        <v>-440</v>
      </c>
      <c r="BK428" s="1">
        <f>SUM($AT428,$AA428:AO428)-SUM($AV$5:BK$5)*$J428-SUM($AV$6:BK$6)*$K428</f>
        <v>-480</v>
      </c>
      <c r="BL428" s="1">
        <f>SUM($AT428,$AA428:AP428)-SUM($AV$5:BL$5)*$J428-SUM($AV$6:BL$6)*$K428</f>
        <v>-520</v>
      </c>
      <c r="BM428" s="1">
        <f>SUM($AT428,$AA428:AQ428)-SUM($AV$5:BM$5)*$J428-SUM($AV$6:BM$6)*$K428</f>
        <v>-560</v>
      </c>
      <c r="BN428" s="1">
        <f>SUM($AT428,$AA428:AR428)-SUM($AV$5:BN$5)*$J428-SUM($AV$6:BN$6)*$K428</f>
        <v>-582</v>
      </c>
    </row>
    <row r="429" spans="1:66">
      <c r="A429" s="1">
        <v>447</v>
      </c>
      <c r="B429" s="28" t="s">
        <v>1324</v>
      </c>
      <c r="C429" s="1" t="s">
        <v>40</v>
      </c>
      <c r="D429" s="2" t="s">
        <v>1325</v>
      </c>
      <c r="E429" s="3" t="s">
        <v>1326</v>
      </c>
      <c r="F429" s="1"/>
      <c r="G429" s="1" t="s">
        <v>42</v>
      </c>
      <c r="H429" s="1">
        <v>2</v>
      </c>
      <c r="I429" s="1">
        <v>1</v>
      </c>
      <c r="J429" s="1">
        <v>1</v>
      </c>
      <c r="K429" s="1">
        <v>0</v>
      </c>
      <c r="L429" s="1">
        <v>0</v>
      </c>
      <c r="M429" s="1">
        <f t="shared" si="16"/>
        <v>582</v>
      </c>
      <c r="N429" s="1">
        <f t="shared" si="17"/>
        <v>582</v>
      </c>
      <c r="O429" s="2" t="s">
        <v>90</v>
      </c>
      <c r="P429" s="1"/>
      <c r="Q429" s="1">
        <v>88.03</v>
      </c>
      <c r="R429" s="1" t="s">
        <v>44</v>
      </c>
      <c r="S429" s="30" t="s">
        <v>1327</v>
      </c>
      <c r="T429" s="31" t="s">
        <v>1210</v>
      </c>
      <c r="U429" s="1">
        <v>1</v>
      </c>
      <c r="V429" s="1">
        <v>1</v>
      </c>
      <c r="W429" s="1" t="s">
        <v>1211</v>
      </c>
      <c r="X429" s="32" t="s">
        <v>1212</v>
      </c>
      <c r="Y429" s="1" t="s">
        <v>1213</v>
      </c>
      <c r="Z429" s="2" t="s">
        <v>90</v>
      </c>
      <c r="AA429" s="1"/>
      <c r="AB429" s="1"/>
      <c r="AC429" s="1"/>
      <c r="AD429" s="1"/>
      <c r="AE429" s="1"/>
      <c r="AF429" s="1"/>
      <c r="AG429" s="1"/>
      <c r="AH429" s="1"/>
      <c r="AI429" s="1"/>
      <c r="AJ429" s="1"/>
      <c r="AK429" s="1"/>
      <c r="AL429" s="1"/>
      <c r="AM429" s="1"/>
      <c r="AN429" s="1"/>
      <c r="AO429" s="1"/>
      <c r="AP429" s="1"/>
      <c r="AQ429" s="1"/>
      <c r="AR429" s="1"/>
      <c r="AS429" s="1"/>
      <c r="AT429" s="1"/>
      <c r="AU429" s="1"/>
      <c r="AV429" s="1">
        <f>SUM($AT429,Z429:$AA429)-SUM($AV$5:AV$5)*$J429-SUM($AV$6:AV$6)*$K429</f>
        <v>0</v>
      </c>
      <c r="AW429" s="1">
        <f>SUM($AT429,$AA429:AA429)-SUM($AV$5:AW$5)*$J429-SUM($AV$6:AW$6)*$K429</f>
        <v>0</v>
      </c>
      <c r="AX429" s="1">
        <f>SUM($AT429,$AA429:AB429)-SUM($AV$5:AX$5)*$J429-SUM($AV$6:AX$6)*$K429</f>
        <v>0</v>
      </c>
      <c r="AY429" s="1">
        <f>SUM($AT429,$AA429:AC429)-SUM($AV$5:AY$5)*$J429-SUM($AV$6:AY$6)*$K429</f>
        <v>0</v>
      </c>
      <c r="AZ429" s="1">
        <f>SUM($AT429,$AA429:AD429)-SUM($AV$5:AZ$5)*$J429-SUM($AV$6:AZ$6)*$K429</f>
        <v>-40</v>
      </c>
      <c r="BA429" s="1">
        <f>SUM($AT429,$AA429:AE429)-SUM($AV$5:BA$5)*$J429-SUM($AV$6:BA$6)*$K429</f>
        <v>-80</v>
      </c>
      <c r="BB429" s="1">
        <f>SUM($AT429,$AA429:AF429)-SUM($AV$5:BB$5)*$J429-SUM($AV$6:BB$6)*$K429</f>
        <v>-120</v>
      </c>
      <c r="BC429" s="1">
        <f>SUM($AT429,$AA429:AG429)-SUM($AV$5:BC$5)*$J429-SUM($AV$6:BC$6)*$K429</f>
        <v>-160</v>
      </c>
      <c r="BD429" s="1">
        <f>SUM($AT429,$AA429:AH429)-SUM($AV$5:BD$5)*$J429-SUM($AV$6:BD$6)*$K429</f>
        <v>-200</v>
      </c>
      <c r="BE429" s="1">
        <f>SUM($AT429,$AA429:AI429)-SUM($AV$5:BE$5)*$J429-SUM($AV$6:BE$6)*$K429</f>
        <v>-240</v>
      </c>
      <c r="BF429" s="1">
        <f>SUM($AT429,$AA429:AJ429)-SUM($AV$5:BF$5)*$J429-SUM($AV$6:BF$6)*$K429</f>
        <v>-280</v>
      </c>
      <c r="BG429" s="1">
        <f>SUM($AT429,$AA429:AK429)-SUM($AV$5:BG$5)*$J429-SUM($AV$6:BG$6)*$K429</f>
        <v>-320</v>
      </c>
      <c r="BH429" s="1">
        <f>SUM($AT429,$AA429:AL429)-SUM($AV$5:BH$5)*$J429-SUM($AV$6:BH$6)*$K429</f>
        <v>-360</v>
      </c>
      <c r="BI429" s="1">
        <f>SUM($AT429,$AA429:AM429)-SUM($AV$5:BI$5)*$J429-SUM($AV$6:BI$6)*$K429</f>
        <v>-400</v>
      </c>
      <c r="BJ429" s="1">
        <f>SUM($AT429,$AA429:AN429)-SUM($AV$5:BJ$5)*$J429-SUM($AV$6:BJ$6)*$K429</f>
        <v>-440</v>
      </c>
      <c r="BK429" s="1">
        <f>SUM($AT429,$AA429:AO429)-SUM($AV$5:BK$5)*$J429-SUM($AV$6:BK$6)*$K429</f>
        <v>-480</v>
      </c>
      <c r="BL429" s="1">
        <f>SUM($AT429,$AA429:AP429)-SUM($AV$5:BL$5)*$J429-SUM($AV$6:BL$6)*$K429</f>
        <v>-520</v>
      </c>
      <c r="BM429" s="1">
        <f>SUM($AT429,$AA429:AQ429)-SUM($AV$5:BM$5)*$J429-SUM($AV$6:BM$6)*$K429</f>
        <v>-560</v>
      </c>
      <c r="BN429" s="1">
        <f>SUM($AT429,$AA429:AR429)-SUM($AV$5:BN$5)*$J429-SUM($AV$6:BN$6)*$K429</f>
        <v>-582</v>
      </c>
    </row>
    <row r="430" spans="1:66">
      <c r="A430" s="1">
        <v>450</v>
      </c>
      <c r="B430" s="45" t="s">
        <v>1328</v>
      </c>
      <c r="C430" s="1" t="s">
        <v>40</v>
      </c>
      <c r="D430" s="2">
        <v>413416043</v>
      </c>
      <c r="E430" s="3" t="s">
        <v>1329</v>
      </c>
      <c r="F430" s="1"/>
      <c r="G430" s="1" t="s">
        <v>42</v>
      </c>
      <c r="H430" s="1">
        <v>1</v>
      </c>
      <c r="I430" s="1">
        <v>6</v>
      </c>
      <c r="J430" s="1">
        <v>0</v>
      </c>
      <c r="K430" s="1">
        <v>0</v>
      </c>
      <c r="L430" s="1">
        <v>6</v>
      </c>
      <c r="M430" s="1">
        <f t="shared" si="16"/>
        <v>1656</v>
      </c>
      <c r="N430" s="1">
        <f t="shared" si="17"/>
        <v>1656</v>
      </c>
      <c r="O430" s="2" t="s">
        <v>1139</v>
      </c>
      <c r="P430" s="1"/>
      <c r="Q430" s="1">
        <v>2.2599999999999998</v>
      </c>
      <c r="R430" s="1" t="s">
        <v>44</v>
      </c>
      <c r="S430" s="30" t="s">
        <v>73</v>
      </c>
      <c r="T430" s="31" t="s">
        <v>273</v>
      </c>
      <c r="U430" s="1"/>
      <c r="V430" s="1">
        <v>4000</v>
      </c>
      <c r="W430" s="1" t="s">
        <v>1118</v>
      </c>
      <c r="X430" s="33" t="s">
        <v>275</v>
      </c>
      <c r="Y430" s="1" t="s">
        <v>276</v>
      </c>
      <c r="Z430" s="2" t="s">
        <v>1139</v>
      </c>
      <c r="AA430" s="1"/>
      <c r="AB430" s="1"/>
      <c r="AC430" s="1"/>
      <c r="AD430" s="1"/>
      <c r="AE430" s="1"/>
      <c r="AF430" s="1"/>
      <c r="AG430" s="1"/>
      <c r="AH430" s="1"/>
      <c r="AI430" s="1"/>
      <c r="AJ430" s="1"/>
      <c r="AK430" s="1"/>
      <c r="AL430" s="1"/>
      <c r="AM430" s="1"/>
      <c r="AN430" s="1"/>
      <c r="AO430" s="1"/>
      <c r="AP430" s="1"/>
      <c r="AQ430" s="1"/>
      <c r="AR430" s="1"/>
      <c r="AS430" s="1"/>
      <c r="AT430" s="1"/>
      <c r="AU430" s="1"/>
      <c r="AV430" s="1">
        <f>SUM($AT430,Z430:$AA430)-SUM($AV$5:AV$5)*$J430-SUM($AV$6:AV$6)*$K430</f>
        <v>0</v>
      </c>
      <c r="AW430" s="1">
        <f>SUM($AT430,$AA430:AA430)-SUM($AV$5:AW$5)*$J430-SUM($AV$6:AW$6)*$K430</f>
        <v>0</v>
      </c>
      <c r="AX430" s="1">
        <f>SUM($AT430,$AA430:AB430)-SUM($AV$5:AX$5)*$J430-SUM($AV$6:AX$6)*$K430</f>
        <v>0</v>
      </c>
      <c r="AY430" s="1">
        <f>SUM($AT430,$AA430:AC430)-SUM($AV$5:AY$5)*$J430-SUM($AV$6:AY$6)*$K430</f>
        <v>0</v>
      </c>
      <c r="AZ430" s="1">
        <f>SUM($AT430,$AA430:AD430)-SUM($AV$5:AZ$5)*$J430-SUM($AV$6:AZ$6)*$K430</f>
        <v>0</v>
      </c>
      <c r="BA430" s="1">
        <f>SUM($AT430,$AA430:AE430)-SUM($AV$5:BA$5)*$J430-SUM($AV$6:BA$6)*$K430</f>
        <v>0</v>
      </c>
      <c r="BB430" s="1">
        <f>SUM($AT430,$AA430:AF430)-SUM($AV$5:BB$5)*$J430-SUM($AV$6:BB$6)*$K430</f>
        <v>0</v>
      </c>
      <c r="BC430" s="1">
        <f>SUM($AT430,$AA430:AG430)-SUM($AV$5:BC$5)*$J430-SUM($AV$6:BC$6)*$K430</f>
        <v>0</v>
      </c>
      <c r="BD430" s="1">
        <f>SUM($AT430,$AA430:AH430)-SUM($AV$5:BD$5)*$J430-SUM($AV$6:BD$6)*$K430</f>
        <v>0</v>
      </c>
      <c r="BE430" s="1">
        <f>SUM($AT430,$AA430:AI430)-SUM($AV$5:BE$5)*$J430-SUM($AV$6:BE$6)*$K430</f>
        <v>0</v>
      </c>
      <c r="BF430" s="1">
        <f>SUM($AT430,$AA430:AJ430)-SUM($AV$5:BF$5)*$J430-SUM($AV$6:BF$6)*$K430</f>
        <v>0</v>
      </c>
      <c r="BG430" s="1">
        <f>SUM($AT430,$AA430:AK430)-SUM($AV$5:BG$5)*$J430-SUM($AV$6:BG$6)*$K430</f>
        <v>0</v>
      </c>
      <c r="BH430" s="1">
        <f>SUM($AT430,$AA430:AL430)-SUM($AV$5:BH$5)*$J430-SUM($AV$6:BH$6)*$K430</f>
        <v>0</v>
      </c>
      <c r="BI430" s="1">
        <f>SUM($AT430,$AA430:AM430)-SUM($AV$5:BI$5)*$J430-SUM($AV$6:BI$6)*$K430</f>
        <v>0</v>
      </c>
      <c r="BJ430" s="1">
        <f>SUM($AT430,$AA430:AN430)-SUM($AV$5:BJ$5)*$J430-SUM($AV$6:BJ$6)*$K430</f>
        <v>0</v>
      </c>
      <c r="BK430" s="1">
        <f>SUM($AT430,$AA430:AO430)-SUM($AV$5:BK$5)*$J430-SUM($AV$6:BK$6)*$K430</f>
        <v>0</v>
      </c>
      <c r="BL430" s="1">
        <f>SUM($AT430,$AA430:AP430)-SUM($AV$5:BL$5)*$J430-SUM($AV$6:BL$6)*$K430</f>
        <v>0</v>
      </c>
      <c r="BM430" s="1">
        <f>SUM($AT430,$AA430:AQ430)-SUM($AV$5:BM$5)*$J430-SUM($AV$6:BM$6)*$K430</f>
        <v>0</v>
      </c>
      <c r="BN430" s="1">
        <f>SUM($AT430,$AA430:AR430)-SUM($AV$5:BN$5)*$J430-SUM($AV$6:BN$6)*$K430</f>
        <v>0</v>
      </c>
    </row>
    <row r="431" spans="1:66">
      <c r="A431" s="1"/>
      <c r="B431" s="2"/>
      <c r="C431" s="1"/>
      <c r="D431" s="2"/>
      <c r="E431" s="3"/>
      <c r="F431" s="1"/>
      <c r="G431" s="1"/>
      <c r="H431" s="1"/>
      <c r="I431" s="1"/>
      <c r="J431" s="1"/>
      <c r="K431" s="1"/>
      <c r="L431" s="1"/>
      <c r="M431" s="1"/>
      <c r="N431" s="1"/>
      <c r="O431" s="2"/>
      <c r="P431" s="1"/>
      <c r="Q431" s="1"/>
      <c r="R431" s="1" t="e">
        <v>#N/A</v>
      </c>
      <c r="S431" s="30"/>
      <c r="T431" s="31"/>
      <c r="U431" s="1"/>
      <c r="V431" s="1"/>
      <c r="W431" s="1"/>
      <c r="X431" s="1"/>
      <c r="Y431" s="1"/>
      <c r="Z431" s="2"/>
      <c r="AA431" s="1"/>
      <c r="AB431" s="1"/>
      <c r="AC431" s="1"/>
      <c r="AD431" s="1"/>
      <c r="AE431" s="1"/>
      <c r="AF431" s="1"/>
      <c r="AG431" s="1"/>
      <c r="AH431" s="1"/>
      <c r="AI431" s="1"/>
      <c r="AJ431" s="1"/>
      <c r="AK431" s="1"/>
      <c r="AL431" s="1"/>
      <c r="AM431" s="1"/>
      <c r="AN431" s="1"/>
      <c r="AO431" s="1"/>
      <c r="AP431" s="1"/>
      <c r="AQ431" s="1"/>
      <c r="AR431" s="1"/>
      <c r="AS431" s="1"/>
      <c r="AT431" s="1"/>
      <c r="AU431" s="1"/>
      <c r="AW431" s="1"/>
      <c r="AX431" s="1"/>
      <c r="AY431" s="1"/>
      <c r="AZ431" s="1"/>
      <c r="BA431" s="1"/>
      <c r="BB431" s="1"/>
      <c r="BC431" s="1"/>
      <c r="BD431" s="1"/>
      <c r="BE431" s="1"/>
      <c r="BF431" s="1"/>
      <c r="BG431" s="1"/>
      <c r="BH431" s="1"/>
      <c r="BI431" s="1"/>
      <c r="BJ431" s="1"/>
      <c r="BK431" s="1"/>
      <c r="BL431" s="1"/>
      <c r="BM431" s="1"/>
      <c r="BN431" s="1"/>
    </row>
    <row r="432" spans="1:66" ht="18.75" thickBot="1">
      <c r="A432" s="1"/>
      <c r="B432" s="2"/>
      <c r="C432" s="1"/>
      <c r="D432" s="2"/>
      <c r="E432" s="3"/>
      <c r="F432" s="1"/>
      <c r="G432" s="1"/>
      <c r="H432" s="1"/>
      <c r="I432" s="1"/>
      <c r="J432" s="51">
        <f ca="1">SUMPRODUCT($Q$8:$Q$430,SUBTOTAL(9,OFFSET(J8:J430,ROW(J8:J430)-MIN(ROW(J8:J430)),0,1)))</f>
        <v>7833.546699999999</v>
      </c>
      <c r="K432" s="51">
        <f ca="1">SUMPRODUCT($Q$8:$Q$430,SUBTOTAL(9,OFFSET(K8:K430,ROW(K8:K430)-MIN(ROW(K8:K430)),0,1)))</f>
        <v>1880.0544</v>
      </c>
      <c r="L432" s="51">
        <f ca="1">SUMPRODUCT($Q$8:$Q$430,SUBTOTAL(9,OFFSET(L8:L430,ROW(L8:L430)-MIN(ROW(L8:L430)),0,1)))</f>
        <v>1207.7326399999997</v>
      </c>
      <c r="M432" s="51"/>
      <c r="N432" s="52">
        <f>SUMPRODUCT(N8:N430,$Q$8:$Q$430)</f>
        <v>5411353.4024399966</v>
      </c>
      <c r="O432" s="2"/>
      <c r="P432" s="1"/>
      <c r="Q432" s="1"/>
      <c r="R432" s="1" t="e">
        <v>#N/A</v>
      </c>
      <c r="S432" s="2"/>
      <c r="T432" s="1"/>
      <c r="U432" s="1"/>
      <c r="V432" s="1"/>
      <c r="W432" s="1"/>
      <c r="X432" s="1"/>
      <c r="Y432" s="1"/>
      <c r="Z432" s="2"/>
      <c r="AA432" s="1"/>
      <c r="AB432" s="1"/>
      <c r="AC432" s="1"/>
      <c r="AD432" s="1"/>
      <c r="AE432" s="1"/>
      <c r="AF432" s="1"/>
      <c r="AG432" s="1"/>
      <c r="AH432" s="1"/>
      <c r="AI432" s="1"/>
      <c r="AJ432" s="1"/>
      <c r="AK432" s="1"/>
      <c r="AL432" s="1"/>
      <c r="AM432" s="1"/>
      <c r="AN432" s="1"/>
      <c r="AO432" s="1"/>
      <c r="AP432" s="1"/>
      <c r="AQ432" s="1"/>
      <c r="AR432" s="1"/>
      <c r="AS432" s="1"/>
      <c r="AT432" s="1"/>
      <c r="AU432" s="1"/>
      <c r="AZ432" s="1"/>
      <c r="BA432" s="1"/>
      <c r="BB432" s="1"/>
      <c r="BC432" s="1"/>
      <c r="BD432" s="1"/>
      <c r="BE432" s="1"/>
      <c r="BF432" s="1"/>
      <c r="BG432" s="1"/>
      <c r="BH432" s="1"/>
      <c r="BI432" s="1"/>
      <c r="BJ432" s="1"/>
      <c r="BK432" s="1"/>
      <c r="BL432" s="1"/>
      <c r="BM432" s="1"/>
      <c r="BN432" s="1"/>
    </row>
    <row r="433" spans="1:66" ht="15" thickBot="1">
      <c r="A433" s="1"/>
      <c r="B433" s="2"/>
      <c r="C433" s="1"/>
      <c r="D433" s="2"/>
      <c r="E433" s="3"/>
      <c r="F433" s="1"/>
      <c r="G433" s="1"/>
      <c r="H433" s="1"/>
      <c r="I433" s="1"/>
      <c r="J433" s="7" t="e">
        <f>VLOOKUP(J435,$B$8:$E$430,4,)</f>
        <v>#N/A</v>
      </c>
      <c r="K433" s="7" t="e">
        <f>VLOOKUP(K435,$B$8:$E$430,4,)</f>
        <v>#N/A</v>
      </c>
      <c r="L433" s="7" t="e">
        <f>VLOOKUP(L435,$B$8:$E$430,4,)</f>
        <v>#N/A</v>
      </c>
      <c r="M433" s="8"/>
      <c r="N433" s="8"/>
      <c r="O433" s="2"/>
      <c r="P433" s="1"/>
      <c r="Q433" s="1"/>
      <c r="R433" s="1" t="e">
        <v>#N/A</v>
      </c>
      <c r="S433" s="2"/>
      <c r="T433" s="1"/>
      <c r="U433" s="1"/>
      <c r="V433" s="1"/>
      <c r="W433" s="1"/>
      <c r="X433" s="1"/>
      <c r="Y433" s="1"/>
      <c r="Z433" s="2"/>
      <c r="AA433" s="1"/>
      <c r="AB433" s="1"/>
      <c r="AC433" s="1"/>
      <c r="AD433" s="1"/>
      <c r="AE433" s="1"/>
      <c r="AF433" s="1"/>
      <c r="AG433" s="1"/>
      <c r="AH433" s="1"/>
      <c r="AI433" s="1"/>
      <c r="AJ433" s="1"/>
      <c r="AK433" s="1"/>
      <c r="AL433" s="1"/>
      <c r="AM433" s="1"/>
      <c r="AN433" s="1"/>
      <c r="AO433" s="1"/>
      <c r="AP433" s="1"/>
      <c r="AQ433" s="1"/>
      <c r="AR433" s="1"/>
      <c r="AS433" s="1"/>
      <c r="AT433" s="1"/>
      <c r="AU433" s="1"/>
      <c r="AZ433" s="1"/>
      <c r="BA433" s="1"/>
      <c r="BB433" s="1"/>
      <c r="BC433" s="1"/>
      <c r="BD433" s="1"/>
      <c r="BE433" s="1"/>
      <c r="BF433" s="1"/>
      <c r="BG433" s="1"/>
      <c r="BH433" s="1"/>
      <c r="BI433" s="1"/>
      <c r="BJ433" s="1"/>
      <c r="BK433" s="1"/>
      <c r="BL433" s="1"/>
      <c r="BM433" s="1"/>
      <c r="BN433" s="1"/>
    </row>
    <row r="434" spans="1:66" ht="15" thickBot="1">
      <c r="A434" s="1"/>
      <c r="B434" s="2"/>
      <c r="C434" s="1"/>
      <c r="D434" s="2"/>
      <c r="E434" s="3"/>
      <c r="F434" s="1"/>
      <c r="G434" s="1"/>
      <c r="H434" s="1"/>
      <c r="I434" s="1"/>
      <c r="J434" s="7">
        <f>VLOOKUP(J435,'[1]הזנת נתונים'!$K$2:$L$21,2,)</f>
        <v>0</v>
      </c>
      <c r="K434" s="7">
        <f>VLOOKUP(K435,'[1]הזנת נתונים'!$K$2:$L$21,2,)</f>
        <v>0</v>
      </c>
      <c r="L434" s="7">
        <f>VLOOKUP(L435,'[1]הזנת נתונים'!$K$2:$L$21,2,)</f>
        <v>1</v>
      </c>
      <c r="M434" s="8"/>
      <c r="N434" s="8"/>
      <c r="O434" s="2"/>
      <c r="P434" s="1"/>
      <c r="Q434" s="1"/>
      <c r="R434" s="1" t="e">
        <v>#N/A</v>
      </c>
      <c r="S434" s="2"/>
      <c r="T434" s="1"/>
      <c r="U434" s="1"/>
      <c r="V434" s="1"/>
      <c r="W434" s="1"/>
      <c r="X434" s="1"/>
      <c r="Y434" s="1"/>
      <c r="Z434" s="2"/>
      <c r="AA434" s="1"/>
      <c r="AB434" s="1"/>
      <c r="AC434" s="1"/>
      <c r="AD434" s="1"/>
      <c r="AE434" s="1"/>
      <c r="AF434" s="1"/>
      <c r="AG434" s="1"/>
      <c r="AH434" s="1"/>
      <c r="AI434" s="1"/>
      <c r="AJ434" s="1"/>
      <c r="AK434" s="1"/>
      <c r="AL434" s="1"/>
      <c r="AM434" s="1"/>
      <c r="AN434" s="1"/>
      <c r="AO434" s="1"/>
      <c r="AP434" s="1"/>
      <c r="AQ434" s="1"/>
      <c r="AR434" s="1"/>
      <c r="AS434" s="1"/>
      <c r="AT434" s="1"/>
      <c r="AU434" s="1"/>
      <c r="AZ434" s="1"/>
      <c r="BA434" s="1"/>
      <c r="BB434" s="1"/>
      <c r="BC434" s="1"/>
      <c r="BD434" s="1"/>
      <c r="BE434" s="1"/>
      <c r="BF434" s="1"/>
      <c r="BG434" s="1"/>
      <c r="BH434" s="1"/>
      <c r="BI434" s="1"/>
      <c r="BJ434" s="1"/>
      <c r="BK434" s="1"/>
      <c r="BL434" s="1"/>
      <c r="BM434" s="1"/>
      <c r="BN434" s="1"/>
    </row>
    <row r="435" spans="1:66" ht="29.25" thickBot="1">
      <c r="A435" s="1"/>
      <c r="B435" s="2"/>
      <c r="C435" s="1"/>
      <c r="D435" s="2"/>
      <c r="E435" s="3"/>
      <c r="F435" s="1"/>
      <c r="G435" s="1"/>
      <c r="H435" s="1"/>
      <c r="I435" s="1"/>
      <c r="J435" s="7" t="s">
        <v>22</v>
      </c>
      <c r="K435" s="7" t="s">
        <v>23</v>
      </c>
      <c r="L435" s="7" t="s">
        <v>24</v>
      </c>
      <c r="M435" s="8"/>
      <c r="N435" s="8"/>
      <c r="O435" s="2"/>
      <c r="P435" s="1"/>
      <c r="Q435" s="1"/>
      <c r="R435" s="1" t="e">
        <v>#N/A</v>
      </c>
      <c r="S435" s="2"/>
      <c r="T435" s="1"/>
      <c r="U435" s="1"/>
      <c r="V435" s="1"/>
      <c r="W435" s="1"/>
      <c r="X435" s="1"/>
      <c r="Y435" s="1"/>
      <c r="Z435" s="2"/>
      <c r="AA435" s="1"/>
      <c r="AB435" s="1"/>
      <c r="AC435" s="1"/>
      <c r="AD435" s="1"/>
      <c r="AE435" s="1"/>
      <c r="AF435" s="1"/>
      <c r="AG435" s="1"/>
      <c r="AH435" s="1"/>
      <c r="AI435" s="1"/>
      <c r="AJ435" s="1"/>
      <c r="AK435" s="1"/>
      <c r="AL435" s="1"/>
      <c r="AM435" s="1"/>
      <c r="AN435" s="1"/>
      <c r="AO435" s="1"/>
      <c r="AP435" s="1"/>
      <c r="AQ435" s="1"/>
      <c r="AR435" s="1"/>
      <c r="AS435" s="1"/>
      <c r="AT435" s="1"/>
      <c r="AU435" s="1"/>
      <c r="AZ435" s="1"/>
      <c r="BA435" s="1"/>
      <c r="BB435" s="1"/>
      <c r="BC435" s="1"/>
      <c r="BD435" s="1"/>
      <c r="BE435" s="1"/>
      <c r="BF435" s="1"/>
      <c r="BG435" s="1"/>
      <c r="BH435" s="1"/>
      <c r="BI435" s="1"/>
      <c r="BJ435" s="1"/>
      <c r="BK435" s="1"/>
      <c r="BL435" s="1"/>
      <c r="BM435" s="1"/>
      <c r="BN435" s="1"/>
    </row>
  </sheetData>
  <autoFilter ref="A7:BN435" xr:uid="{D28DC767-CDEB-4BE0-8478-20AF5A4285CB}"/>
  <mergeCells count="3">
    <mergeCell ref="AV1:BN4"/>
    <mergeCell ref="AA5:AS6"/>
    <mergeCell ref="AT5:AT6"/>
  </mergeCells>
  <conditionalFormatting sqref="AV8:BN430">
    <cfRule type="cellIs" dxfId="3" priority="1" operator="lessThan">
      <formula>0</formula>
    </cfRule>
    <cfRule type="cellIs" dxfId="2" priority="2" operator="greaterThanOrEqual">
      <formula>0</formula>
    </cfRule>
  </conditionalFormatting>
  <conditionalFormatting sqref="D8:D430">
    <cfRule type="duplicateValues" dxfId="1" priority="4"/>
  </conditionalFormatting>
  <hyperlinks>
    <hyperlink ref="B8" r:id="rId1" display="http://eltweb04.elta.iai/pls/iman_Production/link_to_iman?item_id=0402X7R222KT2AT" xr:uid="{5570A7F2-F059-47C2-81FD-1D91678EBE27}"/>
    <hyperlink ref="B9" r:id="rId2" display="http://eltweb04.elta.iai/pls/iman_Production/link_to_iman?item_id=06035J100JBTTR" xr:uid="{1F85ECE0-1268-4776-B59C-C6D06D023A72}"/>
    <hyperlink ref="B10" r:id="rId3" display="http://eltweb04.elta.iai/pls/iman_Production/link_to_iman?item_id=06035J4R7CBTTR" xr:uid="{DAC8F3A1-C30E-4002-8F8A-C812C2939BA8}"/>
    <hyperlink ref="B11" r:id="rId4" display="http://eltweb04.elta.iai/pls/iman_Production/link_to_iman?item_id=0603CS-10NXGLW" xr:uid="{3460F51F-61FA-4AF3-BECB-D78B72FE9DAB}"/>
    <hyperlink ref="B12" r:id="rId5" display="http://eltweb04.elta.iai/pls/iman_Production/link_to_iman?item_id=0603CS-18NXGLW" xr:uid="{402BB5CB-3C01-48D1-A4FC-712A90CDE2B1}"/>
    <hyperlink ref="B13" r:id="rId6" display="http://eltweb04.elta.iai/pls/iman_Production/link_to_iman?item_id=0603CS-3N3XGLW" xr:uid="{04B4913E-383B-4231-8718-100C58959D9F}"/>
    <hyperlink ref="B14" r:id="rId7" display="http://eltweb04.elta.iai/pls/iman_Production/link_to_iman?item_id=0603HP-R22XJRW" xr:uid="{44DEE0A7-EFB5-4DFE-B40F-49C8566D48FD}"/>
    <hyperlink ref="B15" r:id="rId8" display="http://eltweb04.elta.iai/pls/iman_Production/link_to_iman?item_id=0603LS-122XGRC" xr:uid="{4AF1AD7B-5909-4A30-B4BE-4339EFDF7430}"/>
    <hyperlink ref="B16" r:id="rId9" display="http://eltweb04.elta.iai/pls/iman_Production/link_to_iman?item_id=08055C105KAT2A" xr:uid="{D054D1E6-0D79-4A59-AB0C-C0187A18B756}"/>
    <hyperlink ref="B17" r:id="rId10" display="http://eltweb04.elta.iai/pls/iman_Production/link_to_iman?item_id=0805ZC106KAT2A" xr:uid="{9821E843-B46C-4E48-AFAA-29195B1DE352}"/>
    <hyperlink ref="B18" r:id="rId11" display="http://eltweb04.elta.iai/pls/iman_Production/link_to_iman?item_id=10-407552-55" xr:uid="{B856A315-81CA-4172-850C-73E8B7FED2F5}"/>
    <hyperlink ref="B375" r:id="rId12" display="http://eltweb04.elta.iai/pls/iman_Production/link_to_iman?item_id=1000B-5001FX" xr:uid="{1C947937-F426-4BA3-A03C-ED3F33E4622F}"/>
    <hyperlink ref="B19" r:id="rId13" display="http://eltweb04.elta.iai/pls/iman_Production/link_to_iman?item_id=1008-820K-TR" xr:uid="{178D792E-44CD-4AF3-9A4F-1C309B755597}"/>
    <hyperlink ref="B20" r:id="rId14" display="http://eltweb04.elta.iai/pls/iman_Production/link_to_iman?item_id=1008CS-182XJLC" xr:uid="{BB158A5C-D7DE-4808-863C-48D8A83202BD}"/>
    <hyperlink ref="B21" r:id="rId15" display="http://eltweb04.elta.iai/pls/iman_Production/link_to_iman?item_id=1008CS-271XGLC" xr:uid="{DB99C235-2022-4480-BB3F-8F80D71EB463}"/>
    <hyperlink ref="B22" r:id="rId16" display="http://eltweb04.elta.iai/pls/iman_Production/link_to_iman?item_id=1008CS-472XJLC" xr:uid="{E0B3F2E1-6396-4A24-A339-79DB251B3E40}"/>
    <hyperlink ref="B23" r:id="rId17" display="http://eltweb04.elta.iai/pls/iman_Production/link_to_iman?item_id=1008R-102J-TR" xr:uid="{E6589B44-B0F7-4C38-A174-E410542E4A05}"/>
    <hyperlink ref="B24" r:id="rId18" display="http://eltweb04.elta.iai/pls/iman_Production/link_to_iman?item_id=100A130FT150XTV" xr:uid="{4484E112-42D9-4661-961E-FE154DF849F8}"/>
    <hyperlink ref="B25" r:id="rId19" display="http://eltweb04.elta.iai/pls/iman_Production/link_to_iman?item_id=100A150FT150XTV" xr:uid="{DB81C748-5281-4CF8-B6CC-6FA68F92A078}"/>
    <hyperlink ref="B26" r:id="rId20" display="http://eltweb04.elta.iai/pls/iman_Production/link_to_iman?item_id=100A160FT150XTV" xr:uid="{433DA607-3CAD-4D91-AAD0-6E4D16801989}"/>
    <hyperlink ref="B27" r:id="rId21" display="http://eltweb04.elta.iai/pls/iman_Production/link_to_iman?item_id=100A270FT150XTV" xr:uid="{7ACC6903-4D0C-49DD-BF2E-F9647E34C70E}"/>
    <hyperlink ref="B28" r:id="rId22" display="http://eltweb04.elta.iai/pls/iman_Production/link_to_iman?item_id=100A390GT150XTV" xr:uid="{75CC1E18-4F64-41AA-8638-2F97DB003633}"/>
    <hyperlink ref="B29" r:id="rId23" display="http://eltweb04.elta.iai/pls/iman_Production/link_to_iman?item_id=100A4R3BT150XTV1K" xr:uid="{E36BEAF8-1E59-4330-B3C2-CC9FD93F3648}"/>
    <hyperlink ref="B31" r:id="rId24" display="http://eltweb04.elta.iai/pls/iman_Production/link_to_iman?item_id=1022L208-001" xr:uid="{588A1C1E-A5BD-4C7B-97F8-8B27ABDF9D6E}"/>
    <hyperlink ref="B419" r:id="rId25" display="http://eltweb04.elta.iai/pls/iman_Production/link_to_iman?item_id=1022L482-001" xr:uid="{AE164C2D-2AB4-4158-AAA0-62438EF5950A}"/>
    <hyperlink ref="B420" r:id="rId26" display="http://eltweb04.elta.iai/pls/iman_Production/link_to_iman?item_id=1022L485-002" xr:uid="{4F093A19-4A6F-486C-9146-2AE377A12D56}"/>
    <hyperlink ref="B422" r:id="rId27" display="http://eltweb04.elta.iai/pls/iman_Production/link_to_iman?item_id=1022L984-001" xr:uid="{240EC22F-FCD7-45D9-842D-73061BD7A75C}"/>
    <hyperlink ref="B35" r:id="rId28" display="http://eltweb04.elta.iai/pls/iman_Production/link_to_iman?item_id=1022L985-001" xr:uid="{B6B47787-DA64-440E-B0CD-2EC9EB354005}"/>
    <hyperlink ref="B421" r:id="rId29" display="http://eltweb04.elta.iai/pls/iman_Production/link_to_iman?item_id=1093A496-001" xr:uid="{9CE30758-4055-46A7-9635-F3811BBA3CC5}"/>
    <hyperlink ref="B37" r:id="rId30" display="http://eltweb04.elta.iai/pls/iman_Production/link_to_iman?item_id=1093H504-001" xr:uid="{C8A8A7B1-E0D7-44F5-8C56-941384913FBF}"/>
    <hyperlink ref="B255" r:id="rId31" display="http://eltweb04.elta.iai/pls/iman_Production/link_to_iman?item_id=1094G021-001" xr:uid="{7299F1FC-0968-427F-919A-F455D7E1C9D1}"/>
    <hyperlink ref="B390" r:id="rId32" display="http://eltweb04.elta.iai/pls/iman_Production/link_to_iman?item_id=1094K658-001" xr:uid="{D622A81C-696B-4922-8317-4FD95B134ABE}"/>
    <hyperlink ref="B40" r:id="rId33" display="http://eltweb04.elta.iai/pls/iman_Production/link_to_iman?item_id=1094W509-002" xr:uid="{7D68F15C-BBE9-4199-AED7-06BF4AED4185}"/>
    <hyperlink ref="B377" r:id="rId34" display="http://eltweb04.elta.iai/pls/iman_Production/link_to_iman?item_id=1094W510-003" xr:uid="{645AD737-31BA-4E6D-8111-31AAD6FD9407}"/>
    <hyperlink ref="B378" r:id="rId35" display="http://eltweb04.elta.iai/pls/iman_Production/link_to_iman?item_id=1094W511-002" xr:uid="{EB3C03DE-7EE4-4FA7-B99E-89845268D865}"/>
    <hyperlink ref="B41" r:id="rId36" display="http://eltweb04.elta.iai/pls/iman_Production/link_to_iman?item_id=1094W513-001" xr:uid="{754D6018-C411-4592-9835-18B432A15462}"/>
    <hyperlink ref="B42" r:id="rId37" display="http://eltweb04.elta.iai/pls/iman_Production/link_to_iman?item_id=1094W514-001" xr:uid="{9D3A762D-6915-4DAD-A517-9413ED11CB6C}"/>
    <hyperlink ref="B43" r:id="rId38" display="http://eltweb04.elta.iai/pls/iman_Production/link_to_iman?item_id=1094W515-001" xr:uid="{28BB1A40-F1DB-478E-A84A-0A982DC560EB}"/>
    <hyperlink ref="B44" r:id="rId39" display="http://eltweb04.elta.iai/pls/iman_Production/link_to_iman?item_id=1094W516-001" xr:uid="{9746D037-8248-4970-842A-79423DB97B7E}"/>
    <hyperlink ref="B45" r:id="rId40" display="http://eltweb04.elta.iai/pls/iman_Production/link_to_iman?item_id=1094W517-001" xr:uid="{7E91104C-3406-458C-B727-1A1922C2C704}"/>
    <hyperlink ref="B370" r:id="rId41" display="http://eltweb04.elta.iai/pls/iman_Production/link_to_iman?item_id=1094W518-001" xr:uid="{0E59EAD3-252E-450A-9C14-A44BF149AE9F}"/>
    <hyperlink ref="B413" r:id="rId42" display="http://eltweb04.elta.iai/pls/iman_Production/link_to_iman?item_id=1094W519-001" xr:uid="{E178EEED-350C-4D39-B6FE-DBA169E7F8AD}"/>
    <hyperlink ref="B34" r:id="rId43" display="http://eltweb04.elta.iai/pls/iman_Production/link_to_iman?item_id=1094W522-002" xr:uid="{74CC8215-52DA-4182-A763-07BD678D9E1A}"/>
    <hyperlink ref="B371" r:id="rId44" display="http://eltweb04.elta.iai/pls/iman_Production/link_to_iman?item_id=1094W524-001" xr:uid="{7B0CC43A-114E-4CD6-BA11-2F2CB77625E6}"/>
    <hyperlink ref="B372" r:id="rId45" display="http://eltweb04.elta.iai/pls/iman_Production/link_to_iman?item_id=1119-2199-6240" xr:uid="{3C92391F-ED4F-43ED-82D2-555C34C4BB78}"/>
    <hyperlink ref="B30" r:id="rId46" display="http://eltweb04.elta.iai/pls/iman_Production/link_to_iman?item_id=1206CS-561XGLC" xr:uid="{203E1742-7397-4887-86CF-FDCA7663016C}"/>
    <hyperlink ref="B373" r:id="rId47" display="http://eltweb04.elta.iai/pls/iman_Production/link_to_iman?item_id=145-A01H/118" xr:uid="{18AE0509-4D81-41FF-B8F8-21199A86BF6A}"/>
    <hyperlink ref="B242" r:id="rId48" display="http://eltweb04.elta.iai/pls/iman_Production/link_to_iman?item_id=19K119-K41L5" xr:uid="{158115A2-F364-4762-BBAC-E272CEA9A369}"/>
    <hyperlink ref="B88" r:id="rId49" display="http://eltweb04.elta.iai/pls/iman_Production/link_to_iman?item_id=19S11E-400L5" xr:uid="{9242ACEC-C389-4ED6-AB9A-DD6BF5DCDA91}"/>
    <hyperlink ref="B241" r:id="rId50" display="http://eltweb04.elta.iai/pls/iman_Production/link_to_iman?item_id=19S14T-40ML5" xr:uid="{B1C3DAAF-A074-41BC-9186-434E984EC58A}"/>
    <hyperlink ref="B253" r:id="rId51" display="http://eltweb04.elta.iai/pls/iman_Production/link_to_iman?item_id=19S16D-400L5" xr:uid="{B2E1685B-1E91-44BF-9FB5-49DDAE38B6C8}"/>
    <hyperlink ref="B254" r:id="rId52" display="http://eltweb04.elta.iai/pls/iman_Production/link_to_iman?item_id=19S16N-400L5" xr:uid="{CFF1958A-EE7A-4A99-88CE-6725B42C95FE}"/>
    <hyperlink ref="B379" r:id="rId53" display="http://eltweb04.elta.iai/pls/iman_Production/link_to_iman?item_id=242 50CC" xr:uid="{A30725E7-9AE4-4ABB-BECA-5B7FB5CCCE8F}"/>
    <hyperlink ref="B56" r:id="rId54" display="http://eltweb04.elta.iai/pls/iman_Production/link_to_iman?item_id=293D106X9010A2TE3" xr:uid="{12BE0C25-4C33-4651-8F12-6397942B29E4}"/>
    <hyperlink ref="B57" r:id="rId55" display="http://eltweb04.elta.iai/pls/iman_Production/link_to_iman?item_id=293D107X9010D2TE3" xr:uid="{DBCAA285-D921-41D6-9ECD-86E1254929EA}"/>
    <hyperlink ref="B61" r:id="rId56" display="http://eltweb04.elta.iai/pls/iman_Production/link_to_iman?item_id=293D476X0010B2TE3" xr:uid="{DBA8E8BE-C324-4DAC-9171-2C93E35A7946}"/>
    <hyperlink ref="B62" r:id="rId57" display="http://eltweb04.elta.iai/pls/iman_Production/link_to_iman?item_id=293D686X9020D2TE3" xr:uid="{66CFC15C-687F-452F-80F9-572D24D9FFF8}"/>
    <hyperlink ref="B66" r:id="rId58" display="http://eltweb04.elta.iai/pls/iman_Production/link_to_iman?item_id=298" xr:uid="{4BB1FD2C-8778-4845-998D-ADEC71791070}"/>
    <hyperlink ref="B63" r:id="rId59" display="http://eltweb04.elta.iai/pls/iman_Production/link_to_iman?item_id=3510-2214-348" xr:uid="{994A7B7E-4EF0-480D-BFBF-4B5EEE1831CE}"/>
    <hyperlink ref="B64" r:id="rId60" display="http://eltweb04.elta.iai/pls/iman_Production/link_to_iman?item_id=401-55501-51" xr:uid="{8D19F58E-9F16-47A0-B771-40B2234D8A41}"/>
    <hyperlink ref="B380" r:id="rId61" display="http://eltweb04.elta.iai/pls/iman_Production/link_to_iman?item_id=5206F007-001" xr:uid="{B7FA2841-5B63-46D5-9D7E-4F1506B876D0}"/>
    <hyperlink ref="B70" r:id="rId62" display="http://eltweb04.elta.iai/pls/iman_Production/link_to_iman?item_id=594D107X0025R2T" xr:uid="{E6F2015B-4ED3-4521-B101-A7BC6DCB608D}"/>
    <hyperlink ref="B71" r:id="rId63" display="http://eltweb04.elta.iai/pls/iman_Production/link_to_iman?item_id=594D337X9016R2T" xr:uid="{403E0486-A044-49E5-876F-DB15B706872D}"/>
    <hyperlink ref="B381" r:id="rId64" display="http://eltweb04.elta.iai/pls/iman_Production/link_to_iman?item_id=6469074-1" xr:uid="{D8325AA4-276D-4315-9E41-836D79C740E7}"/>
    <hyperlink ref="B73" r:id="rId65" display="http://eltweb04.elta.iai/pls/iman_Production/link_to_iman?item_id=65 SMA-50-0-25/11- YE" xr:uid="{5B6E2087-010B-467C-9857-8C37CFC9ED84}"/>
    <hyperlink ref="B74" r:id="rId66" display="http://eltweb04.elta.iai/pls/iman_Production/link_to_iman?item_id=6930B622-001" xr:uid="{422EC5C1-C5A9-41BB-82D2-D2DA43BB72E5}"/>
    <hyperlink ref="B382" r:id="rId67" display="http://eltweb04.elta.iai/pls/iman_Production/link_to_iman?item_id=6930B676-001" xr:uid="{D2C40783-E6F0-4A8C-B3F6-0E961818ACF9}"/>
    <hyperlink ref="B65" r:id="rId68" display="http://eltweb04.elta.iai/pls/iman_Production/link_to_iman?item_id=700A121JT150XTV" xr:uid="{BB4D7A2F-152F-484B-8229-2D0DA5C49FDC}"/>
    <hyperlink ref="B67" r:id="rId69" display="http://eltweb04.elta.iai/pls/iman_Production/link_to_iman?item_id=700A131FW150XTV" xr:uid="{43C7BDA2-72D6-4E15-9D98-0F72C7849022}"/>
    <hyperlink ref="B68" r:id="rId70" display="http://eltweb04.elta.iai/pls/iman_Production/link_to_iman?item_id=700A151FT150XTV" xr:uid="{BA110189-E66C-4CA7-A68E-B0D47243C335}"/>
    <hyperlink ref="B69" r:id="rId71" display="http://eltweb04.elta.iai/pls/iman_Production/link_to_iman?item_id=700A331JT150XTV" xr:uid="{D57213DC-2B39-44F2-A0DA-54717971B1BD}"/>
    <hyperlink ref="B383" r:id="rId72" display="http://eltweb04.elta.iai/pls/iman_Production/link_to_iman?item_id=70896-00" xr:uid="{68FAD087-8FB3-4B18-9EC9-C2F07EB5994C}"/>
    <hyperlink ref="B72" r:id="rId73" display="http://eltweb04.elta.iai/pls/iman_Production/link_to_iman?item_id=74LVT125PW.118" xr:uid="{7B491C44-8D7A-414A-A916-42291C7BE6C2}"/>
    <hyperlink ref="B75" r:id="rId74" display="http://eltweb04.elta.iai/pls/iman_Production/link_to_iman?item_id=82MMCX-50-0-1/111NE" xr:uid="{A484B349-7D52-4296-B423-DF7BB19EE695}"/>
    <hyperlink ref="B76" r:id="rId75" display="http://eltweb04.elta.iai/pls/iman_Production/link_to_iman?item_id=9DBL0443ANLGI" xr:uid="{810DE427-4228-4677-8577-0AB1C7FDF50F}"/>
    <hyperlink ref="B77" r:id="rId76" display="http://eltweb04.elta.iai/pls/iman_Production/link_to_iman?item_id=AD5623RBRMZ-5" xr:uid="{C0698C56-F22F-4FE3-B7F0-21479DB74E90}"/>
    <hyperlink ref="B384" r:id="rId77" display="http://eltweb04.elta.iai/pls/iman_Production/link_to_iman?item_id=AD5628BRUZ-2" xr:uid="{3EFCC337-292C-448D-BC7F-CA0B32BB8B19}"/>
    <hyperlink ref="B78" r:id="rId78" display="http://eltweb04.elta.iai/pls/iman_Production/link_to_iman?item_id=AD780BRZ-REEL7" xr:uid="{1E916D30-70F1-4D3B-B3AD-37FECC2F048E}"/>
    <hyperlink ref="B79" r:id="rId79" display="http://eltweb04.elta.iai/pls/iman_Production/link_to_iman?item_id=AD7928BRUZ-REEL7" xr:uid="{51D632E6-FB7F-44EF-ACB1-EA665680930F}"/>
    <hyperlink ref="B80" r:id="rId80" display="http://eltweb04.elta.iai/pls/iman_Production/link_to_iman?item_id=AD823ARZ-R7" xr:uid="{1F39EC4D-51A0-42D1-9A8F-59A230142893}"/>
    <hyperlink ref="B81" r:id="rId81" display="http://eltweb04.elta.iai/pls/iman_Production/link_to_iman?item_id=AD829ARZ" xr:uid="{CF8AE0C7-2ABD-4960-B0CF-06675F016C1B}"/>
    <hyperlink ref="B82" r:id="rId82" display="http://eltweb04.elta.iai/pls/iman_Production/link_to_iman?item_id=AD8317ACPZR2" xr:uid="{4EB2751B-D321-402A-9E1E-02B27FEFCB53}"/>
    <hyperlink ref="B385" r:id="rId83" display="http://eltweb04.elta.iai/pls/iman_Production/link_to_iman?item_id=AD8332ACPZ-R7" xr:uid="{F4066BFB-0911-425F-87B0-2B45880B6999}"/>
    <hyperlink ref="B386" r:id="rId84" display="http://eltweb04.elta.iai/pls/iman_Production/link_to_iman?item_id=AD9222ABCPZ-65" xr:uid="{6CAD0AD2-9AD4-4F45-AF04-D23E106739B5}"/>
    <hyperlink ref="B388" r:id="rId85" display="http://eltweb04.elta.iai/pls/iman_Production/link_to_iman?item_id=AD9228ABCPZ-65" xr:uid="{4D84F13B-26C1-4A1E-B44B-93E5671DCF8C}"/>
    <hyperlink ref="B389" r:id="rId86" display="http://eltweb04.elta.iai/pls/iman_Production/link_to_iman?item_id=AD9910BSVZ" xr:uid="{36E2245C-B8D6-4C56-9203-1CB0329EA01B}"/>
    <hyperlink ref="B83" r:id="rId87" display="http://eltweb04.elta.iai/pls/iman_Production/link_to_iman?item_id=ADA4932-1YCPZ-R2" xr:uid="{5556731E-50A6-4896-9600-FF402DC47015}"/>
    <hyperlink ref="B47" r:id="rId88" display="http://eltweb04.elta.iai/pls/iman_Production/link_to_iman?item_id=ADEX-10L+" xr:uid="{4C20F039-7B27-40BA-BB05-45B73FC00EC6}"/>
    <hyperlink ref="B85" r:id="rId89" display="http://eltweb04.elta.iai/pls/iman_Production/link_to_iman?item_id=ADF4157BCPZ" xr:uid="{9A6D5734-347C-44F3-BBF3-6B5B8D864756}"/>
    <hyperlink ref="B86" r:id="rId90" display="http://eltweb04.elta.iai/pls/iman_Production/link_to_iman?item_id=ADG918BCPZ-500RL7" xr:uid="{447ACD1F-D7D8-40C3-80B9-6340C63822BB}"/>
    <hyperlink ref="B87" r:id="rId91" display="http://eltweb04.elta.iai/pls/iman_Production/link_to_iman?item_id=ADM708SARZ" xr:uid="{D5B0275C-B07E-411B-AE05-D9DA93857A60}"/>
    <hyperlink ref="B84" r:id="rId92" display="http://eltweb04.elta.iai/pls/iman_Production/link_to_iman?item_id=ADP-2-4+" xr:uid="{BD7752B0-1618-4DE6-9652-9DA6C2F54894}"/>
    <hyperlink ref="B48" r:id="rId93" display="http://eltweb04.elta.iai/pls/iman_Production/link_to_iman?item_id=ADT1-1WT+" xr:uid="{C2511AD4-3438-4200-A2C0-34955B21E587}"/>
    <hyperlink ref="B89" r:id="rId94" display="http://eltweb04.elta.iai/pls/iman_Production/link_to_iman?item_id=AM26LV31ESDREP" xr:uid="{352EC4AB-A7C0-45AE-BB6D-3E306DC784A7}"/>
    <hyperlink ref="B90" r:id="rId95" display="http://eltweb04.elta.iai/pls/iman_Production/link_to_iman?item_id=AM26LV32EMDREP" xr:uid="{89F42CC0-8105-4A49-9CBF-10CE5AE4D72C}"/>
    <hyperlink ref="B91" r:id="rId96" display="http://eltweb04.elta.iai/pls/iman_Production/link_to_iman?item_id=AT24C16D-XHM-T" xr:uid="{90854A1D-9063-4AB8-8894-E4704835BA21}"/>
    <hyperlink ref="B92" r:id="rId97" display="http://eltweb04.elta.iai/pls/iman_Production/link_to_iman?item_id=AT24CM01-XHM-B" xr:uid="{308381B7-DF22-4B38-86B9-EB7D9E16C07B}"/>
    <hyperlink ref="B93" r:id="rId98" display="http://eltweb04.elta.iai/pls/iman_Production/link_to_iman?item_id=ATC100A100JW150XTV" xr:uid="{9EEA5D59-692C-4215-851F-4A71765C4B4E}"/>
    <hyperlink ref="B107" r:id="rId99" display="http://eltweb04.elta.iai/pls/iman_Production/link_to_iman?item_id=BAS3010A-03WE6327HTSA1" xr:uid="{1C74DAC6-8D6F-4D84-A7FC-7CAB0EDC271D}"/>
    <hyperlink ref="B94" r:id="rId100" display="http://eltweb04.elta.iai/pls/iman_Production/link_to_iman?item_id=BAT54WS-E3-08" xr:uid="{3471BE21-76C2-4566-A295-373E2A3F9DA5}"/>
    <hyperlink ref="B95" r:id="rId101" display="http://eltweb04.elta.iai/pls/iman_Production/link_to_iman?item_id=BLM15AG601SN1D" xr:uid="{B6F26DA8-F72C-43F0-B010-5E945BAD4A9D}"/>
    <hyperlink ref="B96" r:id="rId102" display="http://eltweb04.elta.iai/pls/iman_Production/link_to_iman?item_id=BLM15EG121SN1D" xr:uid="{A5D225C0-C2A2-43B4-AA5B-BAC8A07A130F}"/>
    <hyperlink ref="B97" r:id="rId103" display="http://eltweb04.elta.iai/pls/iman_Production/link_to_iman?item_id=BLM15EG221SN1D" xr:uid="{90E9A84F-32E0-4296-B57D-182F7513D9F3}"/>
    <hyperlink ref="B98" r:id="rId104" display="http://eltweb04.elta.iai/pls/iman_Production/link_to_iman?item_id=BLM18EG221SN1D" xr:uid="{890E831C-D514-4A74-AF7B-8FC652D06F08}"/>
    <hyperlink ref="B99" r:id="rId105" display="http://eltweb04.elta.iai/pls/iman_Production/link_to_iman?item_id=BLM18EG601SN1D" xr:uid="{FADBBFBA-7169-499E-AC86-24250083FF07}"/>
    <hyperlink ref="B100" r:id="rId106" display="http://eltweb04.elta.iai/pls/iman_Production/link_to_iman?item_id=BLM18SG260TN1D" xr:uid="{8B746B5B-34FC-47A3-8EE8-049613283973}"/>
    <hyperlink ref="B101" r:id="rId107" display="http://eltweb04.elta.iai/pls/iman_Production/link_to_iman?item_id=BLM31PG500SN1L" xr:uid="{3B5C9690-B2CC-4A68-BFBC-050A7F81C8F6}"/>
    <hyperlink ref="B102" r:id="rId108" display="http://eltweb04.elta.iai/pls/iman_Production/link_to_iman?item_id=C0402C100C5GAC7867" xr:uid="{EA1D2E7B-E3A7-4C33-8334-0D6E8C733877}"/>
    <hyperlink ref="B103" r:id="rId109" display="http://eltweb04.elta.iai/pls/iman_Production/link_to_iman?item_id=C0402C101J3GACTU" xr:uid="{A8DBBE88-D7F1-4FD6-8111-2755443D536B}"/>
    <hyperlink ref="B104" r:id="rId110" display="http://eltweb04.elta.iai/pls/iman_Production/link_to_iman?item_id=C0402C102K5RAC7867" xr:uid="{0AEA2B7B-39D4-4547-B2C4-F24C8A1BF24A}"/>
    <hyperlink ref="B105" r:id="rId111" display="http://eltweb04.elta.iai/pls/iman_Production/link_to_iman?item_id=C0402C103K3RAC7867" xr:uid="{619D7FCA-449A-4881-A615-CEF817600094}"/>
    <hyperlink ref="B106" r:id="rId112" display="http://eltweb04.elta.iai/pls/iman_Production/link_to_iman?item_id=C0402C279C5GAC7867" xr:uid="{0F774E19-85CB-4957-B27A-1E5C3D5FBEAF}"/>
    <hyperlink ref="B108" r:id="rId113" display="http://eltweb04.elta.iai/pls/iman_Production/link_to_iman?item_id=C0402C360G5GAC7867" xr:uid="{C9E3AABA-4DA6-411F-AD24-E2C8E35B32FE}"/>
    <hyperlink ref="B109" r:id="rId114" display="http://eltweb04.elta.iai/pls/iman_Production/link_to_iman?item_id=C0402C473K3RACTU" xr:uid="{296EE415-CA01-467D-9A2E-265A259CF4B1}"/>
    <hyperlink ref="B110" r:id="rId115" display="http://eltweb04.elta.iai/pls/iman_Production/link_to_iman?item_id=C0402C560J5GACTU" xr:uid="{BBF9692E-29FA-49C9-958C-9A140D227A1B}"/>
    <hyperlink ref="B124" r:id="rId116" display="http://eltweb04.elta.iai/pls/iman_Production/link_to_iman?item_id=C0603C103K4RACTU" xr:uid="{DE53CB26-314C-4EC8-BE81-CFEF2E3326FD}"/>
    <hyperlink ref="B111" r:id="rId117" display="http://eltweb04.elta.iai/pls/iman_Production/link_to_iman?item_id=C0603C103K5RAC7867" xr:uid="{D6FCCFA2-56A8-46CB-925A-EC9E28B19C0F}"/>
    <hyperlink ref="B112" r:id="rId118" display="http://eltweb04.elta.iai/pls/iman_Production/link_to_iman?item_id=C0603C104K5RAC7867" xr:uid="{4574BE57-8E1C-4500-98A1-90D9DEEEDDB0}"/>
    <hyperlink ref="B127" r:id="rId119" display="http://eltweb04.elta.iai/pls/iman_Production/link_to_iman?item_id=C0603C105K3RACTU" xr:uid="{A9AAE0C4-D6B3-437A-8099-BB00E09213B3}"/>
    <hyperlink ref="B113" r:id="rId120" display="http://eltweb04.elta.iai/pls/iman_Production/link_to_iman?item_id=C0603C122K5RACTU" xr:uid="{B70F2621-36C1-4910-94D2-2F4642D654E5}"/>
    <hyperlink ref="B114" r:id="rId121" display="http://eltweb04.elta.iai/pls/iman_Production/link_to_iman?item_id=C0603C181K5RACTU" xr:uid="{C529AB39-55C9-44F7-ABE3-2A27E5B1FD2E}"/>
    <hyperlink ref="B115" r:id="rId122" display="http://eltweb04.elta.iai/pls/iman_Production/link_to_iman?item_id=C0603C220G5GALTU" xr:uid="{87681A00-81A4-410A-AEE1-E868248B8A32}"/>
    <hyperlink ref="B116" r:id="rId123" display="http://eltweb04.elta.iai/pls/iman_Production/link_to_iman?item_id=C0603C221K5RAC7867" xr:uid="{73422EF3-6330-4296-A101-C0B1C0B0F0D5}"/>
    <hyperlink ref="B117" r:id="rId124" display="http://eltweb04.elta.iai/pls/iman_Production/link_to_iman?item_id=C0603C561K5RACTU" xr:uid="{BF2B684E-5011-4F33-91E7-B4F1506EAE1B}"/>
    <hyperlink ref="B133" r:id="rId125" display="http://eltweb04.elta.iai/pls/iman_Production/link_to_iman?item_id=C0603C569D5GACTU" xr:uid="{D34AA9C1-A59A-4253-AF3B-49446CC12294}"/>
    <hyperlink ref="B134" r:id="rId126" display="http://eltweb04.elta.iai/pls/iman_Production/link_to_iman?item_id=C0805C105K3RAL7025" xr:uid="{8AF84C84-36AE-4121-9D9C-F2BADA491626}"/>
    <hyperlink ref="B118" r:id="rId127" display="http://eltweb04.elta.iai/pls/iman_Production/link_to_iman?item_id=C0805C183K5RALTM" xr:uid="{34F901C9-BADB-4AF4-80C1-D8A137213AC2}"/>
    <hyperlink ref="B119" r:id="rId128" display="http://eltweb04.elta.iai/pls/iman_Production/link_to_iman?item_id=C0805C225K4RAC7800" xr:uid="{339C9ACB-9E1D-4559-9B01-062D75334610}"/>
    <hyperlink ref="B120" r:id="rId129" display="http://eltweb04.elta.iai/pls/iman_Production/link_to_iman?item_id=C0805C475K4RAC7025" xr:uid="{B5F54599-7138-4B95-84EC-F1F60F9AA305}"/>
    <hyperlink ref="B138" r:id="rId130" display="http://eltweb04.elta.iai/pls/iman_Production/link_to_iman?item_id=C10-218" xr:uid="{C2EC6B12-1FEB-47C8-B6E3-D1E4A470278E}"/>
    <hyperlink ref="B121" r:id="rId131" display="http://eltweb04.elta.iai/pls/iman_Production/link_to_iman?item_id=C1005X7R1H104K050BB" xr:uid="{67F91597-371C-4439-9066-7016D18C6284}"/>
    <hyperlink ref="B122" r:id="rId132" display="http://eltweb04.elta.iai/pls/iman_Production/link_to_iman?item_id=C1005X7S1A105K050BC" xr:uid="{F281C571-AD1C-4DB9-BAB9-D7C8BD450F24}"/>
    <hyperlink ref="B123" r:id="rId133" display="http://eltweb04.elta.iai/pls/iman_Production/link_to_iman?item_id=C1206C224K5RAC7800" xr:uid="{DDD50AB3-BA94-4229-930B-520715947EF3}"/>
    <hyperlink ref="B125" r:id="rId134" display="http://eltweb04.elta.iai/pls/iman_Production/link_to_iman?item_id=C1210C106K5RACTU" xr:uid="{51F0F1B6-65BE-4D2D-9715-327EA5C0D8CE}"/>
    <hyperlink ref="B126" r:id="rId135" display="http://eltweb04.elta.iai/pls/iman_Production/link_to_iman?item_id=C4532X7R1E226M250KC" xr:uid="{1AD14098-0191-4536-95D4-8FED602BFAD1}"/>
    <hyperlink ref="B128" r:id="rId136" display="http://eltweb04.elta.iai/pls/iman_Production/link_to_iman?item_id=CC0603GRNPO9BN121" xr:uid="{20F47B78-0EB1-45E2-BF56-D6A9E449CC59}"/>
    <hyperlink ref="B129" r:id="rId137" display="http://eltweb04.elta.iai/pls/iman_Production/link_to_iman?item_id=CL05B104KP5NNNC" xr:uid="{F95764A5-7BA1-4640-9237-B321D1694B85}"/>
    <hyperlink ref="B130" r:id="rId138" display="http://eltweb04.elta.iai/pls/iman_Production/link_to_iman?item_id=CL05C010BB5NNNC" xr:uid="{100B994C-1162-42B4-8C69-92CBDD974A62}"/>
    <hyperlink ref="B147" r:id="rId139" display="http://eltweb04.elta.iai/pls/iman_Production/link_to_iman?item_id=CL05C4R7CB5NNNC" xr:uid="{D9408478-CB25-4466-B3B9-15ABF199C6A1}"/>
    <hyperlink ref="B148" r:id="rId140" display="http://eltweb04.elta.iai/pls/iman_Production/link_to_iman?item_id=CL10B102KB8NNNC" xr:uid="{D91A198A-5624-47D2-A543-2A158287F636}"/>
    <hyperlink ref="B131" r:id="rId141" display="http://eltweb04.elta.iai/pls/iman_Production/link_to_iman?item_id=CL10B104KA8NNNC" xr:uid="{8EF39C99-2686-4848-996A-6EB5DEFD2B4C}"/>
    <hyperlink ref="B132" r:id="rId142" display="http://eltweb04.elta.iai/pls/iman_Production/link_to_iman?item_id=CL10B104KO8NNNC" xr:uid="{58B1FB01-5554-418F-9D48-A4F743484BD2}"/>
    <hyperlink ref="B135" r:id="rId143" display="http://eltweb04.elta.iai/pls/iman_Production/link_to_iman?item_id=CL10B105KO8NNNC" xr:uid="{922D1C69-9CE8-4A02-9719-AA49D7BAEA8D}"/>
    <hyperlink ref="B136" r:id="rId144" display="http://eltweb04.elta.iai/pls/iman_Production/link_to_iman?item_id=CL10B332KB8NNNC" xr:uid="{2E0D2EB1-C157-4FEA-8828-346806EAD916}"/>
    <hyperlink ref="B153" r:id="rId145" display="http://eltweb04.elta.iai/pls/iman_Production/link_to_iman?item_id=CL10C101GB8NNNC" xr:uid="{92854685-CD15-4068-99EB-3E39E3072C2B}"/>
    <hyperlink ref="B137" r:id="rId146" display="http://eltweb04.elta.iai/pls/iman_Production/link_to_iman?item_id=CL10C150GB8NNNC" xr:uid="{51D12E83-3958-4A0B-BBAD-6A34F846D206}"/>
    <hyperlink ref="B139" r:id="rId147" display="http://eltweb04.elta.iai/pls/iman_Production/link_to_iman?item_id=CL10C470GB8NNNC" xr:uid="{B2AE9548-B0D5-4A13-8A14-7E134B0CEFB3}"/>
    <hyperlink ref="B140" r:id="rId148" display="http://eltweb04.elta.iai/pls/iman_Production/link_to_iman?item_id=CL10C680GB8NNNC" xr:uid="{CE34C603-23BD-4948-9A9B-302BFD61DD5E}"/>
    <hyperlink ref="B141" r:id="rId149" display="http://eltweb04.elta.iai/pls/iman_Production/link_to_iman?item_id=CL31B106KOHNNNE" xr:uid="{6BD53B4E-C9B6-45B7-9B9E-FCFD8F123FC6}"/>
    <hyperlink ref="B142" r:id="rId150" display="http://eltweb04.elta.iai/pls/iman_Production/link_to_iman?item_id=CLP-104-02-L-D-BE-TR" xr:uid="{E5FC3E72-B576-4A83-B7FA-CC86D06F4E67}"/>
    <hyperlink ref="B143" r:id="rId151" display="http://eltweb04.elta.iai/pls/iman_Production/link_to_iman?item_id=CP0402A4500CLTR" xr:uid="{F04B440F-2419-4AAB-99C4-DE2DEBF1EA1A}"/>
    <hyperlink ref="B144" r:id="rId152" display="http://eltweb04.elta.iai/pls/iman_Production/link_to_iman?item_id=CR0603-FX-9090-ELF" xr:uid="{CDD5FE04-8550-462E-879D-589C4685CC57}"/>
    <hyperlink ref="B145" r:id="rId153" display="http://eltweb04.elta.iai/pls/iman_Production/link_to_iman?item_id=CR0603-J/-6R2-ELF" xr:uid="{6046404D-F068-49F3-BA7B-FD6928313C05}"/>
    <hyperlink ref="B146" r:id="rId154" display="http://eltweb04.elta.iai/pls/iman_Production/link_to_iman?item_id=CRCW04020000ZSED" xr:uid="{021E6DB9-B65C-4483-8D3E-92D1FFD5C6DE}"/>
    <hyperlink ref="B149" r:id="rId155" display="http://eltweb04.elta.iai/pls/iman_Production/link_to_iman?item_id=CRCW0402100KFKED" xr:uid="{FA2A61D0-0BF9-4C7E-8CE0-47480A2B8D98}"/>
    <hyperlink ref="B150" r:id="rId156" display="http://eltweb04.elta.iai/pls/iman_Production/link_to_iman?item_id=CRCW0402100RFKED" xr:uid="{927E1B1E-1102-48B6-BF86-8448799A911D}"/>
    <hyperlink ref="B151" r:id="rId157" display="http://eltweb04.elta.iai/pls/iman_Production/link_to_iman?item_id=CRCW040210K0FKED" xr:uid="{7DED35A6-1A45-4DD1-A144-C35CEC7C7FDF}"/>
    <hyperlink ref="B152" r:id="rId158" display="http://eltweb04.elta.iai/pls/iman_Production/link_to_iman?item_id=CRCW040210R0FKED" xr:uid="{CEE71615-787A-4BD7-AA0D-A4A735478C60}"/>
    <hyperlink ref="B154" r:id="rId159" display="http://eltweb04.elta.iai/pls/iman_Production/link_to_iman?item_id=CRCW040212R1FKED" xr:uid="{0BC9FB43-96E8-474D-BE91-8673B7A6383A}"/>
    <hyperlink ref="B155" r:id="rId160" display="http://eltweb04.elta.iai/pls/iman_Production/link_to_iman?item_id=CRCW0402130RFKED" xr:uid="{68F62AD8-B203-4A4C-A978-EBEA9063EDF6}"/>
    <hyperlink ref="B156" r:id="rId161" display="http://eltweb04.elta.iai/pls/iman_Production/link_to_iman?item_id=CRCW0402178RFKED" xr:uid="{8B02A71F-58A6-4E3C-9AF9-69C45E3F0B9B}"/>
    <hyperlink ref="B157" r:id="rId162" display="http://eltweb04.elta.iai/pls/iman_Production/link_to_iman?item_id=CRCW040217R8FKED" xr:uid="{811313D1-4D8E-4CD3-B8CF-674E558A1855}"/>
    <hyperlink ref="B158" r:id="rId163" display="http://eltweb04.elta.iai/pls/iman_Production/link_to_iman?item_id=CRCW04021K00FKED" xr:uid="{BDDB0C6E-99D0-487D-970E-0EAAF02E09B3}"/>
    <hyperlink ref="B159" r:id="rId164" display="http://eltweb04.elta.iai/pls/iman_Production/link_to_iman?item_id=CRCW04021K21FKED" xr:uid="{FE8AB3F7-02A1-4C4E-9865-2846A3E12BCB}"/>
    <hyperlink ref="B160" r:id="rId165" display="http://eltweb04.elta.iai/pls/iman_Production/link_to_iman?item_id=CRCW0402200RFKED" xr:uid="{5B430152-B0E0-482A-B6BB-A35A8A3EA3B7}"/>
    <hyperlink ref="B161" r:id="rId166" display="http://eltweb04.elta.iai/pls/iman_Production/link_to_iman?item_id=CRCW0402221RFKED" xr:uid="{35171D71-B106-456C-8568-F32E6B484F69}"/>
    <hyperlink ref="B162" r:id="rId167" display="http://eltweb04.elta.iai/pls/iman_Production/link_to_iman?item_id=CRCW040222R1FKED" xr:uid="{C7130062-885E-4702-90CF-F8161AF12D95}"/>
    <hyperlink ref="B163" r:id="rId168" display="http://eltweb04.elta.iai/pls/iman_Production/link_to_iman?item_id=CRCW0402243RFKED" xr:uid="{B20C05EE-512B-4876-B23D-AE37C657DD04}"/>
    <hyperlink ref="B164" r:id="rId169" display="http://eltweb04.elta.iai/pls/iman_Production/link_to_iman?item_id=CRCW040224R3FKED" xr:uid="{62275148-16C7-4D2B-9E5F-6F3EDD84372A}"/>
    <hyperlink ref="B165" r:id="rId170" display="http://eltweb04.elta.iai/pls/iman_Production/link_to_iman?item_id=CRCW0402294RFKED" xr:uid="{213C9499-8141-4728-BC28-DEF22C714B25}"/>
    <hyperlink ref="B166" r:id="rId171" display="http://eltweb04.elta.iai/pls/iman_Production/link_to_iman?item_id=CRCW04022K00FKED" xr:uid="{276DD9F0-F9B1-4E19-B10C-5BDE128A60C3}"/>
    <hyperlink ref="B167" r:id="rId172" display="http://eltweb04.elta.iai/pls/iman_Production/link_to_iman?item_id=CRCW040230R1FKED" xr:uid="{535CB02D-4883-4561-8626-85DA89E428BC}"/>
    <hyperlink ref="B168" r:id="rId173" display="http://eltweb04.elta.iai/pls/iman_Production/link_to_iman?item_id=CRCW0402332RFKED" xr:uid="{1856B405-B781-4DD3-8A57-A45997607D3A}"/>
    <hyperlink ref="B169" r:id="rId174" display="http://eltweb04.elta.iai/pls/iman_Production/link_to_iman?item_id=CRCW040233R2FKED" xr:uid="{ED4CFA02-6774-46F5-A0E0-4DB1FE717EE9}"/>
    <hyperlink ref="B170" r:id="rId175" display="http://eltweb04.elta.iai/pls/iman_Production/link_to_iman?item_id=CRCW04023K01FKED" xr:uid="{DBBD6DC8-1FC9-4DE7-A005-F66CCA007014}"/>
    <hyperlink ref="B171" r:id="rId176" display="http://eltweb04.elta.iai/pls/iman_Production/link_to_iman?item_id=CRCW0402432RFKED" xr:uid="{D61D6B59-D2E7-4E20-8F8D-D31A9F064BF1}"/>
    <hyperlink ref="B172" r:id="rId177" display="http://eltweb04.elta.iai/pls/iman_Production/link_to_iman?item_id=CRCW0402499RFKED" xr:uid="{C51E24F7-C8E5-4060-8094-12BA4E53E8FC}"/>
    <hyperlink ref="B173" r:id="rId178" display="http://eltweb04.elta.iai/pls/iman_Production/link_to_iman?item_id=CRCW040249R9FKED" xr:uid="{2008C518-2FE8-408A-ADF6-B3CAD4F78715}"/>
    <hyperlink ref="B174" r:id="rId179" display="http://eltweb04.elta.iai/pls/iman_Production/link_to_iman?item_id=CRCW04024K32FKED" xr:uid="{CFFA5238-EDA0-4089-B6B2-7E6E120B0590}"/>
    <hyperlink ref="B175" r:id="rId180" display="http://eltweb04.elta.iai/pls/iman_Production/link_to_iman?item_id=CRCW04024K75FKED" xr:uid="{A851954C-19BB-428C-81E6-8855A7CAF038}"/>
    <hyperlink ref="B176" r:id="rId181" display="http://eltweb04.elta.iai/pls/iman_Production/link_to_iman?item_id=CRCW04024K99FKED" xr:uid="{51A1AA45-87CE-4329-B540-F2C7EBBDDE16}"/>
    <hyperlink ref="B177" r:id="rId182" display="http://eltweb04.elta.iai/pls/iman_Production/link_to_iman?item_id=CRCW040275R0FKED" xr:uid="{7D6CFF4E-0809-4716-9C3D-E457EBEE23F0}"/>
    <hyperlink ref="B178" r:id="rId183" display="http://eltweb04.elta.iai/pls/iman_Production/link_to_iman?item_id=CRCW040282R5FKED" xr:uid="{F8B2B840-BC27-4689-B9E2-97ABCCD95ED6}"/>
    <hyperlink ref="B179" r:id="rId184" display="http://eltweb04.elta.iai/pls/iman_Production/link_to_iman?item_id=CRCW040290R9FKED" xr:uid="{F6C07469-A2CF-48BB-A688-1CD641BB47EA}"/>
    <hyperlink ref="B180" r:id="rId185" display="http://eltweb04.elta.iai/pls/iman_Production/link_to_iman?item_id=CRCW06030000Z0EA" xr:uid="{FC5BCD2B-5D6E-40F9-B2B5-0AA6D7A60158}"/>
    <hyperlink ref="B181" r:id="rId186" display="http://eltweb04.elta.iai/pls/iman_Production/link_to_iman?item_id=CRCW0603100KFKEA" xr:uid="{148257FE-FD9B-4B94-8B7F-EA95F7997879}"/>
    <hyperlink ref="B182" r:id="rId187" display="http://eltweb04.elta.iai/pls/iman_Production/link_to_iman?item_id=CRCW0603100RFKEA" xr:uid="{6D530CAE-77FF-45D1-BCC4-199F3B02F6EF}"/>
    <hyperlink ref="B183" r:id="rId188" display="http://eltweb04.elta.iai/pls/iman_Production/link_to_iman?item_id=CRCW060310K0FKEA" xr:uid="{57600E49-49D4-4686-BAEC-A12F56299823}"/>
    <hyperlink ref="B197" r:id="rId189" display="http://eltweb04.elta.iai/pls/iman_Production/link_to_iman?item_id=CRCW060310R0FKEA" xr:uid="{AAE49891-77B2-40F5-8970-614DD6719F2D}"/>
    <hyperlink ref="B198" r:id="rId190" display="http://eltweb04.elta.iai/pls/iman_Production/link_to_iman?item_id=CRCW060312K1FKEA" xr:uid="{D1B6DB2C-E863-494B-AE55-6776AA0B5F6C}"/>
    <hyperlink ref="B184" r:id="rId191" display="http://eltweb04.elta.iai/pls/iman_Production/link_to_iman?item_id=CRCW0603137RFKEA" xr:uid="{59DEE933-3393-41D3-B144-9A4080F0B10A}"/>
    <hyperlink ref="B185" r:id="rId192" display="http://eltweb04.elta.iai/pls/iman_Production/link_to_iman?item_id=CRCW0603150RFKEA" xr:uid="{A3A0E66B-05D8-4E97-A4E0-A5C5C780A4D3}"/>
    <hyperlink ref="B186" r:id="rId193" display="http://eltweb04.elta.iai/pls/iman_Production/link_to_iman?item_id=CRCW06031K00FKEA" xr:uid="{E3313806-BB2A-40F1-B8B1-4FA95F8540B4}"/>
    <hyperlink ref="B187" r:id="rId194" display="http://eltweb04.elta.iai/pls/iman_Production/link_to_iman?item_id=CRCW06031K21FKEA" xr:uid="{D9CE31D4-ED14-4ECE-96EE-B0B9DB5B3756}"/>
    <hyperlink ref="B188" r:id="rId195" display="http://eltweb04.elta.iai/pls/iman_Production/link_to_iman?item_id=CRCW06031K30FKEA" xr:uid="{C0A6DE1E-EDFE-4787-B1C5-BCE55D86FE9A}"/>
    <hyperlink ref="B189" r:id="rId196" display="http://eltweb04.elta.iai/pls/iman_Production/link_to_iman?item_id=CRCW06031K40FKEA" xr:uid="{BE66C946-4A68-40F6-9905-3FD5151C3AFC}"/>
    <hyperlink ref="B190" r:id="rId197" display="http://eltweb04.elta.iai/pls/iman_Production/link_to_iman?item_id=CRCW06031K82FKEA" xr:uid="{E32454D2-DF5D-41D6-BF89-E36CF6F32AEB}"/>
    <hyperlink ref="B191" r:id="rId198" display="http://eltweb04.elta.iai/pls/iman_Production/link_to_iman?item_id=CRCW0603200RFKEA" xr:uid="{8D766ECC-92E2-4BE5-94D5-165FD0B1E958}"/>
    <hyperlink ref="B207" r:id="rId199" display="http://eltweb04.elta.iai/pls/iman_Production/link_to_iman?item_id=CRCW060320K5FKEA" xr:uid="{F26588D9-7B3E-44A3-8834-00CE2F8958D4}"/>
    <hyperlink ref="B192" r:id="rId200" display="http://eltweb04.elta.iai/pls/iman_Production/link_to_iman?item_id=CRCW060320R0FKEA" xr:uid="{BC577EC0-D6FE-4D86-B8CE-C4940D4BEFD8}"/>
    <hyperlink ref="B193" r:id="rId201" display="http://eltweb04.elta.iai/pls/iman_Production/link_to_iman?item_id=CRCW0603221RFKEA" xr:uid="{8953FE91-7DA4-4869-9C2D-EEA5D89AE7B4}"/>
    <hyperlink ref="B194" r:id="rId202" display="http://eltweb04.elta.iai/pls/iman_Production/link_to_iman?item_id=CRCW0603237RFKEA" xr:uid="{3072902A-A7F6-48BC-973B-7F44C476B48E}"/>
    <hyperlink ref="B195" r:id="rId203" display="http://eltweb04.elta.iai/pls/iman_Production/link_to_iman?item_id=CRCW06032K00FKEA" xr:uid="{176C8A6F-C4BC-48B9-9FAB-24743CFEA378}"/>
    <hyperlink ref="B196" r:id="rId204" display="http://eltweb04.elta.iai/pls/iman_Production/link_to_iman?item_id=CRCW06032K61FKEA" xr:uid="{42472FFF-50FA-4FD5-AAA2-9356390DFDDC}"/>
    <hyperlink ref="B213" r:id="rId205" display="http://eltweb04.elta.iai/pls/iman_Production/link_to_iman?item_id=CRCW060337K4FKEA" xr:uid="{B25E7573-5CDA-4521-9E94-031541BA1E50}"/>
    <hyperlink ref="B199" r:id="rId206" display="http://eltweb04.elta.iai/pls/iman_Production/link_to_iman?item_id=CRCW060339R2FKEA" xr:uid="{27AC6460-C14C-4873-BEF1-1AC7E533B717}"/>
    <hyperlink ref="B200" r:id="rId207" display="http://eltweb04.elta.iai/pls/iman_Production/link_to_iman?item_id=CRCW06033K01FKEA" xr:uid="{C8A659EE-8A02-4F6A-8AC3-2462235A2520}"/>
    <hyperlink ref="B201" r:id="rId208" display="http://eltweb04.elta.iai/pls/iman_Production/link_to_iman?item_id=CRCW06033K92FKEA" xr:uid="{D8EC77D0-5114-45B8-94B8-E6BE631A7830}"/>
    <hyperlink ref="B217" r:id="rId209" display="http://eltweb04.elta.iai/pls/iman_Production/link_to_iman?item_id=CRCW06033R00FKEA" xr:uid="{14B06827-DE7E-418C-AEFE-9BBC1BEFE9AB}"/>
    <hyperlink ref="B218" r:id="rId210" display="http://eltweb04.elta.iai/pls/iman_Production/link_to_iman?item_id=CRCW060340K2FKEA" xr:uid="{2A0D3323-3177-42DF-BCD9-DE31EF644E37}"/>
    <hyperlink ref="B202" r:id="rId211" display="http://eltweb04.elta.iai/pls/iman_Production/link_to_iman?item_id=CRCW0603432RFKEA" xr:uid="{B36DB1DB-C017-4D62-8FA1-AE4CA4055B3A}"/>
    <hyperlink ref="B203" r:id="rId212" display="http://eltweb04.elta.iai/pls/iman_Production/link_to_iman?item_id=CRCW060343R2FKEA" xr:uid="{10EED4C8-817F-44AD-82D6-BF3A73466F96}"/>
    <hyperlink ref="B204" r:id="rId213" display="http://eltweb04.elta.iai/pls/iman_Production/link_to_iman?item_id=CRCW0603475RFKEA" xr:uid="{220228CC-349A-4882-8D2C-8919F546C279}"/>
    <hyperlink ref="B205" r:id="rId214" display="http://eltweb04.elta.iai/pls/iman_Production/link_to_iman?item_id=CRCW060349K9FKEA" xr:uid="{8A967257-0DE9-4160-91B2-1DED4A350ABB}"/>
    <hyperlink ref="B223" r:id="rId215" display="http://eltweb04.elta.iai/pls/iman_Production/link_to_iman?item_id=CRCW060349R9FKEA" xr:uid="{E1A31148-7DA0-4F8D-8610-5E070A2FE0A9}"/>
    <hyperlink ref="B206" r:id="rId216" display="http://eltweb04.elta.iai/pls/iman_Production/link_to_iman?item_id=CRCW06034K75FKEA" xr:uid="{648602E0-349A-4542-90E9-643B8AA8A8BC}"/>
    <hyperlink ref="B208" r:id="rId217" display="http://eltweb04.elta.iai/pls/iman_Production/link_to_iman?item_id=CRCW06034K99FKEA" xr:uid="{AF0997FA-5751-404A-BBDE-0E002BD73BCE}"/>
    <hyperlink ref="B226" r:id="rId218" display="http://eltweb04.elta.iai/pls/iman_Production/link_to_iman?item_id=CRCW06035K11FKTA" xr:uid="{C76F6CAC-D06F-4794-A59C-723152A05A13}"/>
    <hyperlink ref="B209" r:id="rId219" display="http://eltweb04.elta.iai/pls/iman_Production/link_to_iman?item_id=CRCW060361R9FKEA" xr:uid="{BA35C4AE-AB11-43F7-AEB6-4C4CCBCC7D40}"/>
    <hyperlink ref="B228" r:id="rId220" display="http://eltweb04.elta.iai/pls/iman_Production/link_to_iman?item_id=CRCW060366K5FKEA" xr:uid="{CAB97E5D-FA59-4598-BA61-1B67BF666671}"/>
    <hyperlink ref="B210" r:id="rId221" display="http://eltweb04.elta.iai/pls/iman_Production/link_to_iman?item_id=CRCW0603681RFKEA" xr:uid="{83E19169-FDEE-47CA-BD15-2C3A33419924}"/>
    <hyperlink ref="B211" r:id="rId222" display="http://eltweb04.elta.iai/pls/iman_Production/link_to_iman?item_id=CRCW060368R1FKEA" xr:uid="{7E7E8543-202B-4E21-A139-2D1084674FF6}"/>
    <hyperlink ref="B212" r:id="rId223" display="http://eltweb04.elta.iai/pls/iman_Production/link_to_iman?item_id=CRCW0603750RFKEA" xr:uid="{BBB2F321-64B0-4CBC-821A-156318AB9F3A}"/>
    <hyperlink ref="B214" r:id="rId224" display="http://eltweb04.elta.iai/pls/iman_Production/link_to_iman?item_id=CRCW0603806RFKEA" xr:uid="{9D265C4D-8AD6-4962-9CC1-9E8DDB360FDE}"/>
    <hyperlink ref="B215" r:id="rId225" display="http://eltweb04.elta.iai/pls/iman_Production/link_to_iman?item_id=CRCW060382R5FKEA" xr:uid="{1D3FE316-3A88-45D4-9C23-0056CDEEF4D3}"/>
    <hyperlink ref="B234" r:id="rId226" display="http://eltweb04.elta.iai/pls/iman_Production/link_to_iman?item_id=CRCW0805100RFKEA" xr:uid="{78BAC4E9-72D2-46CA-A977-470E0554238C}"/>
    <hyperlink ref="B216" r:id="rId227" display="http://eltweb04.elta.iai/pls/iman_Production/link_to_iman?item_id=CRCW080520R0FKEA" xr:uid="{8A5C7404-4B76-4FF4-B767-A28E8359663A}"/>
    <hyperlink ref="B219" r:id="rId228" display="http://eltweb04.elta.iai/pls/iman_Production/link_to_iman?item_id=CRCW0805249RFKEA" xr:uid="{24A3DE21-6E31-4775-BE2C-429B0DAE00A8}"/>
    <hyperlink ref="B220" r:id="rId229" display="http://eltweb04.elta.iai/pls/iman_Production/link_to_iman?item_id=CRCW080590R9FKEA" xr:uid="{127EB971-737C-4838-9A2D-5695276B06D0}"/>
    <hyperlink ref="B221" r:id="rId230" display="http://eltweb04.elta.iai/pls/iman_Production/link_to_iman?item_id=CRCW12060000ZSEA" xr:uid="{FBD6697D-83A5-46A6-B455-7ADD78040D9D}"/>
    <hyperlink ref="B222" r:id="rId231" display="http://eltweb04.elta.iai/pls/iman_Production/link_to_iman?item_id=CRCW1206432RFKEA" xr:uid="{7A5283FC-BA22-49DF-BEF2-884AF9591F12}"/>
    <hyperlink ref="B240" r:id="rId232" display="http://eltweb04.elta.iai/pls/iman_Production/link_to_iman?item_id=D38999/24WD35PA" xr:uid="{6FF73C68-629C-4E6B-8A50-FDD19E577AD9}"/>
    <hyperlink ref="B46" r:id="rId233" display="http://eltweb04.elta.iai/pls/iman_Production/link_to_iman?item_id=D38999/24WG35PN" xr:uid="{D5EF8997-0260-4087-BCE5-40DD238D8BE1}"/>
    <hyperlink ref="B32" r:id="rId234" display="http://eltweb04.elta.iai/pls/iman_Production/link_to_iman?item_id=D38999/33W15N" xr:uid="{DC5CC777-2E61-4B49-B825-16B209D276CF}"/>
    <hyperlink ref="B243" r:id="rId235" display="http://eltweb04.elta.iai/pls/iman_Production/link_to_iman?item_id=D38999/33W21N" xr:uid="{B1701309-9B1C-4B6C-8289-B590EFADC8A7}"/>
    <hyperlink ref="B392" r:id="rId236" display="http://eltweb04.elta.iai/pls/iman_Production/link_to_iman?item_id=DDMM50P-F179" xr:uid="{1E088BDE-2AAC-44A9-AFDF-169DB90ABC43}"/>
    <hyperlink ref="B224" r:id="rId237" display="http://eltweb04.elta.iai/pls/iman_Production/link_to_iman?item_id=DG636EEN-T1-GE4" xr:uid="{8F4B254C-876E-4622-BA72-345AF18CA1E8}"/>
    <hyperlink ref="B225" r:id="rId238" display="http://eltweb04.elta.iai/pls/iman_Production/link_to_iman?item_id=DLW21SN900SQ2L" xr:uid="{7EA50553-0C80-4D5B-93C3-9D6814A942F5}"/>
    <hyperlink ref="B227" r:id="rId239" display="http://eltweb04.elta.iai/pls/iman_Production/link_to_iman?item_id=DS1608C-102MLC" xr:uid="{8CC2B57A-7C62-4CD2-91C8-F2439A12F517}"/>
    <hyperlink ref="B229" r:id="rId240" display="http://eltweb04.elta.iai/pls/iman_Production/link_to_iman?item_id=DS1682S+" xr:uid="{A7E842CA-E71B-4A3B-8933-CB9C1C4ECA7F}"/>
    <hyperlink ref="B230" r:id="rId241" display="http://eltweb04.elta.iai/pls/iman_Production/link_to_iman?item_id=DS620U+TR" xr:uid="{FF2AA071-A9CD-4271-8201-F95B8F25D3EE}"/>
    <hyperlink ref="B231" r:id="rId242" display="http://eltweb04.elta.iai/pls/iman_Production/link_to_iman?item_id=DS90LV017ATM/NOPB" xr:uid="{371598DA-D193-4041-A08E-B980ACF9EE4A}"/>
    <hyperlink ref="B232" r:id="rId243" display="http://eltweb04.elta.iai/pls/iman_Production/link_to_iman?item_id=DS90LV018ATM/NOPB" xr:uid="{25ADE842-9047-427A-9C30-E1656CE38A2F}"/>
    <hyperlink ref="B233" r:id="rId244" display="http://eltweb04.elta.iai/pls/iman_Production/link_to_iman?item_id=DS90LV032ATMX/NOPB" xr:uid="{7C0DB5DA-F038-424F-B747-AF2EEE76BFB3}"/>
    <hyperlink ref="B36" r:id="rId245" display="http://eltweb04.elta.iai/pls/iman_Production/link_to_iman?item_id=EC2216A/B GRAY KT2OZ" xr:uid="{67E5900F-A456-4239-860D-2ABC3351FFEC}"/>
    <hyperlink ref="B393" r:id="rId246" display="http://eltweb04.elta.iai/pls/iman_Production/link_to_iman?item_id=EP4CE115F29I7" xr:uid="{207D9F63-C4C0-446B-BBE9-2D125EF40CF1}"/>
    <hyperlink ref="B395" r:id="rId247" display="http://eltweb04.elta.iai/pls/iman_Production/link_to_iman?item_id=EPCQ64ASI16N" xr:uid="{F7524CDA-9C95-4F0C-A636-C5A2661400A2}"/>
    <hyperlink ref="B235" r:id="rId248" display="http://eltweb04.elta.iai/pls/iman_Production/link_to_iman?item_id=ERM8-013-05-S-DV-DS-K-TR" xr:uid="{C11D7B40-27D4-46C5-BCB2-5EAC9AF224B0}"/>
    <hyperlink ref="B236" r:id="rId249" display="http://eltweb04.elta.iai/pls/iman_Production/link_to_iman?item_id=ETC1-1-13TR" xr:uid="{4F7AA586-ACAA-442A-BBB9-7C9737529D28}"/>
    <hyperlink ref="B237" r:id="rId250" display="http://eltweb04.elta.iai/pls/iman_Production/link_to_iman?item_id=FDN339AN" xr:uid="{0145ECFB-2390-4F32-8B0D-6E415AC2EE4C}"/>
    <hyperlink ref="B259" r:id="rId251" display="http://eltweb04.elta.iai/pls/iman_Production/link_to_iman?item_id=FT1033-15L" xr:uid="{5C121755-6129-49E7-A366-C659E205384A}"/>
    <hyperlink ref="B260" r:id="rId252" display="http://eltweb04.elta.iai/pls/iman_Production/link_to_iman?item_id=FT1737HS-6-8-A-B" xr:uid="{771C5E3B-3846-49B8-B57E-5131A62E78BE}"/>
    <hyperlink ref="B238" r:id="rId253" display="http://eltweb04.elta.iai/pls/iman_Production/link_to_iman?item_id=GRM155R71C104KA88D" xr:uid="{3CB70CC8-58C9-42C9-A611-442D702F91A2}"/>
    <hyperlink ref="B239" r:id="rId254" display="http://eltweb04.elta.iai/pls/iman_Production/link_to_iman?item_id=GRM155R71H681KA01D" xr:uid="{3203B468-1C72-4D52-9E02-40A2CC049F30}"/>
    <hyperlink ref="B244" r:id="rId255" display="http://eltweb04.elta.iai/pls/iman_Production/link_to_iman?item_id=GXO-U108L/BI-14.31818MHZ" xr:uid="{2380E8BD-60BD-4A4F-B15C-3D73F1A25298}"/>
    <hyperlink ref="B245" r:id="rId256" display="http://eltweb04.elta.iai/pls/iman_Production/link_to_iman?item_id=HI1206P121R-10" xr:uid="{BCA46E7A-80BE-431B-89C6-013F86C31D9F}"/>
    <hyperlink ref="B246" r:id="rId257" display="http://eltweb04.elta.iai/pls/iman_Production/link_to_iman?item_id=HMC213BMS8E" xr:uid="{F12C5BFE-7943-4E5E-94AC-F8D4E05149DD}"/>
    <hyperlink ref="B397" r:id="rId258" display="http://eltweb04.elta.iai/pls/iman_Production/link_to_iman?item_id=HMC220BMS8GE" xr:uid="{96FD91F0-3616-441A-AC38-78039738742B}"/>
    <hyperlink ref="B399" r:id="rId259" display="http://eltweb04.elta.iai/pls/iman_Production/link_to_iman?item_id=HMC365S8G" xr:uid="{96F11960-ADF8-49F5-B108-7DA712BC11B9}"/>
    <hyperlink ref="B247" r:id="rId260" display="http://eltweb04.elta.iai/pls/iman_Production/link_to_iman?item_id=HMC424ALP3ETR" xr:uid="{A4F363A5-5CBD-4B7C-B9AB-2874D77C1542}"/>
    <hyperlink ref="B248" r:id="rId261" display="http://eltweb04.elta.iai/pls/iman_Production/link_to_iman?item_id=HMC432E" xr:uid="{28B01287-9D18-4E7F-9B70-BA374A3976CD}"/>
    <hyperlink ref="B400" r:id="rId262" display="http://eltweb04.elta.iai/pls/iman_Production/link_to_iman?item_id=HMC434E" xr:uid="{5F6D39EF-9CDF-4CB9-B046-2758E1137D76}"/>
    <hyperlink ref="B401" r:id="rId263" display="http://eltweb04.elta.iai/pls/iman_Production/link_to_iman?item_id=HMC441LC3BTR" xr:uid="{B7BE626D-1B68-4005-825B-31A674B462A7}"/>
    <hyperlink ref="B402" r:id="rId264" display="http://eltweb04.elta.iai/pls/iman_Production/link_to_iman?item_id=HMC443LP4E" xr:uid="{2276E1E7-616E-4A40-A38D-10642DB11C44}"/>
    <hyperlink ref="B273" r:id="rId265" display="http://eltweb04.elta.iai/pls/iman_Production/link_to_iman?item_id=HMC472ALP4E" xr:uid="{EA075845-0C3E-4AA5-BF00-8DA6A544DDB5}"/>
    <hyperlink ref="B403" r:id="rId266" display="http://eltweb04.elta.iai/pls/iman_Production/link_to_iman?item_id=HMC521ALC4" xr:uid="{FBA93A55-D187-4F5D-9FC7-9560AA457E82}"/>
    <hyperlink ref="B275" r:id="rId267" display="http://eltweb04.elta.iai/pls/iman_Production/link_to_iman?item_id=HMC536MS8GE" xr:uid="{1F5630AB-A1A0-4C12-8EF0-EAA99B444278}"/>
    <hyperlink ref="B404" r:id="rId268" display="http://eltweb04.elta.iai/pls/iman_Production/link_to_iman?item_id=HMC547ALP3E" xr:uid="{3A7D618D-199B-4E06-8A41-B717B87D462C}"/>
    <hyperlink ref="B405" r:id="rId269" display="http://eltweb04.elta.iai/pls/iman_Production/link_to_iman?item_id=HMC564LC4TR" xr:uid="{9B6D3445-3EEC-4AE2-A6C9-A3BF49B22DA4}"/>
    <hyperlink ref="B249" r:id="rId270" display="http://eltweb04.elta.iai/pls/iman_Production/link_to_iman?item_id=HSMG-C680" xr:uid="{CB9B9F88-4F04-40C6-BE5B-EFA401FA8ACE}"/>
    <hyperlink ref="B250" r:id="rId271" display="http://eltweb04.elta.iai/pls/iman_Production/link_to_iman?item_id=HSMS-C680" xr:uid="{6C1A531B-6B8D-44A7-B603-6251063B3E7E}"/>
    <hyperlink ref="B406" r:id="rId272" location="300" display="http://eltweb04.elta.iai/pls/iman_Production/link_to_iman?item_id=HSSR-7110#300" xr:uid="{BE1CC175-7809-43FE-8C46-0605F1F97751}"/>
    <hyperlink ref="B251" r:id="rId273" display="http://eltweb04.elta.iai/pls/iman_Production/link_to_iman?item_id=IHLP2525CZER1R0M01" xr:uid="{76ADB6DF-3467-4784-B2A5-8224754A541F}"/>
    <hyperlink ref="B252" r:id="rId274" display="http://eltweb04.elta.iai/pls/iman_Production/link_to_iman?item_id=IHLP2525CZERR33M01" xr:uid="{08C5880E-A38A-4C13-B00D-F18A21A8F795}"/>
    <hyperlink ref="B407" r:id="rId275" display="http://eltweb04.elta.iai/pls/iman_Production/link_to_iman?item_id=ISPPAC-POWR1220AT8-01TN-" xr:uid="{94CDF91A-4043-4EA0-99E4-234A7AA514E7}"/>
    <hyperlink ref="B33" r:id="rId276" display="http://eltweb04.elta.iai/pls/iman_Production/link_to_iman?item_id=JCM2900T3400VM1RC" xr:uid="{3E233C73-3C51-4C8A-B351-74F6A5E2FA42}"/>
    <hyperlink ref="B49" r:id="rId277" display="http://eltweb04.elta.iai/pls/iman_Production/link_to_iman?item_id=LFCN-1325+" xr:uid="{618D652B-D29E-43D5-81DC-8196DCCD9C5E}"/>
    <hyperlink ref="B50" r:id="rId278" display="http://eltweb04.elta.iai/pls/iman_Production/link_to_iman?item_id=LFCN-225+" xr:uid="{EBB327F2-6DD7-4052-B29B-68C90B0C97BF}"/>
    <hyperlink ref="B408" r:id="rId279" display="http://eltweb04.elta.iai/pls/iman_Production/link_to_iman?item_id=LFCN-400" xr:uid="{80327478-565A-4E86-B026-D5290D8B38E7}"/>
    <hyperlink ref="B51" r:id="rId280" display="http://eltweb04.elta.iai/pls/iman_Production/link_to_iman?item_id=LFCN-630+TR" xr:uid="{1A885496-CAD7-4609-AB4C-6CBBBA22FF91}"/>
    <hyperlink ref="B52" r:id="rId281" display="http://eltweb04.elta.iai/pls/iman_Production/link_to_iman?item_id=LFCN-900+" xr:uid="{72B6ACA5-4FE2-4CF4-A0DD-7BB833C34DB7}"/>
    <hyperlink ref="B258" r:id="rId282" display="http://eltweb04.elta.iai/pls/iman_Production/link_to_iman?item_id=LM5113QDPRRQ1" xr:uid="{27750AF9-84AD-44A3-8543-5BC803B93720}"/>
    <hyperlink ref="B38" r:id="rId283" display="http://eltweb04.elta.iai/pls/iman_Production/link_to_iman?item_id=LOCTITE 222-50CC" xr:uid="{0D10735F-B8C8-487D-8781-885DE85205FB}"/>
    <hyperlink ref="B261" r:id="rId284" display="http://eltweb04.elta.iai/pls/iman_Production/link_to_iman?item_id=LQG15HS15NJ02D" xr:uid="{C4B6ADDF-D72E-4880-8CB1-AC5BAF008FD1}"/>
    <hyperlink ref="B262" r:id="rId285" display="http://eltweb04.elta.iai/pls/iman_Production/link_to_iman?item_id=LQG15HS1N0B02D" xr:uid="{5277F925-6A37-49AF-AE40-5D7F0FC00C58}"/>
    <hyperlink ref="B263" r:id="rId286" display="http://eltweb04.elta.iai/pls/iman_Production/link_to_iman?item_id=LQG15HS22NJ02D" xr:uid="{009DED6F-2545-4B05-A368-4AC302C43B2B}"/>
    <hyperlink ref="B264" r:id="rId287" display="http://eltweb04.elta.iai/pls/iman_Production/link_to_iman?item_id=LQG15HS2N7S02D" xr:uid="{C43F26D3-5CC8-4184-9747-7CE6F1020C1B}"/>
    <hyperlink ref="B265" r:id="rId288" display="http://eltweb04.elta.iai/pls/iman_Production/link_to_iman?item_id=LQG15HS47NJ02D" xr:uid="{12980F94-5AFC-46D2-9C9E-EB6AE8A3217A}"/>
    <hyperlink ref="B266" r:id="rId289" display="http://eltweb04.elta.iai/pls/iman_Production/link_to_iman?item_id=LQW18AN10NG00D" xr:uid="{15A6CEA3-BB43-4CDF-A204-E21242B7290D}"/>
    <hyperlink ref="B267" r:id="rId290" display="http://eltweb04.elta.iai/pls/iman_Production/link_to_iman?item_id=LQW18AN20NG00D" xr:uid="{E2AA6706-4BA5-4730-9B61-81AFC9B6F07C}"/>
    <hyperlink ref="B268" r:id="rId291" display="http://eltweb04.elta.iai/pls/iman_Production/link_to_iman?item_id=LQW18AN33NG00D" xr:uid="{CE4DA9EE-AF52-497F-9D95-9B112A0C8168}"/>
    <hyperlink ref="B269" r:id="rId292" display="http://eltweb04.elta.iai/pls/iman_Production/link_to_iman?item_id=LQW18AN33NJ00D" xr:uid="{6643CC0A-DC9B-45E8-9729-A834A429D41C}"/>
    <hyperlink ref="B270" r:id="rId293" display="http://eltweb04.elta.iai/pls/iman_Production/link_to_iman?item_id=LQW18AN56NG00D" xr:uid="{69D01017-073B-4034-972B-7A4657688672}"/>
    <hyperlink ref="B271" r:id="rId294" display="http://eltweb04.elta.iai/pls/iman_Production/link_to_iman?item_id=LQW18AN6N8C00D" xr:uid="{11144D52-C145-4E7C-9331-6DD510A3F062}"/>
    <hyperlink ref="B272" r:id="rId295" display="http://eltweb04.elta.iai/pls/iman_Production/link_to_iman?item_id=LQW18ANR10G00D" xr:uid="{29C161FF-C5C6-4057-B71A-9E230559C0C6}"/>
    <hyperlink ref="B274" r:id="rId296" display="http://eltweb04.elta.iai/pls/iman_Production/link_to_iman?item_id=LQW18ANR12G00D" xr:uid="{AC49D326-5EE8-4F37-B79F-B8FC2449B590}"/>
    <hyperlink ref="B276" r:id="rId297" display="http://eltweb04.elta.iai/pls/iman_Production/link_to_iman?item_id=LQW18ANR13G00D" xr:uid="{CDD4E069-C827-489B-AEEB-46714F61E369}"/>
    <hyperlink ref="B277" r:id="rId298" display="http://eltweb04.elta.iai/pls/iman_Production/link_to_iman?item_id=LQW18ANR18G00D" xr:uid="{9957DEE3-68A1-4B96-8898-8FF1CAC69400}"/>
    <hyperlink ref="B278" r:id="rId299" location="TRPBF" display="http://eltweb04.elta.iai/pls/iman_Production/link_to_iman?item_id=LT1175IS8#TRPBF" xr:uid="{1BE45295-1F5F-47B8-B3C4-2780E60A1B1B}"/>
    <hyperlink ref="B308" r:id="rId300" location="TRMPBF" display="http://eltweb04.elta.iai/pls/iman_Production/link_to_iman?item_id=LT1716HS5#TRMPBF" xr:uid="{0C35C038-1D0A-4CC2-A3EB-84A1B5CE8440}"/>
    <hyperlink ref="B279" r:id="rId301" location="PBF" display="http://eltweb04.elta.iai/pls/iman_Production/link_to_iman?item_id=LT1763CS8#PBF" xr:uid="{795432D9-049D-4878-A3EF-46E67C60AE5C}"/>
    <hyperlink ref="B280" r:id="rId302" location="TRPBF" display="http://eltweb04.elta.iai/pls/iman_Production/link_to_iman?item_id=LT1964IDD#TRPBF" xr:uid="{61E4E11B-6C54-4277-A512-416FEA251DA9}"/>
    <hyperlink ref="B409" r:id="rId303" display="http://eltweb04.elta.iai/pls/iman_Production/link_to_iman?item_id=LT6604IUFF-15PBF" xr:uid="{2D2CBC7D-04B0-486F-A2B8-2D65335FFED8}"/>
    <hyperlink ref="B312" r:id="rId304" location="TRPBF" display="http://eltweb04.elta.iai/pls/iman_Production/link_to_iman?item_id=LTC4444HMS8E-5#TRPBF" xr:uid="{C84F7DA3-E545-402B-BA72-DE2973313A6C}"/>
    <hyperlink ref="B313" r:id="rId305" location="TRMPBF" display="http://eltweb04.elta.iai/pls/iman_Production/link_to_iman?item_id=LTC5532ES6#TRMPBF" xr:uid="{0A2EDF4B-2DE5-49E2-AD19-8736CBB2FC31}"/>
    <hyperlink ref="B410" r:id="rId306" location="PBF" display="http://eltweb04.elta.iai/pls/iman_Production/link_to_iman?item_id=LTM4608AIV#PBF" xr:uid="{B6D5602F-A5EB-45CE-9214-22DE02D911A4}"/>
    <hyperlink ref="B281" r:id="rId307" display="http://eltweb04.elta.iai/pls/iman_Production/link_to_iman?item_id=MA144769-287T" xr:uid="{F28E760D-C1EF-438D-8325-3DC0D90B26A3}"/>
    <hyperlink ref="B282" r:id="rId308" display="http://eltweb04.elta.iai/pls/iman_Production/link_to_iman?item_id=MADR-007097-0001TR" xr:uid="{C4ABEB7E-74B2-4795-AA8A-0ED3890D16A2}"/>
    <hyperlink ref="B411" r:id="rId309" display="http://eltweb04.elta.iai/pls/iman_Production/link_to_iman?item_id=MAX1617AMEE+" xr:uid="{78139AAE-9E44-42AA-9D2B-CD6EA2B51A6B}"/>
    <hyperlink ref="B283" r:id="rId310" display="http://eltweb04.elta.iai/pls/iman_Production/link_to_iman?item_id=MAX3380EEUP+" xr:uid="{90735DC2-53AD-446B-BAF2-95C3054CD784}"/>
    <hyperlink ref="B285" r:id="rId311" display="http://eltweb04.elta.iai/pls/iman_Production/link_to_iman?item_id=MAX8557ETE+T" xr:uid="{252A2530-2B11-42E1-82CB-6FA6D4121DDD}"/>
    <hyperlink ref="B286" r:id="rId312" display="http://eltweb04.elta.iai/pls/iman_Production/link_to_iman?item_id=MAX962ESA+" xr:uid="{F2BCD5AE-D4D9-406F-B2F6-F0736FF60878}"/>
    <hyperlink ref="B287" r:id="rId313" display="http://eltweb04.elta.iai/pls/iman_Production/link_to_iman?item_id=MAX999EUK+T" xr:uid="{3AFD23E1-16AF-4793-9798-C8C97AB43313}"/>
    <hyperlink ref="B288" r:id="rId314" display="http://eltweb04.elta.iai/pls/iman_Production/link_to_iman?item_id=MBB0502X104MGN1N8-8" xr:uid="{FEFF2A8A-A940-478F-9EBB-B324DFCEAADF}"/>
    <hyperlink ref="B289" r:id="rId315" display="http://eltweb04.elta.iai/pls/iman_Production/link_to_iman?item_id=MC100EP16DTG" xr:uid="{EF455A8B-8B02-4BF7-895A-4AF55C362ED2}"/>
    <hyperlink ref="B415" r:id="rId316" display="http://eltweb04.elta.iai/pls/iman_Production/link_to_iman?item_id=MC100EP40DTG" xr:uid="{3613C0B2-31E4-489B-A900-5341390FD291}"/>
    <hyperlink ref="B290" r:id="rId317" display="http://eltweb04.elta.iai/pls/iman_Production/link_to_iman?item_id=MC100LVEP111FAG" xr:uid="{24DF2C90-E564-4617-963C-A37CDEDA034D}"/>
    <hyperlink ref="B292" r:id="rId318" display="http://eltweb04.elta.iai/pls/iman_Production/link_to_iman?item_id=MC74ACT04DR2G" xr:uid="{D9E09A6B-CEE9-41D7-B151-1D2D44BA036F}"/>
    <hyperlink ref="B293" r:id="rId319" display="http://eltweb04.elta.iai/pls/iman_Production/link_to_iman?item_id=MI0603J601R-10" xr:uid="{52A9CA90-7A1D-4453-9D62-64B26AE707CF}"/>
    <hyperlink ref="B294" r:id="rId320" display="http://eltweb04.elta.iai/pls/iman_Production/link_to_iman?item_id=MIC2026-1YM" xr:uid="{1F4E94BC-54B0-455F-9502-47F4A4FE46BE}"/>
    <hyperlink ref="B295" r:id="rId321" display="http://eltweb04.elta.iai/pls/iman_Production/link_to_iman?item_id=MIC4426YMM-TR" xr:uid="{F653D310-5AD9-407C-A9E0-3E1C1AEBEB6F}"/>
    <hyperlink ref="B296" r:id="rId322" display="http://eltweb04.elta.iai/pls/iman_Production/link_to_iman?item_id=MIC4427YMM-TR" xr:uid="{2354CB1B-0C2D-4E01-A3E6-2EE4087F23EA}"/>
    <hyperlink ref="B297" r:id="rId323" display="http://eltweb04.elta.iai/pls/iman_Production/link_to_iman?item_id=MM3Z5V1T1G" xr:uid="{99449CEE-C885-4068-8982-898B196B0C02}"/>
    <hyperlink ref="B298" r:id="rId324" display="http://eltweb04.elta.iai/pls/iman_Production/link_to_iman?item_id=MM8030-2610RJ3" xr:uid="{C3B97DEB-08FA-419E-B5AF-ABEEA62502C8}"/>
    <hyperlink ref="B333" r:id="rId325" display="http://eltweb04.elta.iai/pls/iman_Production/link_to_iman?item_id=MM8430-2610RA1" xr:uid="{5135F6D5-DC4C-48A3-B10C-AEE644AFBD0A}"/>
    <hyperlink ref="B299" r:id="rId326" display="http://eltweb04.elta.iai/pls/iman_Production/link_to_iman?item_id=MMBD4148SE" xr:uid="{2BF47BE7-B44C-4419-9BAA-C395722884EF}"/>
    <hyperlink ref="B300" r:id="rId327" display="http://eltweb04.elta.iai/pls/iman_Production/link_to_iman?item_id=MMBT2222ALT1G" xr:uid="{EC241F90-04AA-4992-9139-5887F6672CE7}"/>
    <hyperlink ref="B301" r:id="rId328" display="http://eltweb04.elta.iai/pls/iman_Production/link_to_iman?item_id=MPP4201A-206-HS" xr:uid="{65F5346E-8AD9-43C8-A29B-409B1E02154B}"/>
    <hyperlink ref="B337" r:id="rId329" display="http://eltweb04.elta.iai/pls/iman_Production/link_to_iman?item_id=MS15795-802" xr:uid="{D94C0967-4E5A-4CC8-BED2-A3399FEF3106}"/>
    <hyperlink ref="B338" r:id="rId330" display="http://eltweb04.elta.iai/pls/iman_Production/link_to_iman?item_id=MS15795-803" xr:uid="{BCD0EB61-9268-47CC-A6B5-5B907C28EAE2}"/>
    <hyperlink ref="B339" r:id="rId331" display="http://eltweb04.elta.iai/pls/iman_Production/link_to_iman?item_id=MS24693-C2" xr:uid="{B13A544A-F893-4290-B3B1-AEEF45B6258E}"/>
    <hyperlink ref="B340" r:id="rId332" display="http://eltweb04.elta.iai/pls/iman_Production/link_to_iman?item_id=MS3213-22" xr:uid="{622A2898-BB4C-4654-A454-B1D6C42E79B0}"/>
    <hyperlink ref="B341" r:id="rId333" display="http://eltweb04.elta.iai/pls/iman_Production/link_to_iman?item_id=MS35338-134" xr:uid="{732FA40B-7615-48CD-B892-7F340A19D31B}"/>
    <hyperlink ref="B342" r:id="rId334" display="http://eltweb04.elta.iai/pls/iman_Production/link_to_iman?item_id=MS35338-135" xr:uid="{CE6E80FF-4A44-4010-BDED-1E8B10A84B9A}"/>
    <hyperlink ref="B343" r:id="rId335" display="http://eltweb04.elta.iai/pls/iman_Production/link_to_iman?item_id=MS51957-13" xr:uid="{288BF461-C44E-44A3-B69C-BEDAC5A10221}"/>
    <hyperlink ref="B344" r:id="rId336" display="http://eltweb04.elta.iai/pls/iman_Production/link_to_iman?item_id=MS51957-14" xr:uid="{0DA46DC4-9719-4070-9939-BE21BB3C8775}"/>
    <hyperlink ref="B345" r:id="rId337" display="http://eltweb04.elta.iai/pls/iman_Production/link_to_iman?item_id=MS51957-3" xr:uid="{A49325A9-1ECE-422C-B831-DD2818BD6C01}"/>
    <hyperlink ref="B346" r:id="rId338" display="http://eltweb04.elta.iai/pls/iman_Production/link_to_iman?item_id=MS51957-4" xr:uid="{BBF57DE1-EB75-4CEA-B846-397961B0D8C9}"/>
    <hyperlink ref="B347" r:id="rId339" display="http://eltweb04.elta.iai/pls/iman_Production/link_to_iman?item_id=MS51957-5" xr:uid="{26BE55DE-C1C7-447F-A803-D1BBC5944742}"/>
    <hyperlink ref="B302" r:id="rId340" display="http://eltweb04.elta.iai/pls/iman_Production/link_to_iman?item_id=MT25QL128ABA8ESF-0AAT" xr:uid="{DEAD97A1-6BFD-4961-B5B9-23E5635844BB}"/>
    <hyperlink ref="B304" r:id="rId341" display="http://eltweb04.elta.iai/pls/iman_Production/link_to_iman?item_id=MTVA-0300N04W3S" xr:uid="{6373F4E1-2022-4E7E-A6E6-9237780EE8DD}"/>
    <hyperlink ref="B315" r:id="rId342" display="http://eltweb04.elta.iai/pls/iman_Production/link_to_iman?item_id=MTVA-0500N03W3S" xr:uid="{5FEACE2F-7F07-4E2B-B4C4-A8FB8EE41BA6}"/>
    <hyperlink ref="B305" r:id="rId343" display="http://eltweb04.elta.iai/pls/iman_Production/link_to_iman?item_id=MURS120T3G" xr:uid="{E82A82BA-4BB6-4954-9CB6-A215B36D3C92}"/>
    <hyperlink ref="B306" r:id="rId344" display="http://eltweb04.elta.iai/pls/iman_Production/link_to_iman?item_id=N2510-5003-RB" xr:uid="{4D793EEE-4C93-4148-90DD-2987985E8D22}"/>
    <hyperlink ref="B418" r:id="rId345" display="http://eltweb04.elta.iai/pls/iman_Production/link_to_iman?item_id=N7E50-C516PK30" xr:uid="{A6B28D66-393E-410C-B666-37DFA2AF18FD}"/>
    <hyperlink ref="B354" r:id="rId346" display="http://eltweb04.elta.iai/pls/iman_Production/link_to_iman?item_id=NAS620C2" xr:uid="{56A7BC63-BC6B-451D-8398-D5329B36F31F}"/>
    <hyperlink ref="B355" r:id="rId347" display="http://eltweb04.elta.iai/pls/iman_Production/link_to_iman?item_id=NAS620C4" xr:uid="{DDCA2C3B-7723-4484-A6ED-A79412F4F7CE}"/>
    <hyperlink ref="B356" r:id="rId348" display="http://eltweb04.elta.iai/pls/iman_Production/link_to_iman?item_id=NAS662C2R4" xr:uid="{16730E0B-2591-47E6-A3F9-1B7AB1EFCA08}"/>
    <hyperlink ref="B357" r:id="rId349" display="http://eltweb04.elta.iai/pls/iman_Production/link_to_iman?item_id=NAS671C2" xr:uid="{8810BB0D-772D-4CF0-8C61-205DAF29D75C}"/>
    <hyperlink ref="B307" r:id="rId350" display="http://eltweb04.elta.iai/pls/iman_Production/link_to_iman?item_id=NC7NZ04L8X-L22185" xr:uid="{42966EC1-2357-42C3-B4B5-7C14A7A4B50C}"/>
    <hyperlink ref="B359" r:id="rId351" display="http://eltweb04.elta.iai/pls/iman_Production/link_to_iman?item_id=NC7SZ04P5X" xr:uid="{B1033F10-CA97-48F2-93D9-E952CD6DBB29}"/>
    <hyperlink ref="B309" r:id="rId352" display="http://eltweb04.elta.iai/pls/iman_Production/link_to_iman?item_id=NC7SZ08P5X" xr:uid="{FD2C6088-257C-4AD9-B311-2BB054BE9F66}"/>
    <hyperlink ref="B310" r:id="rId353" display="http://eltweb04.elta.iai/pls/iman_Production/link_to_iman?item_id=NC7SZ14P5X-L22057" xr:uid="{259FA27F-EAF2-4654-B42F-B4777C1224BA}"/>
    <hyperlink ref="B362" r:id="rId354" display="http://eltweb04.elta.iai/pls/iman_Production/link_to_iman?item_id=NC7SZ32P5X" xr:uid="{47523497-0568-4C10-81AF-E1382F345991}"/>
    <hyperlink ref="B363" r:id="rId355" display="http://eltweb04.elta.iai/pls/iman_Production/link_to_iman?item_id=NFM18HC105C1C3D" xr:uid="{DCD8E104-2E65-4DB0-A14A-037A74337215}"/>
    <hyperlink ref="B364" r:id="rId356" display="http://eltweb04.elta.iai/pls/iman_Production/link_to_iman?item_id=NGC-1206CS50R0G" xr:uid="{AD0ECD0B-5725-4999-978C-B169B977B898}"/>
    <hyperlink ref="B311" r:id="rId357" display="http://eltweb04.elta.iai/pls/iman_Production/link_to_iman?item_id=NL27WZ125USG-F22190" xr:uid="{06EA913C-84B0-41D0-A8D0-579C3FBB3EE3}"/>
    <hyperlink ref="B314" r:id="rId358" display="http://eltweb04.elta.iai/pls/iman_Production/link_to_iman?item_id=PCA9517ADP.118" xr:uid="{AAA4A1AB-5A94-4E49-A9BB-6051FC1B7AFF}"/>
    <hyperlink ref="B367" r:id="rId359" display="http://eltweb04.elta.iai/pls/iman_Production/link_to_iman?item_id=PE42553B-Z" xr:uid="{B9A7E0CB-2C75-43FE-8B56-0FDC80FF5545}"/>
    <hyperlink ref="B53" r:id="rId360" display="http://eltweb04.elta.iai/pls/iman_Production/link_to_iman?item_id=PHA-1+" xr:uid="{A2CFD2B9-5BBD-43CA-B212-4A99FCF648C6}"/>
    <hyperlink ref="B316" r:id="rId361" display="http://eltweb04.elta.iai/pls/iman_Production/link_to_iman?item_id=PSOT03C-LF-T7" xr:uid="{2C8E2CED-81EF-426E-B121-2B3FBCAEA9BD}"/>
    <hyperlink ref="B317" r:id="rId362" display="http://eltweb04.elta.iai/pls/iman_Production/link_to_iman?item_id=PSR05-LF-T7" xr:uid="{DABB02FB-5549-44EF-BB08-325CB9718CED}"/>
    <hyperlink ref="B423" r:id="rId363" display="http://eltweb04.elta.iai/pls/iman_Production/link_to_iman?item_id=PX-501-0039-320M0000" xr:uid="{6A11C78E-6EB3-4D4F-886D-FC8570BD6DB8}"/>
    <hyperlink ref="B424" r:id="rId364" display="http://eltweb04.elta.iai/pls/iman_Production/link_to_iman?item_id=QPA2611TR7" xr:uid="{0E042022-DEEA-42BE-9101-768CD8B8B77B}"/>
    <hyperlink ref="B256" r:id="rId365" display="http://eltweb04.elta.iai/pls/iman_Production/link_to_iman?item_id=QPA4586ATR13" xr:uid="{100346D4-BD1C-4AC1-A36F-551BE67104D1}"/>
    <hyperlink ref="B319" r:id="rId366" display="http://eltweb04.elta.iai/pls/iman_Production/link_to_iman?item_id=REF192ESZ-REEL7" xr:uid="{C787EB38-252F-4BF9-950F-FDAC16D962C0}"/>
    <hyperlink ref="B425" r:id="rId367" display="http://eltweb04.elta.iai/pls/iman_Production/link_to_iman?item_id=ROS-3050-819+" xr:uid="{F25F2B89-4F45-4D0B-A13A-A02C04E3EE6C}"/>
    <hyperlink ref="B426" r:id="rId368" display="http://eltweb04.elta.iai/pls/iman_Production/link_to_iman?item_id=ROS-3760+" xr:uid="{909C9BCD-C45D-4186-A62F-1F7412CE99FC}"/>
    <hyperlink ref="B39" r:id="rId369" display="http://eltweb04.elta.iai/pls/iman_Production/link_to_iman?item_id=RTV 167-2.8 FL/OZ" xr:uid="{8DE30B9E-0FE0-4D6E-A813-93C1BBFF5582}"/>
    <hyperlink ref="B376" r:id="rId370" display="http://eltweb04.elta.iai/pls/iman_Production/link_to_iman?item_id=SALDAVEX F 0.20MM" xr:uid="{8B5567F2-B187-40AE-AAEF-BBEE9C1218B4}"/>
    <hyperlink ref="B257" r:id="rId371" display="http://eltweb04.elta.iai/pls/iman_Production/link_to_iman?item_id=SBB-3089Z" xr:uid="{BC9B3C28-3374-4014-A266-80CBB780E760}"/>
    <hyperlink ref="B284" r:id="rId372" display="http://eltweb04.elta.iai/pls/iman_Production/link_to_iman?item_id=SBB-4089Z" xr:uid="{FD53C183-EAB2-4339-90AD-582DFB5406CD}"/>
    <hyperlink ref="B291" r:id="rId373" display="http://eltweb04.elta.iai/pls/iman_Production/link_to_iman?item_id=SBB-5089Z" xr:uid="{2159D9CC-5484-428D-80E7-9D693B76FF03}"/>
    <hyperlink ref="B427" r:id="rId374" display="http://eltweb04.elta.iai/pls/iman_Production/link_to_iman?item_id=SCH3114I-NU" xr:uid="{8A7B4B0C-9046-474E-8293-64AD10E66931}"/>
    <hyperlink ref="B54" r:id="rId375" display="http://eltweb04.elta.iai/pls/iman_Production/link_to_iman?item_id=SCN-2-27+TR" xr:uid="{5D18E81F-6771-4FF8-8F57-A189F1830AB1}"/>
    <hyperlink ref="B55" r:id="rId376" display="http://eltweb04.elta.iai/pls/iman_Production/link_to_iman?item_id=SCN-2-35+" xr:uid="{E83F9794-BE97-4B07-99AA-4DDDABCA29EF}"/>
    <hyperlink ref="B325" r:id="rId377" display="http://eltweb04.elta.iai/pls/iman_Production/link_to_iman?item_id=SIA519EDJ-T1-GE3" xr:uid="{7C3DB0E1-CB99-4326-9E40-2FDD9CFE5D6A}"/>
    <hyperlink ref="B326" r:id="rId378" display="http://eltweb04.elta.iai/pls/iman_Production/link_to_iman?item_id=SIZ250DT-T1-GE3" xr:uid="{CCE541CA-BB5B-425F-A2DB-32C704C9E1E8}"/>
    <hyperlink ref="B387" r:id="rId379" display="http://eltweb04.elta.iai/pls/iman_Production/link_to_iman?item_id=SIZ342DT-T1-GE3" xr:uid="{A2AD5073-8B9D-4171-BE25-342C531C96E9}"/>
    <hyperlink ref="B327" r:id="rId380" display="http://eltweb04.elta.iai/pls/iman_Production/link_to_iman?item_id=SMBJ12A/TR" xr:uid="{3F28C2CF-642A-4554-B017-48B4E0DBA543}"/>
    <hyperlink ref="B328" r:id="rId381" display="http://eltweb04.elta.iai/pls/iman_Production/link_to_iman?item_id=SMBJ3V3-E3/52" xr:uid="{49497801-682B-4376-9F0B-673F95BA8928}"/>
    <hyperlink ref="B329" r:id="rId382" display="http://eltweb04.elta.iai/pls/iman_Production/link_to_iman?item_id=SMBJ5.0AE3/52" xr:uid="{041876D7-FB14-4B98-8338-E2FAA0726F81}"/>
    <hyperlink ref="B391" r:id="rId383" display="http://eltweb04.elta.iai/pls/iman_Production/link_to_iman?item_id=SMBJ7.0A-E3/52" xr:uid="{7C73B6D5-07D9-48E1-8B4C-D75D5692475B}"/>
    <hyperlink ref="B330" r:id="rId384" display="http://eltweb04.elta.iai/pls/iman_Production/link_to_iman?item_id=SMDA03LCC-LF-T7" xr:uid="{7B0B2282-9635-4BD2-8E5A-F4FC84DAA04D}"/>
    <hyperlink ref="B331" r:id="rId385" display="http://eltweb04.elta.iai/pls/iman_Production/link_to_iman?item_id=SN65LVDS387DGGRG4" xr:uid="{FD830305-C4C8-402A-9FD7-4B9C768E2EC2}"/>
    <hyperlink ref="B394" r:id="rId386" display="http://eltweb04.elta.iai/pls/iman_Production/link_to_iman?item_id=SN74LV4T125PWR" xr:uid="{BFDB2CCB-772A-4819-BE22-47190D40C32C}"/>
    <hyperlink ref="B332" r:id="rId387" display="http://eltweb04.elta.iai/pls/iman_Production/link_to_iman?item_id=SN74LVC1G07DCKT" xr:uid="{C961F37A-6738-4047-9D48-918CF82B9EF0}"/>
    <hyperlink ref="B396" r:id="rId388" display="http://eltweb04.elta.iai/pls/iman_Production/link_to_iman?item_id=SN74LVC2GU04DCKT" xr:uid="{A4D0EA59-6937-472C-B741-8773780B7F19}"/>
    <hyperlink ref="B334" r:id="rId389" display="http://eltweb04.elta.iai/pls/iman_Production/link_to_iman?item_id=SN74LVCH244APW" xr:uid="{95956470-8347-4330-B885-FA1C16C2400C}"/>
    <hyperlink ref="B398" r:id="rId390" display="http://eltweb04.elta.iai/pls/iman_Production/link_to_iman?item_id=SPF-5122ZSR" xr:uid="{43A3214B-5550-428A-8376-F00D9C40E60B}"/>
    <hyperlink ref="B335" r:id="rId391" display="http://eltweb04.elta.iai/pls/iman_Production/link_to_iman?item_id=SY89833ALMG" xr:uid="{9ADEE5AE-AEB8-4576-B29C-62B505EDB1AA}"/>
    <hyperlink ref="B58" r:id="rId392" display="http://eltweb04.elta.iai/pls/iman_Production/link_to_iman?item_id=SYM-30DLHW+" xr:uid="{684D6E13-AB4D-439D-B056-81E112D76317}"/>
    <hyperlink ref="B348" r:id="rId393" display="http://eltweb04.elta.iai/pls/iman_Production/link_to_iman?item_id=T491B335K025AH" xr:uid="{5C5EC3AD-DD3F-4215-B438-B25072BA3FD1}"/>
    <hyperlink ref="B349" r:id="rId394" display="http://eltweb04.elta.iai/pls/iman_Production/link_to_iman?item_id=T491C106K025AH" xr:uid="{DAD7781F-3096-457C-98C4-CCB4B0AA61C9}"/>
    <hyperlink ref="B350" r:id="rId395" display="http://eltweb04.elta.iai/pls/iman_Production/link_to_iman?item_id=T491X107K020AH" xr:uid="{A64CA059-F043-45F3-994C-A2046FA55B67}"/>
    <hyperlink ref="B351" r:id="rId396" display="http://eltweb04.elta.iai/pls/iman_Production/link_to_iman?item_id=T491X336K025AH" xr:uid="{70DA0939-4F48-47C0-8B40-71410C094B20}"/>
    <hyperlink ref="B352" r:id="rId397" display="http://eltweb04.elta.iai/pls/iman_Production/link_to_iman?item_id=T543O686M040ATE035" xr:uid="{DBFAAF8E-5355-4B83-BE06-1699ED78E2D2}"/>
    <hyperlink ref="B353" r:id="rId398" display="http://eltweb04.elta.iai/pls/iman_Production/link_to_iman?item_id=T55B107M6R3C0040" xr:uid="{03831073-5129-4E74-9035-69D2D1A4DD2B}"/>
    <hyperlink ref="B358" r:id="rId399" display="http://eltweb04.elta.iai/pls/iman_Production/link_to_iman?item_id=TA0564A" xr:uid="{3EDB2504-56AB-4603-AF07-2C0578B021D4}"/>
    <hyperlink ref="B360" r:id="rId400" display="http://eltweb04.elta.iai/pls/iman_Production/link_to_iman?item_id=TA0795A" xr:uid="{F6709C47-6722-4D2F-A00E-BE31576D0B84}"/>
    <hyperlink ref="B428" r:id="rId401" display="http://eltweb04.elta.iai/pls/iman_Production/link_to_iman?item_id=TA0877A" xr:uid="{9012EF29-8FA0-4B87-BEBA-4F02B516E5EE}"/>
    <hyperlink ref="B59" r:id="rId402" display="http://eltweb04.elta.iai/pls/iman_Production/link_to_iman?item_id=TC1-1T+" xr:uid="{49389AC5-A251-414E-B6AC-8F745AAF7190}"/>
    <hyperlink ref="B365" r:id="rId403" display="http://eltweb04.elta.iai/pls/iman_Production/link_to_iman?item_id=TFM-125-02-S-D-A-K-TR" xr:uid="{557343DF-BDA9-4D5A-BF33-E5F6EBD4EEFB}"/>
    <hyperlink ref="B412" r:id="rId404" display="http://eltweb04.elta.iai/pls/iman_Production/link_to_iman?item_id=TGA2731-SM" xr:uid="{70A1FFFE-79CE-4950-9CF5-C9F3EA4E7326}"/>
    <hyperlink ref="B303" r:id="rId405" display="http://eltweb04.elta.iai/pls/iman_Production/link_to_iman?item_id=TGL2201-SM T/R" xr:uid="{B2349157-9FB1-4A48-86C2-A1A1B7B599C8}"/>
    <hyperlink ref="B414" r:id="rId406" display="http://eltweb04.elta.iai/pls/iman_Production/link_to_iman?item_id=THT-1-724-10" xr:uid="{B8B68ABE-4428-4AE1-A137-FCB9D38EFB8A}"/>
    <hyperlink ref="B366" r:id="rId407" display="http://eltweb04.elta.iai/pls/iman_Production/link_to_iman?item_id=TPS51200DRCT" xr:uid="{0E7176CE-E07B-458E-B070-1AC9AE7E37FF}"/>
    <hyperlink ref="B416" r:id="rId408" display="http://eltweb04.elta.iai/pls/iman_Production/link_to_iman?item_id=TQL9092" xr:uid="{7070BE2E-A092-42C8-AB00-B419F378AEF7}"/>
    <hyperlink ref="B324" r:id="rId409" display="http://eltweb04.elta.iai/pls/iman_Production/link_to_iman?item_id=TS0310W3S" xr:uid="{5410A4FC-AD94-4EA6-AA8F-36D8FC85727F}"/>
    <hyperlink ref="B318" r:id="rId410" display="http://eltweb04.elta.iai/pls/iman_Production/link_to_iman?item_id=TS0500S" xr:uid="{C105DF97-8135-4A05-826B-96C7B3B0587F}"/>
    <hyperlink ref="B336" r:id="rId411" display="http://eltweb04.elta.iai/pls/iman_Production/link_to_iman?item_id=TS0501W3S/TR" xr:uid="{C192E2BE-C0CD-4767-B3AC-44C428614E51}"/>
    <hyperlink ref="B361" r:id="rId412" display="http://eltweb04.elta.iai/pls/iman_Production/link_to_iman?item_id=TS0502W3S" xr:uid="{3D108005-C805-4450-98A3-EB2D10824EFD}"/>
    <hyperlink ref="B368" r:id="rId413" display="http://eltweb04.elta.iai/pls/iman_Production/link_to_iman?item_id=TS0505S" xr:uid="{C00AAC27-35D9-4787-BF42-66D3FBF4D5EC}"/>
    <hyperlink ref="B369" r:id="rId414" display="http://eltweb04.elta.iai/pls/iman_Production/link_to_iman?item_id=TS0507S" xr:uid="{598AEDB2-C18A-41D7-B535-EE919FF9991B}"/>
    <hyperlink ref="B320" r:id="rId415" display="http://eltweb04.elta.iai/pls/iman_Production/link_to_iman?item_id=TVA-0300N07W3" xr:uid="{D415F06F-7821-492C-BD4B-F09236CD84E4}"/>
    <hyperlink ref="B321" r:id="rId416" display="http://eltweb04.elta.iai/pls/iman_Production/link_to_iman?item_id=TVA-0300N09S" xr:uid="{3D648823-4AA5-4A48-8199-BDE79D2D9EA2}"/>
    <hyperlink ref="B322" r:id="rId417" display="http://eltweb04.elta.iai/pls/iman_Production/link_to_iman?item_id=TVA-0500N03" xr:uid="{B4FDA679-5E6D-4E48-9115-AE53F1C4ED4C}"/>
    <hyperlink ref="B323" r:id="rId418" display="http://eltweb04.elta.iai/pls/iman_Production/link_to_iman?item_id=TVA-0500N07W3" xr:uid="{2124E6AC-B03A-48FF-AD56-8B0E2AFF3212}"/>
    <hyperlink ref="B429" r:id="rId419" display="http://eltweb04.elta.iai/pls/iman_Production/link_to_iman?item_id=TVS07RB-23-35SN" xr:uid="{E628E425-4DFC-449E-AED2-33E30CA4E31F}"/>
    <hyperlink ref="B417" r:id="rId420" display="http://eltweb04.elta.iai/pls/iman_Production/link_to_iman?item_id=VF261AHHL-1-156.25MHZ" xr:uid="{FE0A9DE2-A248-4240-9AA6-9FD4FBA4DB22}"/>
    <hyperlink ref="B374" r:id="rId421" display="http://eltweb04.elta.iai/pls/iman_Production/link_to_iman?item_id=X2B" xr:uid="{A73D672E-1237-4743-92C6-BCDFE31A35EA}"/>
    <hyperlink ref="B430" r:id="rId422" display="http://eltweb04.elta.iai/pls/iman_Production/link_to_iman?item_id=X3C30F1-20S" xr:uid="{9BD42C27-9E56-4D8B-A1AC-CDDEEE41E543}"/>
    <hyperlink ref="X37" r:id="rId423" xr:uid="{977CFB1C-9449-4680-9E3B-3276F8BD5CFF}"/>
    <hyperlink ref="X372" r:id="rId424" display="rivi@starlight@" xr:uid="{562D4B3B-A04C-4D65-8500-F9874F24E0F5}"/>
    <hyperlink ref="X242" r:id="rId425" xr:uid="{A21F618C-709C-4277-8767-798BB562B013}"/>
    <hyperlink ref="X253" r:id="rId426" xr:uid="{864BA6E4-9296-4612-B68A-E2F0AA56AF00}"/>
    <hyperlink ref="X254" r:id="rId427" xr:uid="{8EFEB4A4-DCAD-4399-85DC-1B8EBF76BC87}"/>
    <hyperlink ref="X303" r:id="rId428" xr:uid="{4EA9AAAB-911E-467B-82DC-C8B7EA02013F}"/>
    <hyperlink ref="X344" r:id="rId429" xr:uid="{743BF1ED-A02B-4699-BC78-D9325B65697C}"/>
    <hyperlink ref="X260" r:id="rId430" xr:uid="{7CA355EB-20F9-43C6-BA60-30396AD10E97}"/>
    <hyperlink ref="X64" r:id="rId431" xr:uid="{49965B00-E76A-486D-BFFC-8A5D37D9CD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924F-1906-42B3-876F-2E7D794C2FD7}">
  <sheetPr filterMode="1"/>
  <dimension ref="A1:G1000"/>
  <sheetViews>
    <sheetView workbookViewId="0">
      <selection activeCell="E46" sqref="E46"/>
    </sheetView>
  </sheetViews>
  <sheetFormatPr defaultColWidth="8.75" defaultRowHeight="12.75"/>
  <cols>
    <col min="1" max="1" width="15.875" style="54" customWidth="1"/>
    <col min="2" max="2" width="9.25" style="54" bestFit="1" customWidth="1"/>
    <col min="3" max="3" width="42.875" style="54" bestFit="1" customWidth="1"/>
    <col min="4" max="4" width="24.375" style="54" bestFit="1" customWidth="1"/>
    <col min="5" max="5" width="23.75" style="54" bestFit="1" customWidth="1"/>
    <col min="6" max="16384" width="8.75" style="54"/>
  </cols>
  <sheetData>
    <row r="1" spans="1:7">
      <c r="A1" s="54" t="s">
        <v>1330</v>
      </c>
      <c r="B1" s="60" t="s">
        <v>1331</v>
      </c>
      <c r="C1" s="54" t="s">
        <v>1332</v>
      </c>
      <c r="D1" s="54" t="s">
        <v>1333</v>
      </c>
      <c r="E1" s="54" t="s">
        <v>1333</v>
      </c>
      <c r="G1" s="54">
        <v>1</v>
      </c>
    </row>
    <row r="2" spans="1:7" hidden="1">
      <c r="A2" s="54">
        <v>400005121</v>
      </c>
      <c r="B2" s="54">
        <v>400263993</v>
      </c>
      <c r="C2" s="54" t="s">
        <v>1334</v>
      </c>
      <c r="D2" s="54" t="s">
        <v>1335</v>
      </c>
      <c r="E2" s="54" t="s">
        <v>570</v>
      </c>
    </row>
    <row r="3" spans="1:7" hidden="1">
      <c r="A3" s="54">
        <v>400005121</v>
      </c>
      <c r="B3" s="54">
        <v>400658323</v>
      </c>
      <c r="C3" s="54" t="s">
        <v>571</v>
      </c>
      <c r="D3" s="54" t="s">
        <v>570</v>
      </c>
      <c r="E3" s="54" t="s">
        <v>1336</v>
      </c>
    </row>
    <row r="4" spans="1:7" hidden="1">
      <c r="A4" s="54">
        <v>400005121</v>
      </c>
      <c r="B4" s="54">
        <v>411170089</v>
      </c>
      <c r="C4" s="54" t="s">
        <v>1334</v>
      </c>
      <c r="D4" s="54" t="s">
        <v>1337</v>
      </c>
      <c r="E4" s="54" t="s">
        <v>570</v>
      </c>
    </row>
    <row r="5" spans="1:7" hidden="1">
      <c r="A5" s="54">
        <v>400005121</v>
      </c>
      <c r="B5" s="54">
        <v>414865984</v>
      </c>
      <c r="C5" s="54" t="s">
        <v>1338</v>
      </c>
      <c r="D5" s="54" t="s">
        <v>1339</v>
      </c>
      <c r="E5" s="54" t="s">
        <v>570</v>
      </c>
    </row>
    <row r="6" spans="1:7" hidden="1">
      <c r="A6" s="54">
        <v>400005121</v>
      </c>
      <c r="B6" s="54" t="s">
        <v>1340</v>
      </c>
      <c r="C6" s="54" t="s">
        <v>1341</v>
      </c>
      <c r="D6" s="54" t="s">
        <v>1342</v>
      </c>
      <c r="E6" s="54" t="s">
        <v>570</v>
      </c>
    </row>
    <row r="7" spans="1:7" hidden="1">
      <c r="A7" s="54">
        <v>400005121</v>
      </c>
      <c r="B7" s="54" t="s">
        <v>1343</v>
      </c>
      <c r="C7" s="54" t="s">
        <v>1341</v>
      </c>
      <c r="D7" s="54" t="s">
        <v>1344</v>
      </c>
      <c r="E7" s="54" t="s">
        <v>570</v>
      </c>
    </row>
    <row r="8" spans="1:7" hidden="1">
      <c r="A8" s="54">
        <v>400005121</v>
      </c>
      <c r="B8" s="54" t="s">
        <v>1345</v>
      </c>
      <c r="C8" s="54" t="s">
        <v>1346</v>
      </c>
      <c r="D8" s="54" t="s">
        <v>1347</v>
      </c>
      <c r="E8" s="54" t="s">
        <v>570</v>
      </c>
    </row>
    <row r="9" spans="1:7" hidden="1">
      <c r="A9" s="54">
        <v>400005121</v>
      </c>
      <c r="B9" s="54" t="s">
        <v>1348</v>
      </c>
      <c r="C9" s="54" t="s">
        <v>1346</v>
      </c>
      <c r="D9" s="54" t="s">
        <v>1349</v>
      </c>
      <c r="E9" s="54" t="s">
        <v>570</v>
      </c>
    </row>
    <row r="10" spans="1:7" hidden="1">
      <c r="A10" s="54">
        <v>400011241</v>
      </c>
      <c r="B10" s="54">
        <v>400011241</v>
      </c>
      <c r="C10" s="54" t="s">
        <v>1350</v>
      </c>
      <c r="D10" s="54" t="s">
        <v>1351</v>
      </c>
      <c r="E10" s="54" t="s">
        <v>433</v>
      </c>
    </row>
    <row r="11" spans="1:7" hidden="1">
      <c r="A11" s="54">
        <v>400011241</v>
      </c>
      <c r="B11" s="54">
        <v>400326303</v>
      </c>
      <c r="C11" s="54" t="s">
        <v>434</v>
      </c>
      <c r="D11" s="54" t="s">
        <v>1352</v>
      </c>
      <c r="E11" s="54" t="s">
        <v>433</v>
      </c>
    </row>
    <row r="12" spans="1:7" hidden="1">
      <c r="A12" s="54">
        <v>400011241</v>
      </c>
      <c r="B12" s="54">
        <v>400539544</v>
      </c>
      <c r="C12" s="54" t="s">
        <v>434</v>
      </c>
      <c r="D12" s="54" t="s">
        <v>433</v>
      </c>
      <c r="E12" s="54" t="s">
        <v>1336</v>
      </c>
    </row>
    <row r="13" spans="1:7" hidden="1">
      <c r="A13" s="54">
        <v>400011241</v>
      </c>
      <c r="B13" s="54">
        <v>400663397</v>
      </c>
      <c r="C13" s="54" t="s">
        <v>434</v>
      </c>
      <c r="D13" s="54" t="s">
        <v>1353</v>
      </c>
      <c r="E13" s="54" t="s">
        <v>433</v>
      </c>
    </row>
    <row r="14" spans="1:7" hidden="1">
      <c r="A14" s="54">
        <v>400011241</v>
      </c>
      <c r="B14" s="54">
        <v>401173217</v>
      </c>
      <c r="C14" s="54" t="s">
        <v>434</v>
      </c>
      <c r="D14" s="54" t="s">
        <v>1354</v>
      </c>
      <c r="E14" s="54" t="s">
        <v>433</v>
      </c>
    </row>
    <row r="15" spans="1:7" hidden="1">
      <c r="A15" s="54">
        <v>400011241</v>
      </c>
      <c r="B15" s="54">
        <v>417103913</v>
      </c>
      <c r="C15" s="54" t="s">
        <v>434</v>
      </c>
      <c r="D15" s="54" t="s">
        <v>1355</v>
      </c>
      <c r="E15" s="54" t="s">
        <v>433</v>
      </c>
    </row>
    <row r="16" spans="1:7" hidden="1">
      <c r="A16" s="54">
        <v>400011241</v>
      </c>
      <c r="B16" s="54">
        <v>417350123</v>
      </c>
      <c r="C16" s="54" t="s">
        <v>434</v>
      </c>
      <c r="D16" s="54" t="s">
        <v>1356</v>
      </c>
      <c r="E16" s="54" t="s">
        <v>433</v>
      </c>
    </row>
    <row r="17" spans="1:5" hidden="1">
      <c r="A17" s="54">
        <v>400011241</v>
      </c>
      <c r="B17" s="54">
        <v>417350142</v>
      </c>
      <c r="C17" s="54" t="s">
        <v>434</v>
      </c>
      <c r="D17" s="54" t="s">
        <v>1357</v>
      </c>
      <c r="E17" s="54" t="s">
        <v>433</v>
      </c>
    </row>
    <row r="18" spans="1:5" hidden="1">
      <c r="A18" s="54">
        <v>400011241</v>
      </c>
      <c r="B18" s="54" t="s">
        <v>1358</v>
      </c>
      <c r="C18" s="54" t="s">
        <v>1359</v>
      </c>
      <c r="D18" s="54" t="s">
        <v>1360</v>
      </c>
      <c r="E18" s="54" t="s">
        <v>433</v>
      </c>
    </row>
    <row r="19" spans="1:5" hidden="1">
      <c r="A19" s="54">
        <v>400045348</v>
      </c>
      <c r="B19" s="54">
        <v>400043497</v>
      </c>
      <c r="C19" s="54" t="s">
        <v>1361</v>
      </c>
      <c r="D19" s="54" t="s">
        <v>1362</v>
      </c>
      <c r="E19" s="54" t="s">
        <v>881</v>
      </c>
    </row>
    <row r="20" spans="1:5" hidden="1">
      <c r="A20" s="54">
        <v>400045348</v>
      </c>
      <c r="B20" s="54">
        <v>400824172</v>
      </c>
      <c r="C20" s="54" t="s">
        <v>882</v>
      </c>
      <c r="D20" s="54" t="s">
        <v>881</v>
      </c>
      <c r="E20" s="54" t="s">
        <v>1336</v>
      </c>
    </row>
    <row r="21" spans="1:5" hidden="1">
      <c r="A21" s="54">
        <v>400045348</v>
      </c>
      <c r="B21" s="54">
        <v>401007140</v>
      </c>
      <c r="C21" s="54" t="s">
        <v>1361</v>
      </c>
      <c r="D21" s="54" t="s">
        <v>1363</v>
      </c>
      <c r="E21" s="54" t="s">
        <v>881</v>
      </c>
    </row>
    <row r="22" spans="1:5" hidden="1">
      <c r="A22" s="54">
        <v>400045348</v>
      </c>
      <c r="B22" s="54" t="s">
        <v>1364</v>
      </c>
      <c r="C22" s="54" t="s">
        <v>882</v>
      </c>
      <c r="D22" s="54" t="s">
        <v>1365</v>
      </c>
      <c r="E22" s="54" t="s">
        <v>881</v>
      </c>
    </row>
    <row r="23" spans="1:5" hidden="1">
      <c r="A23" s="54">
        <v>400095450</v>
      </c>
      <c r="B23" s="54">
        <v>400017449</v>
      </c>
      <c r="C23" s="54" t="s">
        <v>1366</v>
      </c>
      <c r="D23" s="54" t="s">
        <v>1367</v>
      </c>
      <c r="E23" s="54" t="s">
        <v>523</v>
      </c>
    </row>
    <row r="24" spans="1:5" hidden="1">
      <c r="A24" s="54">
        <v>400095450</v>
      </c>
      <c r="B24" s="54">
        <v>400249752</v>
      </c>
      <c r="C24" s="54" t="s">
        <v>721</v>
      </c>
      <c r="D24" s="54" t="s">
        <v>1368</v>
      </c>
      <c r="E24" s="54" t="s">
        <v>523</v>
      </c>
    </row>
    <row r="25" spans="1:5" hidden="1">
      <c r="A25" s="54">
        <v>400095450</v>
      </c>
      <c r="B25" s="54">
        <v>400709578</v>
      </c>
      <c r="C25" s="54" t="s">
        <v>524</v>
      </c>
      <c r="D25" s="54" t="s">
        <v>523</v>
      </c>
      <c r="E25" s="54" t="s">
        <v>1336</v>
      </c>
    </row>
    <row r="26" spans="1:5" hidden="1">
      <c r="A26" s="54">
        <v>400095450</v>
      </c>
      <c r="B26" s="54">
        <v>401197118</v>
      </c>
      <c r="C26" s="54" t="s">
        <v>721</v>
      </c>
      <c r="D26" s="54" t="s">
        <v>1369</v>
      </c>
      <c r="E26" s="54" t="s">
        <v>523</v>
      </c>
    </row>
    <row r="27" spans="1:5" hidden="1">
      <c r="A27" s="54">
        <v>400095450</v>
      </c>
      <c r="B27" s="54">
        <v>411170044</v>
      </c>
      <c r="C27" s="54" t="s">
        <v>721</v>
      </c>
      <c r="D27" s="54" t="s">
        <v>1370</v>
      </c>
      <c r="E27" s="54" t="s">
        <v>523</v>
      </c>
    </row>
    <row r="28" spans="1:5" hidden="1">
      <c r="A28" s="54">
        <v>400095450</v>
      </c>
      <c r="B28" s="54" t="s">
        <v>1371</v>
      </c>
      <c r="C28" s="54" t="s">
        <v>1372</v>
      </c>
      <c r="D28" s="54" t="s">
        <v>1373</v>
      </c>
      <c r="E28" s="54" t="s">
        <v>523</v>
      </c>
    </row>
    <row r="29" spans="1:5" hidden="1">
      <c r="A29" s="54">
        <v>400095450</v>
      </c>
      <c r="B29" s="54" t="s">
        <v>1374</v>
      </c>
      <c r="C29" s="54" t="s">
        <v>524</v>
      </c>
      <c r="D29" s="54" t="s">
        <v>1375</v>
      </c>
      <c r="E29" s="54" t="s">
        <v>523</v>
      </c>
    </row>
    <row r="30" spans="1:5" hidden="1">
      <c r="A30" s="54">
        <v>400095450</v>
      </c>
      <c r="B30" s="54" t="s">
        <v>1376</v>
      </c>
      <c r="C30" s="54" t="s">
        <v>1377</v>
      </c>
      <c r="D30" s="54" t="s">
        <v>1378</v>
      </c>
      <c r="E30" s="54" t="s">
        <v>523</v>
      </c>
    </row>
    <row r="31" spans="1:5" hidden="1">
      <c r="A31" s="54">
        <v>400095450</v>
      </c>
      <c r="B31" s="54" t="s">
        <v>1379</v>
      </c>
      <c r="C31" s="54" t="s">
        <v>1380</v>
      </c>
      <c r="D31" s="54" t="s">
        <v>1381</v>
      </c>
      <c r="E31" s="54" t="s">
        <v>523</v>
      </c>
    </row>
    <row r="32" spans="1:5" hidden="1">
      <c r="A32" s="54">
        <v>400095450</v>
      </c>
      <c r="B32" s="54" t="s">
        <v>1382</v>
      </c>
      <c r="C32" s="54" t="s">
        <v>1383</v>
      </c>
      <c r="D32" s="54" t="s">
        <v>1384</v>
      </c>
      <c r="E32" s="54" t="s">
        <v>523</v>
      </c>
    </row>
    <row r="33" spans="1:5" hidden="1">
      <c r="A33" s="54">
        <v>400095450</v>
      </c>
      <c r="B33" s="54" t="s">
        <v>1385</v>
      </c>
      <c r="C33" s="54" t="s">
        <v>1380</v>
      </c>
      <c r="D33" s="54" t="s">
        <v>1386</v>
      </c>
      <c r="E33" s="54" t="s">
        <v>523</v>
      </c>
    </row>
    <row r="34" spans="1:5" hidden="1">
      <c r="A34" s="54">
        <v>400275213</v>
      </c>
      <c r="B34" s="54">
        <v>400263980</v>
      </c>
      <c r="C34" s="54" t="s">
        <v>1387</v>
      </c>
      <c r="D34" s="54" t="s">
        <v>1388</v>
      </c>
      <c r="E34" s="54" t="s">
        <v>531</v>
      </c>
    </row>
    <row r="35" spans="1:5" hidden="1">
      <c r="A35" s="54">
        <v>400275213</v>
      </c>
      <c r="B35" s="54">
        <v>400656752</v>
      </c>
      <c r="C35" s="54" t="s">
        <v>532</v>
      </c>
      <c r="D35" s="54" t="s">
        <v>531</v>
      </c>
      <c r="E35" s="54" t="s">
        <v>1336</v>
      </c>
    </row>
    <row r="36" spans="1:5" hidden="1">
      <c r="A36" s="54">
        <v>400275213</v>
      </c>
      <c r="B36" s="54">
        <v>411170045</v>
      </c>
      <c r="C36" s="54" t="s">
        <v>1387</v>
      </c>
      <c r="D36" s="54" t="s">
        <v>1389</v>
      </c>
      <c r="E36" s="54" t="s">
        <v>531</v>
      </c>
    </row>
    <row r="37" spans="1:5" hidden="1">
      <c r="A37" s="54">
        <v>400275213</v>
      </c>
      <c r="B37" s="54">
        <v>414865977</v>
      </c>
      <c r="C37" s="54" t="s">
        <v>1390</v>
      </c>
      <c r="D37" s="54" t="s">
        <v>1391</v>
      </c>
      <c r="E37" s="54" t="s">
        <v>531</v>
      </c>
    </row>
    <row r="38" spans="1:5" hidden="1">
      <c r="A38" s="54">
        <v>400275213</v>
      </c>
      <c r="B38" s="54" t="s">
        <v>1392</v>
      </c>
      <c r="C38" s="54" t="s">
        <v>1393</v>
      </c>
      <c r="D38" s="54" t="s">
        <v>1394</v>
      </c>
      <c r="E38" s="54" t="s">
        <v>531</v>
      </c>
    </row>
    <row r="39" spans="1:5" hidden="1">
      <c r="A39" s="54">
        <v>400275214</v>
      </c>
      <c r="B39" s="54">
        <v>400249775</v>
      </c>
      <c r="C39" s="54" t="s">
        <v>1395</v>
      </c>
      <c r="D39" s="54" t="s">
        <v>1396</v>
      </c>
      <c r="E39" s="54" t="s">
        <v>533</v>
      </c>
    </row>
    <row r="40" spans="1:5" hidden="1">
      <c r="A40" s="54">
        <v>400275214</v>
      </c>
      <c r="B40" s="54">
        <v>400656753</v>
      </c>
      <c r="C40" s="54" t="s">
        <v>534</v>
      </c>
      <c r="D40" s="54" t="s">
        <v>533</v>
      </c>
      <c r="E40" s="54" t="s">
        <v>1336</v>
      </c>
    </row>
    <row r="41" spans="1:5" hidden="1">
      <c r="A41" s="54">
        <v>400275214</v>
      </c>
      <c r="B41" s="54">
        <v>411170046</v>
      </c>
      <c r="C41" s="54" t="s">
        <v>1395</v>
      </c>
      <c r="D41" s="54" t="s">
        <v>1397</v>
      </c>
      <c r="E41" s="54" t="s">
        <v>533</v>
      </c>
    </row>
    <row r="42" spans="1:5" hidden="1">
      <c r="A42" s="54">
        <v>400275214</v>
      </c>
      <c r="B42" s="54" t="s">
        <v>1398</v>
      </c>
      <c r="C42" s="54" t="s">
        <v>1399</v>
      </c>
      <c r="D42" s="54" t="s">
        <v>1400</v>
      </c>
      <c r="E42" s="54" t="s">
        <v>533</v>
      </c>
    </row>
    <row r="43" spans="1:5" hidden="1">
      <c r="A43" s="54">
        <v>400275219</v>
      </c>
      <c r="B43" s="54">
        <v>400027603</v>
      </c>
      <c r="C43" s="54" t="s">
        <v>1401</v>
      </c>
      <c r="D43" s="54" t="s">
        <v>1402</v>
      </c>
      <c r="E43" s="54" t="s">
        <v>555</v>
      </c>
    </row>
    <row r="44" spans="1:5" hidden="1">
      <c r="A44" s="54">
        <v>400275219</v>
      </c>
      <c r="B44" s="54">
        <v>400263990</v>
      </c>
      <c r="C44" s="54" t="s">
        <v>556</v>
      </c>
      <c r="D44" s="54" t="s">
        <v>1403</v>
      </c>
      <c r="E44" s="54" t="s">
        <v>555</v>
      </c>
    </row>
    <row r="45" spans="1:5" hidden="1">
      <c r="A45" s="54">
        <v>400275219</v>
      </c>
      <c r="B45" s="54">
        <v>401234957</v>
      </c>
      <c r="C45" s="54" t="s">
        <v>556</v>
      </c>
      <c r="D45" s="54" t="s">
        <v>555</v>
      </c>
      <c r="E45" s="54" t="s">
        <v>1336</v>
      </c>
    </row>
    <row r="46" spans="1:5" hidden="1">
      <c r="A46" s="54">
        <v>400275219</v>
      </c>
      <c r="B46" s="54">
        <v>411170068</v>
      </c>
      <c r="C46" s="54" t="s">
        <v>556</v>
      </c>
      <c r="D46" s="54" t="s">
        <v>1404</v>
      </c>
      <c r="E46" s="54" t="s">
        <v>555</v>
      </c>
    </row>
    <row r="47" spans="1:5" hidden="1">
      <c r="A47" s="54">
        <v>400275219</v>
      </c>
      <c r="B47" s="54">
        <v>417221873</v>
      </c>
      <c r="C47" s="54" t="s">
        <v>556</v>
      </c>
      <c r="D47" s="54" t="s">
        <v>1405</v>
      </c>
      <c r="E47" s="54" t="s">
        <v>555</v>
      </c>
    </row>
    <row r="48" spans="1:5" hidden="1">
      <c r="A48" s="54">
        <v>400275219</v>
      </c>
      <c r="B48" s="54" t="s">
        <v>1406</v>
      </c>
      <c r="C48" s="54" t="s">
        <v>1407</v>
      </c>
      <c r="D48" s="54" t="s">
        <v>1408</v>
      </c>
      <c r="E48" s="54" t="s">
        <v>555</v>
      </c>
    </row>
    <row r="49" spans="1:5" hidden="1">
      <c r="A49" s="54">
        <v>400275342</v>
      </c>
      <c r="B49" s="54">
        <v>400271524</v>
      </c>
      <c r="C49" s="54" t="s">
        <v>547</v>
      </c>
      <c r="D49" s="54" t="s">
        <v>1409</v>
      </c>
      <c r="E49" s="54" t="s">
        <v>546</v>
      </c>
    </row>
    <row r="50" spans="1:5" hidden="1">
      <c r="A50" s="54">
        <v>400275342</v>
      </c>
      <c r="B50" s="54">
        <v>401553982</v>
      </c>
      <c r="C50" s="54" t="s">
        <v>547</v>
      </c>
      <c r="D50" s="54" t="s">
        <v>546</v>
      </c>
      <c r="E50" s="54" t="s">
        <v>1336</v>
      </c>
    </row>
    <row r="51" spans="1:5" hidden="1">
      <c r="A51" s="54">
        <v>400275342</v>
      </c>
      <c r="B51" s="54">
        <v>411170053</v>
      </c>
      <c r="C51" s="54" t="s">
        <v>547</v>
      </c>
      <c r="D51" s="54" t="s">
        <v>1410</v>
      </c>
      <c r="E51" s="54" t="s">
        <v>546</v>
      </c>
    </row>
    <row r="52" spans="1:5" hidden="1">
      <c r="A52" s="54">
        <v>400275342</v>
      </c>
      <c r="B52" s="54">
        <v>417221864</v>
      </c>
      <c r="C52" s="54" t="s">
        <v>547</v>
      </c>
      <c r="D52" s="54" t="s">
        <v>1411</v>
      </c>
      <c r="E52" s="54" t="s">
        <v>546</v>
      </c>
    </row>
    <row r="53" spans="1:5" hidden="1">
      <c r="A53" s="54">
        <v>400275342</v>
      </c>
      <c r="B53" s="54" t="s">
        <v>1412</v>
      </c>
      <c r="C53" s="54" t="s">
        <v>1413</v>
      </c>
      <c r="D53" s="54" t="s">
        <v>1414</v>
      </c>
      <c r="E53" s="54" t="s">
        <v>546</v>
      </c>
    </row>
    <row r="54" spans="1:5" hidden="1">
      <c r="A54" s="54">
        <v>400275407</v>
      </c>
      <c r="B54" s="54">
        <v>400032405</v>
      </c>
      <c r="C54" s="54" t="s">
        <v>1415</v>
      </c>
      <c r="D54" s="54" t="s">
        <v>1416</v>
      </c>
      <c r="E54" s="54" t="s">
        <v>557</v>
      </c>
    </row>
    <row r="55" spans="1:5" hidden="1">
      <c r="A55" s="54">
        <v>400275407</v>
      </c>
      <c r="B55" s="54">
        <v>400271563</v>
      </c>
      <c r="C55" s="54" t="s">
        <v>1417</v>
      </c>
      <c r="D55" s="54" t="s">
        <v>1418</v>
      </c>
      <c r="E55" s="54" t="s">
        <v>557</v>
      </c>
    </row>
    <row r="56" spans="1:5" hidden="1">
      <c r="A56" s="54">
        <v>400275407</v>
      </c>
      <c r="B56" s="54">
        <v>400658318</v>
      </c>
      <c r="C56" s="54" t="s">
        <v>558</v>
      </c>
      <c r="D56" s="54" t="s">
        <v>557</v>
      </c>
      <c r="E56" s="54" t="s">
        <v>1336</v>
      </c>
    </row>
    <row r="57" spans="1:5" hidden="1">
      <c r="A57" s="54">
        <v>400275407</v>
      </c>
      <c r="B57" s="54">
        <v>411170077</v>
      </c>
      <c r="C57" s="54" t="s">
        <v>1417</v>
      </c>
      <c r="D57" s="54" t="s">
        <v>1419</v>
      </c>
      <c r="E57" s="54" t="s">
        <v>557</v>
      </c>
    </row>
    <row r="58" spans="1:5" hidden="1">
      <c r="A58" s="54">
        <v>400275407</v>
      </c>
      <c r="B58" s="54" t="s">
        <v>1420</v>
      </c>
      <c r="C58" s="54" t="s">
        <v>1421</v>
      </c>
      <c r="D58" s="54" t="s">
        <v>1422</v>
      </c>
      <c r="E58" s="54" t="s">
        <v>557</v>
      </c>
    </row>
    <row r="59" spans="1:5" hidden="1">
      <c r="A59" s="54">
        <v>400275408</v>
      </c>
      <c r="B59" s="54">
        <v>400271533</v>
      </c>
      <c r="C59" s="54" t="s">
        <v>1423</v>
      </c>
      <c r="D59" s="54" t="s">
        <v>1424</v>
      </c>
      <c r="E59" s="54" t="s">
        <v>548</v>
      </c>
    </row>
    <row r="60" spans="1:5" hidden="1">
      <c r="A60" s="54">
        <v>400275408</v>
      </c>
      <c r="B60" s="54">
        <v>401234987</v>
      </c>
      <c r="C60" s="54" t="s">
        <v>1423</v>
      </c>
      <c r="D60" s="54" t="s">
        <v>548</v>
      </c>
      <c r="E60" s="54" t="s">
        <v>1336</v>
      </c>
    </row>
    <row r="61" spans="1:5" hidden="1">
      <c r="A61" s="54">
        <v>400275408</v>
      </c>
      <c r="B61" s="54">
        <v>411170061</v>
      </c>
      <c r="C61" s="54" t="s">
        <v>1423</v>
      </c>
      <c r="D61" s="54" t="s">
        <v>1425</v>
      </c>
      <c r="E61" s="54" t="s">
        <v>548</v>
      </c>
    </row>
    <row r="62" spans="1:5" hidden="1">
      <c r="A62" s="54">
        <v>400275408</v>
      </c>
      <c r="B62" s="54" t="s">
        <v>1426</v>
      </c>
      <c r="C62" s="54" t="s">
        <v>1427</v>
      </c>
      <c r="D62" s="54" t="s">
        <v>1428</v>
      </c>
      <c r="E62" s="54" t="s">
        <v>548</v>
      </c>
    </row>
    <row r="63" spans="1:5" hidden="1">
      <c r="A63" s="54">
        <v>400275493</v>
      </c>
      <c r="B63" s="54">
        <v>400292465</v>
      </c>
      <c r="C63" s="54" t="s">
        <v>560</v>
      </c>
      <c r="D63" s="54" t="s">
        <v>1429</v>
      </c>
      <c r="E63" s="54" t="s">
        <v>559</v>
      </c>
    </row>
    <row r="64" spans="1:5" hidden="1">
      <c r="A64" s="54">
        <v>400275493</v>
      </c>
      <c r="B64" s="54">
        <v>401447389</v>
      </c>
      <c r="C64" s="54" t="s">
        <v>560</v>
      </c>
      <c r="D64" s="54" t="s">
        <v>559</v>
      </c>
      <c r="E64" s="54" t="s">
        <v>1336</v>
      </c>
    </row>
    <row r="65" spans="1:5" hidden="1">
      <c r="A65" s="54">
        <v>400275493</v>
      </c>
      <c r="B65" s="54">
        <v>411170079</v>
      </c>
      <c r="C65" s="54" t="s">
        <v>560</v>
      </c>
      <c r="D65" s="54" t="s">
        <v>1430</v>
      </c>
      <c r="E65" s="54" t="s">
        <v>559</v>
      </c>
    </row>
    <row r="66" spans="1:5" hidden="1">
      <c r="A66" s="54">
        <v>400275493</v>
      </c>
      <c r="B66" s="54">
        <v>417221863</v>
      </c>
      <c r="C66" s="54" t="s">
        <v>560</v>
      </c>
      <c r="D66" s="54" t="s">
        <v>1431</v>
      </c>
      <c r="E66" s="54" t="s">
        <v>559</v>
      </c>
    </row>
    <row r="67" spans="1:5" hidden="1">
      <c r="A67" s="54">
        <v>400275493</v>
      </c>
      <c r="B67" s="54" t="s">
        <v>1432</v>
      </c>
      <c r="C67" s="54" t="s">
        <v>1433</v>
      </c>
      <c r="D67" s="54" t="s">
        <v>1434</v>
      </c>
      <c r="E67" s="54" t="s">
        <v>559</v>
      </c>
    </row>
    <row r="68" spans="1:5" hidden="1">
      <c r="A68" s="54">
        <v>400275502</v>
      </c>
      <c r="B68" s="54">
        <v>400279622</v>
      </c>
      <c r="C68" s="54" t="s">
        <v>565</v>
      </c>
      <c r="D68" s="54" t="s">
        <v>1435</v>
      </c>
      <c r="E68" s="54" t="s">
        <v>564</v>
      </c>
    </row>
    <row r="69" spans="1:5" hidden="1">
      <c r="A69" s="54">
        <v>400275502</v>
      </c>
      <c r="B69" s="54">
        <v>401481543</v>
      </c>
      <c r="C69" s="54" t="s">
        <v>565</v>
      </c>
      <c r="D69" s="54" t="s">
        <v>564</v>
      </c>
      <c r="E69" s="54" t="s">
        <v>1336</v>
      </c>
    </row>
    <row r="70" spans="1:5" hidden="1">
      <c r="A70" s="54">
        <v>400275502</v>
      </c>
      <c r="B70" s="54">
        <v>411170082</v>
      </c>
      <c r="C70" s="54" t="s">
        <v>565</v>
      </c>
      <c r="D70" s="54" t="s">
        <v>1436</v>
      </c>
      <c r="E70" s="54" t="s">
        <v>564</v>
      </c>
    </row>
    <row r="71" spans="1:5" hidden="1">
      <c r="A71" s="54">
        <v>400275502</v>
      </c>
      <c r="B71" s="54" t="s">
        <v>1437</v>
      </c>
      <c r="C71" s="54" t="s">
        <v>1438</v>
      </c>
      <c r="D71" s="54" t="s">
        <v>1439</v>
      </c>
      <c r="E71" s="54" t="s">
        <v>564</v>
      </c>
    </row>
    <row r="72" spans="1:5" hidden="1">
      <c r="A72" s="54">
        <v>400275509</v>
      </c>
      <c r="B72" s="54">
        <v>400292466</v>
      </c>
      <c r="C72" s="54" t="s">
        <v>567</v>
      </c>
      <c r="D72" s="54" t="s">
        <v>1440</v>
      </c>
      <c r="E72" s="54" t="s">
        <v>566</v>
      </c>
    </row>
    <row r="73" spans="1:5" hidden="1">
      <c r="A73" s="54">
        <v>400275509</v>
      </c>
      <c r="B73" s="54">
        <v>405295603</v>
      </c>
      <c r="C73" s="54" t="s">
        <v>567</v>
      </c>
      <c r="D73" s="54" t="s">
        <v>566</v>
      </c>
      <c r="E73" s="54" t="s">
        <v>1336</v>
      </c>
    </row>
    <row r="74" spans="1:5" hidden="1">
      <c r="A74" s="54">
        <v>400275509</v>
      </c>
      <c r="B74" s="54">
        <v>411170084</v>
      </c>
      <c r="C74" s="54" t="s">
        <v>567</v>
      </c>
      <c r="D74" s="54" t="s">
        <v>1441</v>
      </c>
      <c r="E74" s="54" t="s">
        <v>566</v>
      </c>
    </row>
    <row r="75" spans="1:5" hidden="1">
      <c r="A75" s="54">
        <v>400275509</v>
      </c>
      <c r="B75" s="54">
        <v>417221868</v>
      </c>
      <c r="C75" s="54" t="s">
        <v>567</v>
      </c>
      <c r="D75" s="54" t="s">
        <v>1442</v>
      </c>
      <c r="E75" s="54" t="s">
        <v>566</v>
      </c>
    </row>
    <row r="76" spans="1:5" hidden="1">
      <c r="A76" s="54">
        <v>400275509</v>
      </c>
      <c r="B76" s="54" t="s">
        <v>1443</v>
      </c>
      <c r="C76" s="54" t="s">
        <v>1444</v>
      </c>
      <c r="D76" s="54" t="s">
        <v>1445</v>
      </c>
      <c r="E76" s="54" t="s">
        <v>566</v>
      </c>
    </row>
    <row r="77" spans="1:5" hidden="1">
      <c r="A77" s="54">
        <v>400275509</v>
      </c>
      <c r="B77" s="54" t="s">
        <v>1446</v>
      </c>
      <c r="C77" s="54" t="s">
        <v>1444</v>
      </c>
      <c r="D77" s="54" t="s">
        <v>1447</v>
      </c>
      <c r="E77" s="54" t="s">
        <v>566</v>
      </c>
    </row>
    <row r="78" spans="1:5" hidden="1">
      <c r="A78" s="54">
        <v>400275521</v>
      </c>
      <c r="B78" s="54">
        <v>400271641</v>
      </c>
      <c r="C78" s="54" t="s">
        <v>579</v>
      </c>
      <c r="D78" s="54" t="s">
        <v>1448</v>
      </c>
      <c r="E78" s="54" t="s">
        <v>578</v>
      </c>
    </row>
    <row r="79" spans="1:5" hidden="1">
      <c r="A79" s="54">
        <v>400275521</v>
      </c>
      <c r="B79" s="54">
        <v>400693192</v>
      </c>
      <c r="C79" s="54" t="s">
        <v>579</v>
      </c>
      <c r="D79" s="54" t="s">
        <v>578</v>
      </c>
      <c r="E79" s="54" t="s">
        <v>1336</v>
      </c>
    </row>
    <row r="80" spans="1:5" hidden="1">
      <c r="A80" s="54">
        <v>400275521</v>
      </c>
      <c r="B80" s="54">
        <v>411170107</v>
      </c>
      <c r="C80" s="54" t="s">
        <v>579</v>
      </c>
      <c r="D80" s="54" t="s">
        <v>1449</v>
      </c>
      <c r="E80" s="54" t="s">
        <v>578</v>
      </c>
    </row>
    <row r="81" spans="1:5" hidden="1">
      <c r="A81" s="54">
        <v>400275521</v>
      </c>
      <c r="B81" s="54" t="s">
        <v>1450</v>
      </c>
      <c r="C81" s="54" t="s">
        <v>1451</v>
      </c>
      <c r="D81" s="54" t="s">
        <v>1452</v>
      </c>
      <c r="E81" s="54" t="s">
        <v>578</v>
      </c>
    </row>
    <row r="82" spans="1:5" hidden="1">
      <c r="A82" s="54">
        <v>400275521</v>
      </c>
      <c r="B82" s="54" t="s">
        <v>1453</v>
      </c>
      <c r="C82" s="54" t="s">
        <v>1451</v>
      </c>
      <c r="D82" s="54" t="s">
        <v>1454</v>
      </c>
      <c r="E82" s="54" t="s">
        <v>578</v>
      </c>
    </row>
    <row r="83" spans="1:5" hidden="1">
      <c r="A83" s="54">
        <v>400275523</v>
      </c>
      <c r="B83" s="54">
        <v>400271632</v>
      </c>
      <c r="C83" s="54" t="s">
        <v>573</v>
      </c>
      <c r="D83" s="54" t="s">
        <v>1455</v>
      </c>
      <c r="E83" s="54" t="s">
        <v>572</v>
      </c>
    </row>
    <row r="84" spans="1:5" hidden="1">
      <c r="A84" s="54">
        <v>400275523</v>
      </c>
      <c r="B84" s="54">
        <v>401053359</v>
      </c>
      <c r="C84" s="54" t="s">
        <v>573</v>
      </c>
      <c r="D84" s="54" t="s">
        <v>572</v>
      </c>
      <c r="E84" s="54" t="s">
        <v>1336</v>
      </c>
    </row>
    <row r="85" spans="1:5" hidden="1">
      <c r="A85" s="54">
        <v>400275523</v>
      </c>
      <c r="B85" s="54">
        <v>411170095</v>
      </c>
      <c r="C85" s="54" t="s">
        <v>573</v>
      </c>
      <c r="D85" s="54" t="s">
        <v>1456</v>
      </c>
      <c r="E85" s="54" t="s">
        <v>572</v>
      </c>
    </row>
    <row r="86" spans="1:5" hidden="1">
      <c r="A86" s="54">
        <v>400275523</v>
      </c>
      <c r="B86" s="54">
        <v>413658097</v>
      </c>
      <c r="C86" s="54" t="s">
        <v>1457</v>
      </c>
      <c r="D86" s="54" t="s">
        <v>1458</v>
      </c>
      <c r="E86" s="54" t="s">
        <v>572</v>
      </c>
    </row>
    <row r="87" spans="1:5" hidden="1">
      <c r="A87" s="54">
        <v>400275523</v>
      </c>
      <c r="B87" s="54" t="s">
        <v>1459</v>
      </c>
      <c r="C87" s="54" t="s">
        <v>1460</v>
      </c>
      <c r="D87" s="54" t="s">
        <v>1461</v>
      </c>
      <c r="E87" s="54" t="s">
        <v>572</v>
      </c>
    </row>
    <row r="88" spans="1:5" hidden="1">
      <c r="A88" s="54">
        <v>400275524</v>
      </c>
      <c r="B88" s="54">
        <v>400264006</v>
      </c>
      <c r="C88" s="54" t="s">
        <v>1462</v>
      </c>
      <c r="D88" s="54" t="s">
        <v>1463</v>
      </c>
      <c r="E88" s="54" t="s">
        <v>574</v>
      </c>
    </row>
    <row r="89" spans="1:5" hidden="1">
      <c r="A89" s="54">
        <v>400275524</v>
      </c>
      <c r="B89" s="54">
        <v>400658325</v>
      </c>
      <c r="C89" s="54" t="s">
        <v>575</v>
      </c>
      <c r="D89" s="54" t="s">
        <v>574</v>
      </c>
      <c r="E89" s="54" t="s">
        <v>1336</v>
      </c>
    </row>
    <row r="90" spans="1:5" hidden="1">
      <c r="A90" s="54">
        <v>400275524</v>
      </c>
      <c r="B90" s="54">
        <v>411170097</v>
      </c>
      <c r="C90" s="54" t="s">
        <v>1462</v>
      </c>
      <c r="D90" s="54" t="s">
        <v>1464</v>
      </c>
      <c r="E90" s="54" t="s">
        <v>574</v>
      </c>
    </row>
    <row r="91" spans="1:5" hidden="1">
      <c r="A91" s="54">
        <v>400275524</v>
      </c>
      <c r="B91" s="54" t="s">
        <v>1465</v>
      </c>
      <c r="C91" s="54" t="s">
        <v>1466</v>
      </c>
      <c r="D91" s="54" t="s">
        <v>1467</v>
      </c>
      <c r="E91" s="54" t="s">
        <v>574</v>
      </c>
    </row>
    <row r="92" spans="1:5" hidden="1">
      <c r="A92" s="54">
        <v>400275524</v>
      </c>
      <c r="B92" s="54" t="s">
        <v>1468</v>
      </c>
      <c r="C92" s="54" t="s">
        <v>1466</v>
      </c>
      <c r="D92" s="54" t="s">
        <v>1469</v>
      </c>
      <c r="E92" s="54" t="s">
        <v>574</v>
      </c>
    </row>
    <row r="93" spans="1:5" hidden="1">
      <c r="A93" s="54">
        <v>400275565</v>
      </c>
      <c r="B93" s="54">
        <v>400271710</v>
      </c>
      <c r="C93" s="54" t="s">
        <v>593</v>
      </c>
      <c r="D93" s="54" t="s">
        <v>1470</v>
      </c>
      <c r="E93" s="54" t="s">
        <v>592</v>
      </c>
    </row>
    <row r="94" spans="1:5" hidden="1">
      <c r="A94" s="54">
        <v>400275565</v>
      </c>
      <c r="B94" s="54">
        <v>401234955</v>
      </c>
      <c r="C94" s="54" t="s">
        <v>593</v>
      </c>
      <c r="D94" s="54" t="s">
        <v>592</v>
      </c>
      <c r="E94" s="54" t="s">
        <v>1336</v>
      </c>
    </row>
    <row r="95" spans="1:5" hidden="1">
      <c r="A95" s="54">
        <v>400275565</v>
      </c>
      <c r="B95" s="54">
        <v>411170146</v>
      </c>
      <c r="C95" s="54" t="s">
        <v>593</v>
      </c>
      <c r="D95" s="54" t="s">
        <v>1471</v>
      </c>
      <c r="E95" s="54" t="s">
        <v>592</v>
      </c>
    </row>
    <row r="96" spans="1:5" hidden="1">
      <c r="A96" s="54">
        <v>400275565</v>
      </c>
      <c r="B96" s="54" t="s">
        <v>1472</v>
      </c>
      <c r="C96" s="54" t="s">
        <v>1473</v>
      </c>
      <c r="D96" s="54" t="s">
        <v>1474</v>
      </c>
      <c r="E96" s="54" t="s">
        <v>592</v>
      </c>
    </row>
    <row r="97" spans="1:5" hidden="1">
      <c r="A97" s="54">
        <v>400275571</v>
      </c>
      <c r="B97" s="54">
        <v>400292480</v>
      </c>
      <c r="C97" s="54" t="s">
        <v>1475</v>
      </c>
      <c r="D97" s="54" t="s">
        <v>1476</v>
      </c>
      <c r="E97" s="54" t="s">
        <v>586</v>
      </c>
    </row>
    <row r="98" spans="1:5" hidden="1">
      <c r="A98" s="54">
        <v>400275571</v>
      </c>
      <c r="B98" s="54">
        <v>401282161</v>
      </c>
      <c r="C98" s="54" t="s">
        <v>1475</v>
      </c>
      <c r="D98" s="54" t="s">
        <v>586</v>
      </c>
      <c r="E98" s="54" t="s">
        <v>1336</v>
      </c>
    </row>
    <row r="99" spans="1:5" hidden="1">
      <c r="A99" s="54">
        <v>400275571</v>
      </c>
      <c r="B99" s="54" t="s">
        <v>1477</v>
      </c>
      <c r="C99" s="54" t="s">
        <v>1478</v>
      </c>
      <c r="D99" s="54" t="s">
        <v>1479</v>
      </c>
      <c r="E99" s="54" t="s">
        <v>586</v>
      </c>
    </row>
    <row r="100" spans="1:5" hidden="1">
      <c r="A100" s="54">
        <v>400275589</v>
      </c>
      <c r="B100" s="54">
        <v>400271675</v>
      </c>
      <c r="C100" s="54" t="s">
        <v>1480</v>
      </c>
      <c r="D100" s="54" t="s">
        <v>1481</v>
      </c>
      <c r="E100" s="54" t="s">
        <v>588</v>
      </c>
    </row>
    <row r="101" spans="1:5" hidden="1">
      <c r="A101" s="54">
        <v>400275589</v>
      </c>
      <c r="B101" s="54">
        <v>401308902</v>
      </c>
      <c r="C101" s="54" t="s">
        <v>589</v>
      </c>
      <c r="D101" s="54" t="s">
        <v>588</v>
      </c>
      <c r="E101" s="54" t="s">
        <v>1336</v>
      </c>
    </row>
    <row r="102" spans="1:5" hidden="1">
      <c r="A102" s="54">
        <v>400275589</v>
      </c>
      <c r="B102" s="54">
        <v>411170123</v>
      </c>
      <c r="C102" s="54" t="s">
        <v>1480</v>
      </c>
      <c r="D102" s="54" t="s">
        <v>1482</v>
      </c>
      <c r="E102" s="54" t="s">
        <v>588</v>
      </c>
    </row>
    <row r="103" spans="1:5" hidden="1">
      <c r="A103" s="54">
        <v>400275589</v>
      </c>
      <c r="B103" s="54">
        <v>414507964</v>
      </c>
      <c r="C103" s="54" t="s">
        <v>1483</v>
      </c>
      <c r="D103" s="54" t="s">
        <v>1484</v>
      </c>
      <c r="E103" s="54" t="s">
        <v>588</v>
      </c>
    </row>
    <row r="104" spans="1:5" hidden="1">
      <c r="A104" s="54">
        <v>400275589</v>
      </c>
      <c r="B104" s="54" t="s">
        <v>1485</v>
      </c>
      <c r="C104" s="54" t="s">
        <v>1486</v>
      </c>
      <c r="D104" s="54" t="s">
        <v>1487</v>
      </c>
      <c r="E104" s="54" t="s">
        <v>588</v>
      </c>
    </row>
    <row r="105" spans="1:5" hidden="1">
      <c r="A105" s="54">
        <v>400275589</v>
      </c>
      <c r="B105" s="54" t="s">
        <v>1488</v>
      </c>
      <c r="C105" s="54" t="s">
        <v>1486</v>
      </c>
      <c r="D105" s="54" t="s">
        <v>1489</v>
      </c>
      <c r="E105" s="54" t="s">
        <v>588</v>
      </c>
    </row>
    <row r="106" spans="1:5" hidden="1">
      <c r="A106" s="54">
        <v>400275597</v>
      </c>
      <c r="B106" s="54">
        <v>400271662</v>
      </c>
      <c r="C106" s="54" t="s">
        <v>1490</v>
      </c>
      <c r="D106" s="54" t="s">
        <v>1491</v>
      </c>
      <c r="E106" s="54" t="s">
        <v>582</v>
      </c>
    </row>
    <row r="107" spans="1:5" hidden="1">
      <c r="A107" s="54">
        <v>400275597</v>
      </c>
      <c r="B107" s="54">
        <v>400658327</v>
      </c>
      <c r="C107" s="54" t="s">
        <v>583</v>
      </c>
      <c r="D107" s="54" t="s">
        <v>582</v>
      </c>
      <c r="E107" s="54" t="s">
        <v>1336</v>
      </c>
    </row>
    <row r="108" spans="1:5" hidden="1">
      <c r="A108" s="54">
        <v>400275597</v>
      </c>
      <c r="B108" s="54">
        <v>411170116</v>
      </c>
      <c r="C108" s="54" t="s">
        <v>1490</v>
      </c>
      <c r="D108" s="54" t="s">
        <v>1492</v>
      </c>
      <c r="E108" s="54" t="s">
        <v>582</v>
      </c>
    </row>
    <row r="109" spans="1:5" hidden="1">
      <c r="A109" s="54">
        <v>400275597</v>
      </c>
      <c r="B109" s="54" t="s">
        <v>1493</v>
      </c>
      <c r="C109" s="54" t="s">
        <v>1494</v>
      </c>
      <c r="D109" s="54" t="s">
        <v>1495</v>
      </c>
      <c r="E109" s="54" t="s">
        <v>582</v>
      </c>
    </row>
    <row r="110" spans="1:5" hidden="1">
      <c r="A110" s="54">
        <v>400275598</v>
      </c>
      <c r="B110" s="54">
        <v>400276784</v>
      </c>
      <c r="C110" s="54" t="s">
        <v>1496</v>
      </c>
      <c r="D110" s="54" t="s">
        <v>1497</v>
      </c>
      <c r="E110" s="54" t="s">
        <v>590</v>
      </c>
    </row>
    <row r="111" spans="1:5" hidden="1">
      <c r="A111" s="54">
        <v>400275598</v>
      </c>
      <c r="B111" s="54">
        <v>400658331</v>
      </c>
      <c r="C111" s="54" t="s">
        <v>591</v>
      </c>
      <c r="D111" s="54" t="s">
        <v>590</v>
      </c>
      <c r="E111" s="54" t="s">
        <v>1336</v>
      </c>
    </row>
    <row r="112" spans="1:5" hidden="1">
      <c r="A112" s="54">
        <v>400275598</v>
      </c>
      <c r="B112" s="54">
        <v>411170124</v>
      </c>
      <c r="C112" s="54" t="s">
        <v>1496</v>
      </c>
      <c r="D112" s="54" t="s">
        <v>1498</v>
      </c>
      <c r="E112" s="54" t="s">
        <v>590</v>
      </c>
    </row>
    <row r="113" spans="1:5" hidden="1">
      <c r="A113" s="54">
        <v>400275598</v>
      </c>
      <c r="B113" s="54" t="s">
        <v>1499</v>
      </c>
      <c r="C113" s="54" t="s">
        <v>1500</v>
      </c>
      <c r="D113" s="54" t="s">
        <v>1501</v>
      </c>
      <c r="E113" s="54" t="s">
        <v>590</v>
      </c>
    </row>
    <row r="114" spans="1:5" hidden="1">
      <c r="A114" s="54">
        <v>400275755</v>
      </c>
      <c r="B114" s="54">
        <v>400027536</v>
      </c>
      <c r="C114" s="54" t="s">
        <v>1502</v>
      </c>
      <c r="D114" s="54" t="s">
        <v>1503</v>
      </c>
      <c r="E114" s="54" t="s">
        <v>584</v>
      </c>
    </row>
    <row r="115" spans="1:5" hidden="1">
      <c r="A115" s="54">
        <v>400275755</v>
      </c>
      <c r="B115" s="54">
        <v>400264010</v>
      </c>
      <c r="C115" s="54" t="s">
        <v>1504</v>
      </c>
      <c r="D115" s="54" t="s">
        <v>1505</v>
      </c>
      <c r="E115" s="54" t="s">
        <v>584</v>
      </c>
    </row>
    <row r="116" spans="1:5" hidden="1">
      <c r="A116" s="54">
        <v>400275755</v>
      </c>
      <c r="B116" s="54">
        <v>400658330</v>
      </c>
      <c r="C116" s="54" t="s">
        <v>585</v>
      </c>
      <c r="D116" s="54" t="s">
        <v>584</v>
      </c>
      <c r="E116" s="54" t="s">
        <v>1336</v>
      </c>
    </row>
    <row r="117" spans="1:5" hidden="1">
      <c r="A117" s="54">
        <v>400275755</v>
      </c>
      <c r="B117" s="54">
        <v>411170118</v>
      </c>
      <c r="C117" s="54" t="s">
        <v>1504</v>
      </c>
      <c r="D117" s="54" t="s">
        <v>1506</v>
      </c>
      <c r="E117" s="54" t="s">
        <v>584</v>
      </c>
    </row>
    <row r="118" spans="1:5" hidden="1">
      <c r="A118" s="54">
        <v>400275755</v>
      </c>
      <c r="B118" s="54" t="s">
        <v>1507</v>
      </c>
      <c r="C118" s="54" t="s">
        <v>1508</v>
      </c>
      <c r="D118" s="54" t="s">
        <v>1509</v>
      </c>
      <c r="E118" s="54" t="s">
        <v>584</v>
      </c>
    </row>
    <row r="119" spans="1:5" hidden="1">
      <c r="A119" s="54">
        <v>400294091</v>
      </c>
      <c r="B119" s="54">
        <v>400292464</v>
      </c>
      <c r="C119" s="54" t="s">
        <v>551</v>
      </c>
      <c r="D119" s="54" t="s">
        <v>1510</v>
      </c>
      <c r="E119" s="54" t="s">
        <v>550</v>
      </c>
    </row>
    <row r="120" spans="1:5" hidden="1">
      <c r="A120" s="54">
        <v>400294091</v>
      </c>
      <c r="B120" s="54">
        <v>401553983</v>
      </c>
      <c r="C120" s="54" t="s">
        <v>551</v>
      </c>
      <c r="D120" s="54" t="s">
        <v>550</v>
      </c>
      <c r="E120" s="54" t="s">
        <v>1336</v>
      </c>
    </row>
    <row r="121" spans="1:5" hidden="1">
      <c r="A121" s="54">
        <v>400294091</v>
      </c>
      <c r="B121" s="54">
        <v>411170063</v>
      </c>
      <c r="C121" s="54" t="s">
        <v>551</v>
      </c>
      <c r="D121" s="54" t="s">
        <v>1511</v>
      </c>
      <c r="E121" s="54" t="s">
        <v>550</v>
      </c>
    </row>
    <row r="122" spans="1:5" hidden="1">
      <c r="A122" s="54">
        <v>400294091</v>
      </c>
      <c r="B122" s="54" t="s">
        <v>1512</v>
      </c>
      <c r="C122" s="54" t="s">
        <v>1513</v>
      </c>
      <c r="D122" s="54" t="s">
        <v>1514</v>
      </c>
      <c r="E122" s="54" t="s">
        <v>550</v>
      </c>
    </row>
    <row r="123" spans="1:5" hidden="1">
      <c r="A123" s="54">
        <v>400294244</v>
      </c>
      <c r="B123" s="54">
        <v>400292477</v>
      </c>
      <c r="C123" s="54" t="s">
        <v>1515</v>
      </c>
      <c r="D123" s="54" t="s">
        <v>1516</v>
      </c>
      <c r="E123" s="54" t="s">
        <v>580</v>
      </c>
    </row>
    <row r="124" spans="1:5" hidden="1">
      <c r="A124" s="54">
        <v>400294244</v>
      </c>
      <c r="B124" s="54">
        <v>401372496</v>
      </c>
      <c r="C124" s="54" t="s">
        <v>581</v>
      </c>
      <c r="D124" s="54" t="s">
        <v>580</v>
      </c>
      <c r="E124" s="54" t="s">
        <v>1336</v>
      </c>
    </row>
    <row r="125" spans="1:5" hidden="1">
      <c r="A125" s="54">
        <v>400294244</v>
      </c>
      <c r="B125" s="54">
        <v>411170111</v>
      </c>
      <c r="C125" s="54" t="s">
        <v>1515</v>
      </c>
      <c r="D125" s="54" t="s">
        <v>1517</v>
      </c>
      <c r="E125" s="54" t="s">
        <v>580</v>
      </c>
    </row>
    <row r="126" spans="1:5" hidden="1">
      <c r="A126" s="54">
        <v>400294244</v>
      </c>
      <c r="B126" s="54" t="s">
        <v>1518</v>
      </c>
      <c r="C126" s="54" t="s">
        <v>1519</v>
      </c>
      <c r="D126" s="54" t="s">
        <v>1520</v>
      </c>
      <c r="E126" s="54" t="s">
        <v>580</v>
      </c>
    </row>
    <row r="127" spans="1:5" hidden="1">
      <c r="A127" s="54">
        <v>400294252</v>
      </c>
      <c r="B127" s="54">
        <v>400292486</v>
      </c>
      <c r="C127" s="54" t="s">
        <v>595</v>
      </c>
      <c r="D127" s="54" t="s">
        <v>1521</v>
      </c>
      <c r="E127" s="54" t="s">
        <v>594</v>
      </c>
    </row>
    <row r="128" spans="1:5" hidden="1">
      <c r="A128" s="54">
        <v>400294252</v>
      </c>
      <c r="B128" s="54">
        <v>401679598</v>
      </c>
      <c r="C128" s="54" t="s">
        <v>595</v>
      </c>
      <c r="D128" s="54" t="s">
        <v>594</v>
      </c>
      <c r="E128" s="54" t="s">
        <v>1336</v>
      </c>
    </row>
    <row r="129" spans="1:5" hidden="1">
      <c r="A129" s="54">
        <v>400294252</v>
      </c>
      <c r="B129" s="54" t="s">
        <v>1522</v>
      </c>
      <c r="C129" s="54" t="s">
        <v>1523</v>
      </c>
      <c r="D129" s="54" t="s">
        <v>1524</v>
      </c>
      <c r="E129" s="54" t="s">
        <v>594</v>
      </c>
    </row>
    <row r="130" spans="1:5" hidden="1">
      <c r="A130" s="54">
        <v>400294254</v>
      </c>
      <c r="B130" s="54">
        <v>400292491</v>
      </c>
      <c r="C130" s="54" t="s">
        <v>597</v>
      </c>
      <c r="D130" s="54" t="s">
        <v>1525</v>
      </c>
      <c r="E130" s="54" t="s">
        <v>596</v>
      </c>
    </row>
    <row r="131" spans="1:5" hidden="1">
      <c r="A131" s="54">
        <v>400294254</v>
      </c>
      <c r="B131" s="54">
        <v>411170155</v>
      </c>
      <c r="C131" s="54" t="s">
        <v>597</v>
      </c>
      <c r="D131" s="54" t="s">
        <v>1526</v>
      </c>
      <c r="E131" s="54" t="s">
        <v>596</v>
      </c>
    </row>
    <row r="132" spans="1:5" hidden="1">
      <c r="A132" s="54">
        <v>400294254</v>
      </c>
      <c r="B132" s="54">
        <v>414258414</v>
      </c>
      <c r="C132" s="54" t="s">
        <v>597</v>
      </c>
      <c r="D132" s="54" t="s">
        <v>596</v>
      </c>
      <c r="E132" s="54" t="s">
        <v>1336</v>
      </c>
    </row>
    <row r="133" spans="1:5" hidden="1">
      <c r="A133" s="54">
        <v>400294254</v>
      </c>
      <c r="B133" s="54" t="s">
        <v>1527</v>
      </c>
      <c r="C133" s="54" t="s">
        <v>1528</v>
      </c>
      <c r="D133" s="54" t="s">
        <v>1529</v>
      </c>
      <c r="E133" s="54" t="s">
        <v>596</v>
      </c>
    </row>
    <row r="134" spans="1:5" hidden="1">
      <c r="A134" s="54">
        <v>400294459</v>
      </c>
      <c r="B134" s="54">
        <v>400292412</v>
      </c>
      <c r="C134" s="54" t="s">
        <v>545</v>
      </c>
      <c r="D134" s="54" t="s">
        <v>1530</v>
      </c>
      <c r="E134" s="54" t="s">
        <v>544</v>
      </c>
    </row>
    <row r="135" spans="1:5" hidden="1">
      <c r="A135" s="54">
        <v>400294459</v>
      </c>
      <c r="B135" s="54">
        <v>401479713</v>
      </c>
      <c r="C135" s="54" t="s">
        <v>545</v>
      </c>
      <c r="D135" s="54" t="s">
        <v>544</v>
      </c>
      <c r="E135" s="54" t="s">
        <v>1336</v>
      </c>
    </row>
    <row r="136" spans="1:5" hidden="1">
      <c r="A136" s="54">
        <v>400294459</v>
      </c>
      <c r="B136" s="54">
        <v>411170052</v>
      </c>
      <c r="C136" s="54" t="s">
        <v>545</v>
      </c>
      <c r="D136" s="54" t="s">
        <v>1531</v>
      </c>
      <c r="E136" s="54" t="s">
        <v>544</v>
      </c>
    </row>
    <row r="137" spans="1:5" hidden="1">
      <c r="A137" s="54">
        <v>400294459</v>
      </c>
      <c r="B137" s="54" t="s">
        <v>1532</v>
      </c>
      <c r="C137" s="54" t="s">
        <v>1533</v>
      </c>
      <c r="D137" s="54" t="s">
        <v>1534</v>
      </c>
      <c r="E137" s="54" t="s">
        <v>544</v>
      </c>
    </row>
    <row r="138" spans="1:5" hidden="1">
      <c r="A138" s="54">
        <v>400294461</v>
      </c>
      <c r="B138" s="54">
        <v>400292469</v>
      </c>
      <c r="C138" s="54" t="s">
        <v>569</v>
      </c>
      <c r="D138" s="54" t="s">
        <v>1535</v>
      </c>
      <c r="E138" s="54" t="s">
        <v>568</v>
      </c>
    </row>
    <row r="139" spans="1:5" hidden="1">
      <c r="A139" s="54">
        <v>400294461</v>
      </c>
      <c r="B139" s="54">
        <v>401553986</v>
      </c>
      <c r="C139" s="54" t="s">
        <v>569</v>
      </c>
      <c r="D139" s="54" t="s">
        <v>568</v>
      </c>
      <c r="E139" s="54" t="s">
        <v>1336</v>
      </c>
    </row>
    <row r="140" spans="1:5" hidden="1">
      <c r="A140" s="54">
        <v>400294461</v>
      </c>
      <c r="B140" s="54">
        <v>411170088</v>
      </c>
      <c r="C140" s="54" t="s">
        <v>569</v>
      </c>
      <c r="D140" s="54" t="s">
        <v>1536</v>
      </c>
      <c r="E140" s="54" t="s">
        <v>568</v>
      </c>
    </row>
    <row r="141" spans="1:5" hidden="1">
      <c r="A141" s="54">
        <v>400294461</v>
      </c>
      <c r="B141" s="54">
        <v>417221866</v>
      </c>
      <c r="C141" s="54" t="s">
        <v>569</v>
      </c>
      <c r="D141" s="54" t="s">
        <v>1537</v>
      </c>
      <c r="E141" s="54" t="s">
        <v>568</v>
      </c>
    </row>
    <row r="142" spans="1:5" hidden="1">
      <c r="A142" s="54">
        <v>400294461</v>
      </c>
      <c r="B142" s="54" t="s">
        <v>1538</v>
      </c>
      <c r="C142" s="54" t="s">
        <v>1539</v>
      </c>
      <c r="D142" s="54" t="s">
        <v>1540</v>
      </c>
      <c r="E142" s="54" t="s">
        <v>568</v>
      </c>
    </row>
    <row r="143" spans="1:5" hidden="1">
      <c r="A143" s="54">
        <v>400326573</v>
      </c>
      <c r="B143" s="54">
        <v>400326163</v>
      </c>
      <c r="C143" s="54" t="s">
        <v>400</v>
      </c>
      <c r="D143" s="54" t="s">
        <v>1541</v>
      </c>
      <c r="E143" s="54" t="s">
        <v>399</v>
      </c>
    </row>
    <row r="144" spans="1:5" hidden="1">
      <c r="A144" s="54">
        <v>400326573</v>
      </c>
      <c r="B144" s="54">
        <v>400537079</v>
      </c>
      <c r="C144" s="54" t="s">
        <v>400</v>
      </c>
      <c r="D144" s="54" t="s">
        <v>1542</v>
      </c>
      <c r="E144" s="54" t="s">
        <v>399</v>
      </c>
    </row>
    <row r="145" spans="1:5" hidden="1">
      <c r="A145" s="54">
        <v>400326573</v>
      </c>
      <c r="B145" s="54">
        <v>400824251</v>
      </c>
      <c r="C145" s="54" t="s">
        <v>400</v>
      </c>
      <c r="D145" s="54" t="s">
        <v>1543</v>
      </c>
      <c r="E145" s="54" t="s">
        <v>399</v>
      </c>
    </row>
    <row r="146" spans="1:5" hidden="1">
      <c r="A146" s="54">
        <v>400326573</v>
      </c>
      <c r="B146" s="54">
        <v>401172747</v>
      </c>
      <c r="C146" s="54" t="s">
        <v>400</v>
      </c>
      <c r="D146" s="54" t="s">
        <v>399</v>
      </c>
      <c r="E146" s="54" t="s">
        <v>1336</v>
      </c>
    </row>
    <row r="147" spans="1:5" hidden="1">
      <c r="A147" s="54">
        <v>400326573</v>
      </c>
      <c r="B147" s="54">
        <v>417103902</v>
      </c>
      <c r="C147" s="54" t="s">
        <v>400</v>
      </c>
      <c r="D147" s="54" t="s">
        <v>1544</v>
      </c>
      <c r="E147" s="54" t="s">
        <v>399</v>
      </c>
    </row>
    <row r="148" spans="1:5" hidden="1">
      <c r="A148" s="54">
        <v>400326573</v>
      </c>
      <c r="B148" s="54">
        <v>417274835</v>
      </c>
      <c r="C148" s="54" t="s">
        <v>400</v>
      </c>
      <c r="D148" s="54" t="s">
        <v>1545</v>
      </c>
      <c r="E148" s="54" t="s">
        <v>399</v>
      </c>
    </row>
    <row r="149" spans="1:5" hidden="1">
      <c r="A149" s="54">
        <v>400326573</v>
      </c>
      <c r="B149" s="54">
        <v>417274837</v>
      </c>
      <c r="C149" s="54" t="s">
        <v>400</v>
      </c>
      <c r="D149" s="54" t="s">
        <v>1546</v>
      </c>
      <c r="E149" s="54" t="s">
        <v>399</v>
      </c>
    </row>
    <row r="150" spans="1:5" hidden="1">
      <c r="A150" s="54">
        <v>400326573</v>
      </c>
      <c r="B150" s="54">
        <v>417350133</v>
      </c>
      <c r="C150" s="54" t="s">
        <v>400</v>
      </c>
      <c r="D150" s="54" t="s">
        <v>1547</v>
      </c>
      <c r="E150" s="54" t="s">
        <v>399</v>
      </c>
    </row>
    <row r="151" spans="1:5" hidden="1">
      <c r="A151" s="54">
        <v>400326573</v>
      </c>
      <c r="B151" s="54" t="s">
        <v>1548</v>
      </c>
      <c r="C151" s="54" t="s">
        <v>1549</v>
      </c>
      <c r="D151" s="54" t="s">
        <v>1550</v>
      </c>
      <c r="E151" s="54" t="s">
        <v>399</v>
      </c>
    </row>
    <row r="152" spans="1:5" hidden="1">
      <c r="A152" s="54">
        <v>400326574</v>
      </c>
      <c r="B152" s="54">
        <v>400326162</v>
      </c>
      <c r="C152" s="54" t="s">
        <v>1551</v>
      </c>
      <c r="D152" s="54" t="s">
        <v>1552</v>
      </c>
      <c r="E152" s="54" t="s">
        <v>406</v>
      </c>
    </row>
    <row r="153" spans="1:5" hidden="1">
      <c r="A153" s="54">
        <v>400326574</v>
      </c>
      <c r="B153" s="54">
        <v>400536577</v>
      </c>
      <c r="C153" s="54" t="s">
        <v>1551</v>
      </c>
      <c r="D153" s="54" t="s">
        <v>406</v>
      </c>
      <c r="E153" s="54" t="s">
        <v>1336</v>
      </c>
    </row>
    <row r="154" spans="1:5" hidden="1">
      <c r="A154" s="54">
        <v>400326574</v>
      </c>
      <c r="B154" s="54">
        <v>416022258</v>
      </c>
      <c r="C154" s="54" t="s">
        <v>1551</v>
      </c>
      <c r="D154" s="54" t="s">
        <v>1553</v>
      </c>
      <c r="E154" s="54" t="s">
        <v>406</v>
      </c>
    </row>
    <row r="155" spans="1:5" hidden="1">
      <c r="A155" s="54">
        <v>400326574</v>
      </c>
      <c r="B155" s="54">
        <v>417103903</v>
      </c>
      <c r="C155" s="54" t="s">
        <v>1551</v>
      </c>
      <c r="D155" s="54" t="s">
        <v>1554</v>
      </c>
      <c r="E155" s="54" t="s">
        <v>406</v>
      </c>
    </row>
    <row r="156" spans="1:5" hidden="1">
      <c r="A156" s="54">
        <v>400326574</v>
      </c>
      <c r="B156" s="54">
        <v>417350134</v>
      </c>
      <c r="C156" s="54" t="s">
        <v>1551</v>
      </c>
      <c r="D156" s="54" t="s">
        <v>1555</v>
      </c>
      <c r="E156" s="54" t="s">
        <v>406</v>
      </c>
    </row>
    <row r="157" spans="1:5" hidden="1">
      <c r="A157" s="54">
        <v>400326574</v>
      </c>
      <c r="B157" s="54" t="s">
        <v>1556</v>
      </c>
      <c r="C157" s="54" t="s">
        <v>1557</v>
      </c>
      <c r="D157" s="54" t="s">
        <v>1558</v>
      </c>
      <c r="E157" s="54" t="s">
        <v>406</v>
      </c>
    </row>
    <row r="158" spans="1:5" hidden="1">
      <c r="A158" s="54">
        <v>400326574</v>
      </c>
      <c r="B158" s="54" t="s">
        <v>1559</v>
      </c>
      <c r="C158" s="54" t="s">
        <v>1560</v>
      </c>
      <c r="D158" s="54" t="s">
        <v>1561</v>
      </c>
      <c r="E158" s="54" t="s">
        <v>406</v>
      </c>
    </row>
    <row r="159" spans="1:5" hidden="1">
      <c r="A159" s="54">
        <v>400326577</v>
      </c>
      <c r="B159" s="54">
        <v>400270501</v>
      </c>
      <c r="C159" s="54" t="s">
        <v>1562</v>
      </c>
      <c r="D159" s="54" t="s">
        <v>1563</v>
      </c>
      <c r="E159" s="54" t="s">
        <v>408</v>
      </c>
    </row>
    <row r="160" spans="1:5" hidden="1">
      <c r="A160" s="54">
        <v>400326577</v>
      </c>
      <c r="B160" s="54">
        <v>400302724</v>
      </c>
      <c r="C160" s="54" t="s">
        <v>1562</v>
      </c>
      <c r="D160" s="54" t="s">
        <v>1564</v>
      </c>
      <c r="E160" s="54" t="s">
        <v>408</v>
      </c>
    </row>
    <row r="161" spans="1:5" hidden="1">
      <c r="A161" s="54">
        <v>400326577</v>
      </c>
      <c r="B161" s="54">
        <v>400515201</v>
      </c>
      <c r="C161" s="54" t="s">
        <v>409</v>
      </c>
      <c r="D161" s="54" t="s">
        <v>1565</v>
      </c>
      <c r="E161" s="54" t="s">
        <v>408</v>
      </c>
    </row>
    <row r="162" spans="1:5" hidden="1">
      <c r="A162" s="54">
        <v>400326577</v>
      </c>
      <c r="B162" s="54">
        <v>400604072</v>
      </c>
      <c r="C162" s="54" t="s">
        <v>1566</v>
      </c>
      <c r="D162" s="54" t="s">
        <v>1567</v>
      </c>
      <c r="E162" s="54" t="s">
        <v>408</v>
      </c>
    </row>
    <row r="163" spans="1:5" hidden="1">
      <c r="A163" s="54">
        <v>400326577</v>
      </c>
      <c r="B163" s="54">
        <v>400984937</v>
      </c>
      <c r="C163" s="54" t="s">
        <v>409</v>
      </c>
      <c r="D163" s="54" t="s">
        <v>408</v>
      </c>
      <c r="E163" s="54" t="s">
        <v>1336</v>
      </c>
    </row>
    <row r="164" spans="1:5" hidden="1">
      <c r="A164" s="54">
        <v>400326577</v>
      </c>
      <c r="B164" s="54">
        <v>417103904</v>
      </c>
      <c r="C164" s="54" t="s">
        <v>409</v>
      </c>
      <c r="D164" s="54" t="s">
        <v>1568</v>
      </c>
      <c r="E164" s="54" t="s">
        <v>408</v>
      </c>
    </row>
    <row r="165" spans="1:5" hidden="1">
      <c r="A165" s="54">
        <v>400326577</v>
      </c>
      <c r="B165" s="54">
        <v>417350115</v>
      </c>
      <c r="C165" s="54" t="s">
        <v>409</v>
      </c>
      <c r="D165" s="54" t="s">
        <v>1569</v>
      </c>
      <c r="E165" s="54" t="s">
        <v>408</v>
      </c>
    </row>
    <row r="166" spans="1:5" hidden="1">
      <c r="A166" s="54">
        <v>400326577</v>
      </c>
      <c r="B166" s="54">
        <v>417350135</v>
      </c>
      <c r="C166" s="54" t="s">
        <v>409</v>
      </c>
      <c r="D166" s="54" t="s">
        <v>1570</v>
      </c>
      <c r="E166" s="54" t="s">
        <v>408</v>
      </c>
    </row>
    <row r="167" spans="1:5" hidden="1">
      <c r="A167" s="54">
        <v>400326577</v>
      </c>
      <c r="B167" s="54">
        <v>417508737</v>
      </c>
      <c r="C167" s="54" t="s">
        <v>409</v>
      </c>
      <c r="D167" s="54" t="s">
        <v>1571</v>
      </c>
      <c r="E167" s="54" t="s">
        <v>408</v>
      </c>
    </row>
    <row r="168" spans="1:5" hidden="1">
      <c r="A168" s="54">
        <v>400326577</v>
      </c>
      <c r="B168" s="54" t="s">
        <v>1572</v>
      </c>
      <c r="C168" s="54" t="s">
        <v>1573</v>
      </c>
      <c r="D168" s="54" t="s">
        <v>1574</v>
      </c>
      <c r="E168" s="54" t="s">
        <v>408</v>
      </c>
    </row>
    <row r="169" spans="1:5" hidden="1">
      <c r="A169" s="54">
        <v>400326580</v>
      </c>
      <c r="B169" s="54">
        <v>400097800</v>
      </c>
      <c r="C169" s="54" t="s">
        <v>1575</v>
      </c>
      <c r="D169" s="54" t="s">
        <v>1576</v>
      </c>
      <c r="E169" s="54" t="s">
        <v>410</v>
      </c>
    </row>
    <row r="170" spans="1:5" hidden="1">
      <c r="A170" s="54">
        <v>400326580</v>
      </c>
      <c r="B170" s="54">
        <v>400270706</v>
      </c>
      <c r="C170" s="54" t="s">
        <v>1577</v>
      </c>
      <c r="D170" s="54" t="s">
        <v>1578</v>
      </c>
      <c r="E170" s="54" t="s">
        <v>410</v>
      </c>
    </row>
    <row r="171" spans="1:5" hidden="1">
      <c r="A171" s="54">
        <v>400326580</v>
      </c>
      <c r="B171" s="54">
        <v>400302723</v>
      </c>
      <c r="C171" s="54" t="s">
        <v>1577</v>
      </c>
      <c r="D171" s="54" t="s">
        <v>1579</v>
      </c>
      <c r="E171" s="54" t="s">
        <v>410</v>
      </c>
    </row>
    <row r="172" spans="1:5" hidden="1">
      <c r="A172" s="54">
        <v>400326580</v>
      </c>
      <c r="B172" s="54">
        <v>400538373</v>
      </c>
      <c r="C172" s="54" t="s">
        <v>1577</v>
      </c>
      <c r="D172" s="54" t="s">
        <v>1580</v>
      </c>
      <c r="E172" s="54" t="s">
        <v>410</v>
      </c>
    </row>
    <row r="173" spans="1:5" hidden="1">
      <c r="A173" s="54">
        <v>400326580</v>
      </c>
      <c r="B173" s="54">
        <v>400630378</v>
      </c>
      <c r="C173" s="54" t="s">
        <v>1577</v>
      </c>
      <c r="D173" s="54" t="s">
        <v>1581</v>
      </c>
      <c r="E173" s="54" t="s">
        <v>410</v>
      </c>
    </row>
    <row r="174" spans="1:5" hidden="1">
      <c r="A174" s="54">
        <v>400326580</v>
      </c>
      <c r="B174" s="54">
        <v>401246012</v>
      </c>
      <c r="C174" s="54" t="s">
        <v>1577</v>
      </c>
      <c r="D174" s="54" t="s">
        <v>410</v>
      </c>
      <c r="E174" s="54" t="s">
        <v>1336</v>
      </c>
    </row>
    <row r="175" spans="1:5" hidden="1">
      <c r="A175" s="54">
        <v>400326580</v>
      </c>
      <c r="B175" s="54">
        <v>404795320</v>
      </c>
      <c r="C175" s="54" t="s">
        <v>1577</v>
      </c>
      <c r="D175" s="54" t="s">
        <v>1582</v>
      </c>
      <c r="E175" s="54" t="s">
        <v>410</v>
      </c>
    </row>
    <row r="176" spans="1:5" hidden="1">
      <c r="A176" s="54">
        <v>400326580</v>
      </c>
      <c r="B176" s="54">
        <v>414572347</v>
      </c>
      <c r="C176" s="54" t="s">
        <v>1577</v>
      </c>
      <c r="D176" s="54" t="s">
        <v>1583</v>
      </c>
      <c r="E176" s="54" t="s">
        <v>410</v>
      </c>
    </row>
    <row r="177" spans="1:5" hidden="1">
      <c r="A177" s="54">
        <v>400326580</v>
      </c>
      <c r="B177" s="54">
        <v>417103905</v>
      </c>
      <c r="C177" s="54" t="s">
        <v>1577</v>
      </c>
      <c r="D177" s="54" t="s">
        <v>1584</v>
      </c>
      <c r="E177" s="54" t="s">
        <v>410</v>
      </c>
    </row>
    <row r="178" spans="1:5" hidden="1">
      <c r="A178" s="54">
        <v>400326580</v>
      </c>
      <c r="B178" s="54">
        <v>417350116</v>
      </c>
      <c r="C178" s="54" t="s">
        <v>1577</v>
      </c>
      <c r="D178" s="54" t="s">
        <v>1585</v>
      </c>
      <c r="E178" s="54" t="s">
        <v>410</v>
      </c>
    </row>
    <row r="179" spans="1:5" hidden="1">
      <c r="A179" s="54">
        <v>400326580</v>
      </c>
      <c r="B179" s="54">
        <v>417350136</v>
      </c>
      <c r="C179" s="54" t="s">
        <v>1577</v>
      </c>
      <c r="D179" s="54" t="s">
        <v>1586</v>
      </c>
      <c r="E179" s="54" t="s">
        <v>410</v>
      </c>
    </row>
    <row r="180" spans="1:5" hidden="1">
      <c r="A180" s="54">
        <v>400326580</v>
      </c>
      <c r="B180" s="54" t="s">
        <v>1587</v>
      </c>
      <c r="C180" s="54" t="s">
        <v>1588</v>
      </c>
      <c r="D180" s="54" t="s">
        <v>1589</v>
      </c>
      <c r="E180" s="54" t="s">
        <v>410</v>
      </c>
    </row>
    <row r="181" spans="1:5" hidden="1">
      <c r="A181" s="54">
        <v>400326581</v>
      </c>
      <c r="B181" s="54">
        <v>400048692</v>
      </c>
      <c r="C181" s="54" t="s">
        <v>1590</v>
      </c>
      <c r="D181" s="54" t="s">
        <v>1591</v>
      </c>
      <c r="E181" s="54" t="s">
        <v>766</v>
      </c>
    </row>
    <row r="182" spans="1:5" hidden="1">
      <c r="A182" s="54">
        <v>400326581</v>
      </c>
      <c r="B182" s="54">
        <v>400302725</v>
      </c>
      <c r="C182" s="54" t="s">
        <v>1592</v>
      </c>
      <c r="D182" s="54" t="s">
        <v>1593</v>
      </c>
      <c r="E182" s="54" t="s">
        <v>766</v>
      </c>
    </row>
    <row r="183" spans="1:5" hidden="1">
      <c r="A183" s="54">
        <v>400326581</v>
      </c>
      <c r="B183" s="54">
        <v>400536575</v>
      </c>
      <c r="C183" s="54" t="s">
        <v>1592</v>
      </c>
      <c r="D183" s="54" t="s">
        <v>1594</v>
      </c>
      <c r="E183" s="54" t="s">
        <v>766</v>
      </c>
    </row>
    <row r="184" spans="1:5" hidden="1">
      <c r="A184" s="54">
        <v>400326581</v>
      </c>
      <c r="B184" s="54">
        <v>400603894</v>
      </c>
      <c r="C184" s="54" t="s">
        <v>1592</v>
      </c>
      <c r="D184" s="54" t="s">
        <v>1595</v>
      </c>
      <c r="E184" s="54" t="s">
        <v>766</v>
      </c>
    </row>
    <row r="185" spans="1:5" hidden="1">
      <c r="A185" s="54">
        <v>400326581</v>
      </c>
      <c r="B185" s="54">
        <v>401047158</v>
      </c>
      <c r="C185" s="54" t="s">
        <v>1592</v>
      </c>
      <c r="D185" s="54" t="s">
        <v>1596</v>
      </c>
      <c r="E185" s="54" t="s">
        <v>766</v>
      </c>
    </row>
    <row r="186" spans="1:5" hidden="1">
      <c r="A186" s="54">
        <v>400326581</v>
      </c>
      <c r="B186" s="54">
        <v>415646833</v>
      </c>
      <c r="C186" s="54" t="s">
        <v>1592</v>
      </c>
      <c r="D186" s="54" t="s">
        <v>1597</v>
      </c>
      <c r="E186" s="54" t="s">
        <v>766</v>
      </c>
    </row>
    <row r="187" spans="1:5" hidden="1">
      <c r="A187" s="54">
        <v>400326581</v>
      </c>
      <c r="B187" s="54">
        <v>415727389</v>
      </c>
      <c r="C187" s="54" t="s">
        <v>478</v>
      </c>
      <c r="D187" s="54" t="s">
        <v>1598</v>
      </c>
      <c r="E187" s="54" t="s">
        <v>766</v>
      </c>
    </row>
    <row r="188" spans="1:5" hidden="1">
      <c r="A188" s="54">
        <v>400326581</v>
      </c>
      <c r="B188" s="54">
        <v>416807313</v>
      </c>
      <c r="C188" s="54" t="s">
        <v>1592</v>
      </c>
      <c r="D188" s="54" t="s">
        <v>1599</v>
      </c>
      <c r="E188" s="54" t="s">
        <v>766</v>
      </c>
    </row>
    <row r="189" spans="1:5" hidden="1">
      <c r="A189" s="54">
        <v>400326581</v>
      </c>
      <c r="B189" s="54">
        <v>417049490</v>
      </c>
      <c r="C189" s="54" t="s">
        <v>1592</v>
      </c>
      <c r="D189" s="54" t="s">
        <v>766</v>
      </c>
      <c r="E189" s="54" t="s">
        <v>1336</v>
      </c>
    </row>
    <row r="190" spans="1:5" hidden="1">
      <c r="A190" s="54">
        <v>400326581</v>
      </c>
      <c r="B190" s="54">
        <v>417103906</v>
      </c>
      <c r="C190" s="54" t="s">
        <v>1592</v>
      </c>
      <c r="D190" s="54" t="s">
        <v>1600</v>
      </c>
      <c r="E190" s="54" t="s">
        <v>766</v>
      </c>
    </row>
    <row r="191" spans="1:5" hidden="1">
      <c r="A191" s="54">
        <v>400326581</v>
      </c>
      <c r="B191" s="54">
        <v>417983105</v>
      </c>
      <c r="C191" s="54" t="s">
        <v>1592</v>
      </c>
      <c r="D191" s="54" t="s">
        <v>1601</v>
      </c>
      <c r="E191" s="54" t="s">
        <v>766</v>
      </c>
    </row>
    <row r="192" spans="1:5" hidden="1">
      <c r="A192" s="54">
        <v>400326586</v>
      </c>
      <c r="B192" s="54">
        <v>400326236</v>
      </c>
      <c r="C192" s="54" t="s">
        <v>488</v>
      </c>
      <c r="D192" s="54" t="s">
        <v>1602</v>
      </c>
      <c r="E192" s="54" t="s">
        <v>487</v>
      </c>
    </row>
    <row r="193" spans="1:5" hidden="1">
      <c r="A193" s="54">
        <v>400326586</v>
      </c>
      <c r="B193" s="54">
        <v>400536584</v>
      </c>
      <c r="C193" s="54" t="s">
        <v>488</v>
      </c>
      <c r="D193" s="54" t="s">
        <v>1603</v>
      </c>
      <c r="E193" s="54" t="s">
        <v>487</v>
      </c>
    </row>
    <row r="194" spans="1:5" hidden="1">
      <c r="A194" s="54">
        <v>400326586</v>
      </c>
      <c r="B194" s="54">
        <v>400641482</v>
      </c>
      <c r="C194" s="54" t="s">
        <v>1604</v>
      </c>
      <c r="D194" s="54" t="s">
        <v>1605</v>
      </c>
      <c r="E194" s="54" t="s">
        <v>487</v>
      </c>
    </row>
    <row r="195" spans="1:5" hidden="1">
      <c r="A195" s="54">
        <v>400326586</v>
      </c>
      <c r="B195" s="54">
        <v>401172742</v>
      </c>
      <c r="C195" s="54" t="s">
        <v>1604</v>
      </c>
      <c r="D195" s="54" t="s">
        <v>1606</v>
      </c>
      <c r="E195" s="54" t="s">
        <v>487</v>
      </c>
    </row>
    <row r="196" spans="1:5" hidden="1">
      <c r="A196" s="54">
        <v>400326586</v>
      </c>
      <c r="B196" s="54">
        <v>417983122</v>
      </c>
      <c r="C196" s="54" t="s">
        <v>488</v>
      </c>
      <c r="D196" s="54" t="s">
        <v>487</v>
      </c>
      <c r="E196" s="54" t="s">
        <v>1336</v>
      </c>
    </row>
    <row r="197" spans="1:5" hidden="1">
      <c r="A197" s="54">
        <v>400326586</v>
      </c>
      <c r="B197" s="54" t="s">
        <v>1607</v>
      </c>
      <c r="C197" s="54" t="s">
        <v>1608</v>
      </c>
      <c r="D197" s="54" t="s">
        <v>1609</v>
      </c>
      <c r="E197" s="54" t="s">
        <v>487</v>
      </c>
    </row>
    <row r="198" spans="1:5" hidden="1">
      <c r="A198" s="54">
        <v>400326586</v>
      </c>
      <c r="B198" s="54" t="s">
        <v>1610</v>
      </c>
      <c r="C198" s="54" t="s">
        <v>1611</v>
      </c>
      <c r="D198" s="54" t="s">
        <v>1612</v>
      </c>
      <c r="E198" s="54" t="s">
        <v>487</v>
      </c>
    </row>
    <row r="199" spans="1:5" hidden="1">
      <c r="A199" s="54">
        <v>400326588</v>
      </c>
      <c r="B199" s="54">
        <v>400302795</v>
      </c>
      <c r="C199" s="54" t="s">
        <v>438</v>
      </c>
      <c r="D199" s="54" t="s">
        <v>1613</v>
      </c>
      <c r="E199" s="54" t="s">
        <v>437</v>
      </c>
    </row>
    <row r="200" spans="1:5" hidden="1">
      <c r="A200" s="54">
        <v>400326588</v>
      </c>
      <c r="B200" s="54">
        <v>400326307</v>
      </c>
      <c r="C200" s="54" t="s">
        <v>438</v>
      </c>
      <c r="D200" s="54" t="s">
        <v>437</v>
      </c>
      <c r="E200" s="54" t="s">
        <v>1336</v>
      </c>
    </row>
    <row r="201" spans="1:5" hidden="1">
      <c r="A201" s="54">
        <v>400326588</v>
      </c>
      <c r="B201" s="54">
        <v>400536588</v>
      </c>
      <c r="C201" s="54" t="s">
        <v>438</v>
      </c>
      <c r="D201" s="54" t="s">
        <v>1614</v>
      </c>
      <c r="E201" s="54" t="s">
        <v>437</v>
      </c>
    </row>
    <row r="202" spans="1:5" hidden="1">
      <c r="A202" s="54">
        <v>400326588</v>
      </c>
      <c r="B202" s="54">
        <v>400630827</v>
      </c>
      <c r="C202" s="54" t="s">
        <v>438</v>
      </c>
      <c r="D202" s="54" t="s">
        <v>1615</v>
      </c>
      <c r="E202" s="54" t="s">
        <v>437</v>
      </c>
    </row>
    <row r="203" spans="1:5" hidden="1">
      <c r="A203" s="54">
        <v>400326588</v>
      </c>
      <c r="B203" s="54">
        <v>401172740</v>
      </c>
      <c r="C203" s="54" t="s">
        <v>438</v>
      </c>
      <c r="D203" s="54" t="s">
        <v>1616</v>
      </c>
      <c r="E203" s="54" t="s">
        <v>437</v>
      </c>
    </row>
    <row r="204" spans="1:5" hidden="1">
      <c r="A204" s="54">
        <v>400326588</v>
      </c>
      <c r="B204" s="54">
        <v>412788103</v>
      </c>
      <c r="C204" s="54" t="s">
        <v>438</v>
      </c>
      <c r="D204" s="54" t="s">
        <v>1617</v>
      </c>
      <c r="E204" s="54" t="s">
        <v>437</v>
      </c>
    </row>
    <row r="205" spans="1:5" hidden="1">
      <c r="A205" s="54">
        <v>400326588</v>
      </c>
      <c r="B205" s="54">
        <v>417983125</v>
      </c>
      <c r="C205" s="54" t="s">
        <v>438</v>
      </c>
      <c r="D205" s="54" t="s">
        <v>1618</v>
      </c>
      <c r="E205" s="54" t="s">
        <v>437</v>
      </c>
    </row>
    <row r="206" spans="1:5" hidden="1">
      <c r="A206" s="54">
        <v>400326588</v>
      </c>
      <c r="B206" s="54" t="s">
        <v>1619</v>
      </c>
      <c r="C206" s="54" t="s">
        <v>1620</v>
      </c>
      <c r="D206" s="54" t="s">
        <v>1621</v>
      </c>
      <c r="E206" s="54" t="s">
        <v>437</v>
      </c>
    </row>
    <row r="207" spans="1:5" hidden="1">
      <c r="A207" s="54">
        <v>400326588</v>
      </c>
      <c r="B207" s="54" t="s">
        <v>1622</v>
      </c>
      <c r="C207" s="54" t="s">
        <v>1623</v>
      </c>
      <c r="D207" s="54" t="s">
        <v>1624</v>
      </c>
      <c r="E207" s="54" t="s">
        <v>437</v>
      </c>
    </row>
    <row r="208" spans="1:5" hidden="1">
      <c r="A208" s="54">
        <v>400326597</v>
      </c>
      <c r="B208" s="54">
        <v>400305931</v>
      </c>
      <c r="C208" s="54" t="s">
        <v>1625</v>
      </c>
      <c r="D208" s="54" t="s">
        <v>1626</v>
      </c>
      <c r="E208" s="54" t="s">
        <v>497</v>
      </c>
    </row>
    <row r="209" spans="1:5" hidden="1">
      <c r="A209" s="54">
        <v>400326597</v>
      </c>
      <c r="B209" s="54">
        <v>400538427</v>
      </c>
      <c r="C209" s="54" t="s">
        <v>1627</v>
      </c>
      <c r="D209" s="54" t="s">
        <v>1628</v>
      </c>
      <c r="E209" s="54" t="s">
        <v>497</v>
      </c>
    </row>
    <row r="210" spans="1:5" hidden="1">
      <c r="A210" s="54">
        <v>400326597</v>
      </c>
      <c r="B210" s="54">
        <v>400632569</v>
      </c>
      <c r="C210" s="54" t="s">
        <v>1629</v>
      </c>
      <c r="D210" s="54" t="s">
        <v>1630</v>
      </c>
      <c r="E210" s="54" t="s">
        <v>497</v>
      </c>
    </row>
    <row r="211" spans="1:5" hidden="1">
      <c r="A211" s="54">
        <v>400326597</v>
      </c>
      <c r="B211" s="54">
        <v>400737825</v>
      </c>
      <c r="C211" s="54" t="s">
        <v>498</v>
      </c>
      <c r="D211" s="54" t="s">
        <v>1631</v>
      </c>
      <c r="E211" s="54" t="s">
        <v>497</v>
      </c>
    </row>
    <row r="212" spans="1:5" hidden="1">
      <c r="A212" s="54">
        <v>400326597</v>
      </c>
      <c r="B212" s="54">
        <v>412788115</v>
      </c>
      <c r="C212" s="54" t="s">
        <v>1625</v>
      </c>
      <c r="D212" s="54" t="s">
        <v>1632</v>
      </c>
      <c r="E212" s="54" t="s">
        <v>497</v>
      </c>
    </row>
    <row r="213" spans="1:5" hidden="1">
      <c r="A213" s="54">
        <v>400326597</v>
      </c>
      <c r="B213" s="54">
        <v>417103914</v>
      </c>
      <c r="C213" s="54" t="s">
        <v>498</v>
      </c>
      <c r="D213" s="54" t="s">
        <v>1633</v>
      </c>
      <c r="E213" s="54" t="s">
        <v>497</v>
      </c>
    </row>
    <row r="214" spans="1:5" hidden="1">
      <c r="A214" s="54">
        <v>400326597</v>
      </c>
      <c r="B214" s="54">
        <v>417983131</v>
      </c>
      <c r="C214" s="54" t="s">
        <v>498</v>
      </c>
      <c r="D214" s="54" t="s">
        <v>497</v>
      </c>
      <c r="E214" s="54" t="s">
        <v>1336</v>
      </c>
    </row>
    <row r="215" spans="1:5" hidden="1">
      <c r="A215" s="54">
        <v>400326597</v>
      </c>
      <c r="B215" s="54" t="s">
        <v>1634</v>
      </c>
      <c r="C215" s="54" t="s">
        <v>1635</v>
      </c>
      <c r="D215" s="54" t="s">
        <v>1636</v>
      </c>
      <c r="E215" s="54" t="s">
        <v>497</v>
      </c>
    </row>
    <row r="216" spans="1:5" hidden="1">
      <c r="A216" s="54">
        <v>400326597</v>
      </c>
      <c r="B216" s="54" t="s">
        <v>1637</v>
      </c>
      <c r="C216" s="54" t="s">
        <v>1638</v>
      </c>
      <c r="D216" s="54" t="s">
        <v>1639</v>
      </c>
      <c r="E216" s="54" t="s">
        <v>497</v>
      </c>
    </row>
    <row r="217" spans="1:5" hidden="1">
      <c r="A217" s="54">
        <v>400326599</v>
      </c>
      <c r="B217" s="54">
        <v>400326313</v>
      </c>
      <c r="C217" s="54" t="s">
        <v>500</v>
      </c>
      <c r="D217" s="54" t="s">
        <v>1640</v>
      </c>
      <c r="E217" s="54" t="s">
        <v>499</v>
      </c>
    </row>
    <row r="218" spans="1:5" hidden="1">
      <c r="A218" s="54">
        <v>400326599</v>
      </c>
      <c r="B218" s="54">
        <v>400538430</v>
      </c>
      <c r="C218" s="54" t="s">
        <v>500</v>
      </c>
      <c r="D218" s="54" t="s">
        <v>1641</v>
      </c>
      <c r="E218" s="54" t="s">
        <v>499</v>
      </c>
    </row>
    <row r="219" spans="1:5" hidden="1">
      <c r="A219" s="54">
        <v>400326599</v>
      </c>
      <c r="B219" s="54">
        <v>400825709</v>
      </c>
      <c r="C219" s="54" t="s">
        <v>500</v>
      </c>
      <c r="D219" s="54" t="s">
        <v>1642</v>
      </c>
      <c r="E219" s="54" t="s">
        <v>499</v>
      </c>
    </row>
    <row r="220" spans="1:5" hidden="1">
      <c r="A220" s="54">
        <v>400326599</v>
      </c>
      <c r="B220" s="54">
        <v>401172733</v>
      </c>
      <c r="C220" s="54" t="s">
        <v>500</v>
      </c>
      <c r="D220" s="54" t="s">
        <v>1643</v>
      </c>
      <c r="E220" s="54" t="s">
        <v>499</v>
      </c>
    </row>
    <row r="221" spans="1:5" hidden="1">
      <c r="A221" s="54">
        <v>400326599</v>
      </c>
      <c r="B221" s="54">
        <v>412788121</v>
      </c>
      <c r="C221" s="54" t="s">
        <v>500</v>
      </c>
      <c r="D221" s="54" t="s">
        <v>1644</v>
      </c>
      <c r="E221" s="54" t="s">
        <v>499</v>
      </c>
    </row>
    <row r="222" spans="1:5" hidden="1">
      <c r="A222" s="54">
        <v>400326599</v>
      </c>
      <c r="B222" s="54">
        <v>417103915</v>
      </c>
      <c r="C222" s="54" t="s">
        <v>500</v>
      </c>
      <c r="D222" s="54" t="s">
        <v>1645</v>
      </c>
      <c r="E222" s="54" t="s">
        <v>499</v>
      </c>
    </row>
    <row r="223" spans="1:5" hidden="1">
      <c r="A223" s="54">
        <v>400326599</v>
      </c>
      <c r="B223" s="54">
        <v>417983135</v>
      </c>
      <c r="C223" s="54" t="s">
        <v>500</v>
      </c>
      <c r="D223" s="54" t="s">
        <v>499</v>
      </c>
      <c r="E223" s="54" t="s">
        <v>1336</v>
      </c>
    </row>
    <row r="224" spans="1:5" hidden="1">
      <c r="A224" s="54">
        <v>400326599</v>
      </c>
      <c r="B224" s="54" t="s">
        <v>1646</v>
      </c>
      <c r="C224" s="54" t="s">
        <v>1647</v>
      </c>
      <c r="D224" s="54" t="s">
        <v>1648</v>
      </c>
      <c r="E224" s="54" t="s">
        <v>499</v>
      </c>
    </row>
    <row r="225" spans="1:5" hidden="1">
      <c r="A225" s="54">
        <v>400326599</v>
      </c>
      <c r="B225" s="54" t="s">
        <v>1649</v>
      </c>
      <c r="C225" s="54" t="s">
        <v>1650</v>
      </c>
      <c r="D225" s="54" t="s">
        <v>1651</v>
      </c>
      <c r="E225" s="54" t="s">
        <v>499</v>
      </c>
    </row>
    <row r="226" spans="1:5" hidden="1">
      <c r="A226" s="54">
        <v>400326602</v>
      </c>
      <c r="B226" s="54">
        <v>400326314</v>
      </c>
      <c r="C226" s="54" t="s">
        <v>1652</v>
      </c>
      <c r="D226" s="54" t="s">
        <v>1653</v>
      </c>
      <c r="E226" s="54" t="s">
        <v>467</v>
      </c>
    </row>
    <row r="227" spans="1:5" hidden="1">
      <c r="A227" s="54">
        <v>400326602</v>
      </c>
      <c r="B227" s="54">
        <v>400538432</v>
      </c>
      <c r="C227" s="54" t="s">
        <v>1652</v>
      </c>
      <c r="D227" s="54" t="s">
        <v>1654</v>
      </c>
      <c r="E227" s="54" t="s">
        <v>467</v>
      </c>
    </row>
    <row r="228" spans="1:5" hidden="1">
      <c r="A228" s="54">
        <v>400326602</v>
      </c>
      <c r="B228" s="54">
        <v>401172731</v>
      </c>
      <c r="C228" s="54" t="s">
        <v>1652</v>
      </c>
      <c r="D228" s="54" t="s">
        <v>1655</v>
      </c>
      <c r="E228" s="54" t="s">
        <v>467</v>
      </c>
    </row>
    <row r="229" spans="1:5" hidden="1">
      <c r="A229" s="54">
        <v>400326602</v>
      </c>
      <c r="B229" s="54">
        <v>425288485</v>
      </c>
      <c r="C229" s="54" t="s">
        <v>1652</v>
      </c>
      <c r="D229" s="54" t="s">
        <v>467</v>
      </c>
      <c r="E229" s="54" t="s">
        <v>1336</v>
      </c>
    </row>
    <row r="230" spans="1:5" hidden="1">
      <c r="A230" s="54">
        <v>400326602</v>
      </c>
      <c r="B230" s="54" t="s">
        <v>1656</v>
      </c>
      <c r="C230" s="54" t="s">
        <v>1657</v>
      </c>
      <c r="D230" s="54" t="s">
        <v>1658</v>
      </c>
      <c r="E230" s="54" t="s">
        <v>467</v>
      </c>
    </row>
    <row r="231" spans="1:5" hidden="1">
      <c r="A231" s="54">
        <v>400326607</v>
      </c>
      <c r="B231" s="54">
        <v>400326330</v>
      </c>
      <c r="C231" s="54" t="s">
        <v>436</v>
      </c>
      <c r="D231" s="54" t="s">
        <v>1659</v>
      </c>
      <c r="E231" s="54" t="s">
        <v>435</v>
      </c>
    </row>
    <row r="232" spans="1:5" hidden="1">
      <c r="A232" s="54">
        <v>400326607</v>
      </c>
      <c r="B232" s="54">
        <v>400538384</v>
      </c>
      <c r="C232" s="54" t="s">
        <v>436</v>
      </c>
      <c r="D232" s="54" t="s">
        <v>435</v>
      </c>
      <c r="E232" s="54" t="s">
        <v>1336</v>
      </c>
    </row>
    <row r="233" spans="1:5" hidden="1">
      <c r="A233" s="54">
        <v>400326607</v>
      </c>
      <c r="B233" s="54" t="s">
        <v>1660</v>
      </c>
      <c r="C233" s="54" t="s">
        <v>1661</v>
      </c>
      <c r="D233" s="54" t="s">
        <v>1662</v>
      </c>
      <c r="E233" s="54" t="s">
        <v>435</v>
      </c>
    </row>
    <row r="234" spans="1:5" hidden="1">
      <c r="A234" s="54">
        <v>400326608</v>
      </c>
      <c r="B234" s="54">
        <v>400302975</v>
      </c>
      <c r="C234" s="54" t="s">
        <v>1663</v>
      </c>
      <c r="D234" s="54" t="s">
        <v>1664</v>
      </c>
      <c r="E234" s="54" t="s">
        <v>439</v>
      </c>
    </row>
    <row r="235" spans="1:5" hidden="1">
      <c r="A235" s="54">
        <v>400326608</v>
      </c>
      <c r="B235" s="54">
        <v>400538380</v>
      </c>
      <c r="C235" s="54" t="s">
        <v>1663</v>
      </c>
      <c r="D235" s="54" t="s">
        <v>1665</v>
      </c>
      <c r="E235" s="54" t="s">
        <v>439</v>
      </c>
    </row>
    <row r="236" spans="1:5" hidden="1">
      <c r="A236" s="54">
        <v>400326608</v>
      </c>
      <c r="B236" s="54">
        <v>400590233</v>
      </c>
      <c r="C236" s="54" t="s">
        <v>1663</v>
      </c>
      <c r="D236" s="54" t="s">
        <v>1666</v>
      </c>
      <c r="E236" s="54" t="s">
        <v>439</v>
      </c>
    </row>
    <row r="237" spans="1:5" hidden="1">
      <c r="A237" s="54">
        <v>400326608</v>
      </c>
      <c r="B237" s="54">
        <v>400737813</v>
      </c>
      <c r="C237" s="54" t="s">
        <v>440</v>
      </c>
      <c r="D237" s="54" t="s">
        <v>439</v>
      </c>
      <c r="E237" s="54" t="s">
        <v>1336</v>
      </c>
    </row>
    <row r="238" spans="1:5" hidden="1">
      <c r="A238" s="54">
        <v>400326608</v>
      </c>
      <c r="B238" s="54" t="s">
        <v>1667</v>
      </c>
      <c r="C238" s="54" t="s">
        <v>1668</v>
      </c>
      <c r="D238" s="54" t="s">
        <v>1669</v>
      </c>
      <c r="E238" s="54" t="s">
        <v>439</v>
      </c>
    </row>
    <row r="239" spans="1:5" hidden="1">
      <c r="A239" s="54">
        <v>400326613</v>
      </c>
      <c r="B239" s="54">
        <v>400305992</v>
      </c>
      <c r="C239" s="54" t="s">
        <v>442</v>
      </c>
      <c r="D239" s="54" t="s">
        <v>1670</v>
      </c>
      <c r="E239" s="54" t="s">
        <v>441</v>
      </c>
    </row>
    <row r="240" spans="1:5" hidden="1">
      <c r="A240" s="54">
        <v>400326613</v>
      </c>
      <c r="B240" s="54">
        <v>400538385</v>
      </c>
      <c r="C240" s="54" t="s">
        <v>442</v>
      </c>
      <c r="D240" s="54" t="s">
        <v>441</v>
      </c>
      <c r="E240" s="54" t="s">
        <v>1336</v>
      </c>
    </row>
    <row r="241" spans="1:5" hidden="1">
      <c r="A241" s="54">
        <v>400326613</v>
      </c>
      <c r="B241" s="54" t="s">
        <v>1671</v>
      </c>
      <c r="C241" s="54" t="s">
        <v>1672</v>
      </c>
      <c r="D241" s="54" t="s">
        <v>1673</v>
      </c>
      <c r="E241" s="54" t="s">
        <v>441</v>
      </c>
    </row>
    <row r="242" spans="1:5" hidden="1">
      <c r="A242" s="54">
        <v>400326626</v>
      </c>
      <c r="B242" s="54">
        <v>400006032</v>
      </c>
      <c r="C242" s="54" t="s">
        <v>1674</v>
      </c>
      <c r="D242" s="54" t="s">
        <v>1675</v>
      </c>
      <c r="E242" s="54" t="s">
        <v>485</v>
      </c>
    </row>
    <row r="243" spans="1:5" hidden="1">
      <c r="A243" s="54">
        <v>400326626</v>
      </c>
      <c r="B243" s="54">
        <v>400305908</v>
      </c>
      <c r="C243" s="54" t="s">
        <v>1676</v>
      </c>
      <c r="D243" s="54" t="s">
        <v>1677</v>
      </c>
      <c r="E243" s="54" t="s">
        <v>485</v>
      </c>
    </row>
    <row r="244" spans="1:5" hidden="1">
      <c r="A244" s="54">
        <v>400326626</v>
      </c>
      <c r="B244" s="54">
        <v>400538390</v>
      </c>
      <c r="C244" s="54" t="s">
        <v>1676</v>
      </c>
      <c r="D244" s="54" t="s">
        <v>1678</v>
      </c>
      <c r="E244" s="54" t="s">
        <v>485</v>
      </c>
    </row>
    <row r="245" spans="1:5" hidden="1">
      <c r="A245" s="54">
        <v>400326626</v>
      </c>
      <c r="B245" s="54">
        <v>400599318</v>
      </c>
      <c r="C245" s="54" t="s">
        <v>1676</v>
      </c>
      <c r="D245" s="54" t="s">
        <v>1679</v>
      </c>
      <c r="E245" s="54" t="s">
        <v>485</v>
      </c>
    </row>
    <row r="246" spans="1:5" hidden="1">
      <c r="A246" s="54">
        <v>400326626</v>
      </c>
      <c r="B246" s="54">
        <v>400726314</v>
      </c>
      <c r="C246" s="54" t="s">
        <v>1676</v>
      </c>
      <c r="D246" s="54" t="s">
        <v>1680</v>
      </c>
      <c r="E246" s="54" t="s">
        <v>485</v>
      </c>
    </row>
    <row r="247" spans="1:5" hidden="1">
      <c r="A247" s="54">
        <v>400326626</v>
      </c>
      <c r="B247" s="54">
        <v>417983130</v>
      </c>
      <c r="C247" s="54" t="s">
        <v>1676</v>
      </c>
      <c r="D247" s="54" t="s">
        <v>485</v>
      </c>
      <c r="E247" s="54" t="s">
        <v>1336</v>
      </c>
    </row>
    <row r="248" spans="1:5" hidden="1">
      <c r="A248" s="54">
        <v>400326626</v>
      </c>
      <c r="B248" s="54" t="s">
        <v>1681</v>
      </c>
      <c r="C248" s="54" t="s">
        <v>1682</v>
      </c>
      <c r="D248" s="54" t="s">
        <v>1683</v>
      </c>
      <c r="E248" s="54" t="s">
        <v>485</v>
      </c>
    </row>
    <row r="249" spans="1:5" hidden="1">
      <c r="A249" s="54">
        <v>400326643</v>
      </c>
      <c r="B249" s="54">
        <v>400048975</v>
      </c>
      <c r="C249" s="54" t="s">
        <v>1684</v>
      </c>
      <c r="D249" s="54" t="s">
        <v>1685</v>
      </c>
      <c r="E249" s="54" t="s">
        <v>483</v>
      </c>
    </row>
    <row r="250" spans="1:5" hidden="1">
      <c r="A250" s="54">
        <v>400326643</v>
      </c>
      <c r="B250" s="54">
        <v>400302925</v>
      </c>
      <c r="C250" s="54" t="s">
        <v>1684</v>
      </c>
      <c r="D250" s="54" t="s">
        <v>1686</v>
      </c>
      <c r="E250" s="54" t="s">
        <v>483</v>
      </c>
    </row>
    <row r="251" spans="1:5" hidden="1">
      <c r="A251" s="54">
        <v>400326643</v>
      </c>
      <c r="B251" s="54">
        <v>400326289</v>
      </c>
      <c r="C251" s="54" t="s">
        <v>484</v>
      </c>
      <c r="D251" s="54" t="s">
        <v>1687</v>
      </c>
      <c r="E251" s="54" t="s">
        <v>483</v>
      </c>
    </row>
    <row r="252" spans="1:5" hidden="1">
      <c r="A252" s="54">
        <v>400326643</v>
      </c>
      <c r="B252" s="54">
        <v>400326646</v>
      </c>
      <c r="C252" s="54" t="s">
        <v>1688</v>
      </c>
      <c r="D252" s="54" t="s">
        <v>1689</v>
      </c>
      <c r="E252" s="54" t="s">
        <v>483</v>
      </c>
    </row>
    <row r="253" spans="1:5" hidden="1">
      <c r="A253" s="54">
        <v>400326643</v>
      </c>
      <c r="B253" s="54">
        <v>400824958</v>
      </c>
      <c r="C253" s="54" t="s">
        <v>484</v>
      </c>
      <c r="D253" s="54" t="s">
        <v>1690</v>
      </c>
      <c r="E253" s="54" t="s">
        <v>483</v>
      </c>
    </row>
    <row r="254" spans="1:5" hidden="1">
      <c r="A254" s="54">
        <v>400326643</v>
      </c>
      <c r="B254" s="54">
        <v>401064862</v>
      </c>
      <c r="C254" s="54" t="s">
        <v>484</v>
      </c>
      <c r="D254" s="54" t="s">
        <v>1691</v>
      </c>
      <c r="E254" s="54" t="s">
        <v>483</v>
      </c>
    </row>
    <row r="255" spans="1:5" hidden="1">
      <c r="A255" s="54">
        <v>400326643</v>
      </c>
      <c r="B255" s="54">
        <v>414708028</v>
      </c>
      <c r="C255" s="54" t="s">
        <v>484</v>
      </c>
      <c r="D255" s="54" t="s">
        <v>1692</v>
      </c>
      <c r="E255" s="54" t="s">
        <v>483</v>
      </c>
    </row>
    <row r="256" spans="1:5" hidden="1">
      <c r="A256" s="54">
        <v>400326643</v>
      </c>
      <c r="B256" s="54">
        <v>417103912</v>
      </c>
      <c r="C256" s="54" t="s">
        <v>484</v>
      </c>
      <c r="D256" s="54" t="s">
        <v>1693</v>
      </c>
      <c r="E256" s="54" t="s">
        <v>483</v>
      </c>
    </row>
    <row r="257" spans="1:5" hidden="1">
      <c r="A257" s="54">
        <v>400326643</v>
      </c>
      <c r="B257" s="54">
        <v>417221850</v>
      </c>
      <c r="C257" s="54" t="s">
        <v>484</v>
      </c>
      <c r="D257" s="54" t="s">
        <v>1694</v>
      </c>
      <c r="E257" s="54" t="s">
        <v>483</v>
      </c>
    </row>
    <row r="258" spans="1:5" hidden="1">
      <c r="A258" s="54">
        <v>400326643</v>
      </c>
      <c r="B258" s="54">
        <v>417350122</v>
      </c>
      <c r="C258" s="54" t="s">
        <v>484</v>
      </c>
      <c r="D258" s="54" t="s">
        <v>483</v>
      </c>
      <c r="E258" s="54" t="s">
        <v>1336</v>
      </c>
    </row>
    <row r="259" spans="1:5" hidden="1">
      <c r="A259" s="54">
        <v>400326643</v>
      </c>
      <c r="B259" s="54">
        <v>417350141</v>
      </c>
      <c r="C259" s="54" t="s">
        <v>484</v>
      </c>
      <c r="D259" s="54" t="s">
        <v>1695</v>
      </c>
      <c r="E259" s="54" t="s">
        <v>483</v>
      </c>
    </row>
    <row r="260" spans="1:5" hidden="1">
      <c r="A260" s="54">
        <v>400326667</v>
      </c>
      <c r="B260" s="54">
        <v>400124470</v>
      </c>
      <c r="C260" s="54" t="s">
        <v>1696</v>
      </c>
      <c r="D260" s="54" t="s">
        <v>1697</v>
      </c>
      <c r="E260" s="54" t="s">
        <v>501</v>
      </c>
    </row>
    <row r="261" spans="1:5" hidden="1">
      <c r="A261" s="54">
        <v>400326667</v>
      </c>
      <c r="B261" s="54">
        <v>400306767</v>
      </c>
      <c r="C261" s="54" t="s">
        <v>1696</v>
      </c>
      <c r="D261" s="54" t="s">
        <v>1698</v>
      </c>
      <c r="E261" s="54" t="s">
        <v>501</v>
      </c>
    </row>
    <row r="262" spans="1:5" hidden="1">
      <c r="A262" s="54">
        <v>400326667</v>
      </c>
      <c r="B262" s="54">
        <v>400663400</v>
      </c>
      <c r="C262" s="54" t="s">
        <v>1696</v>
      </c>
      <c r="D262" s="54" t="s">
        <v>1699</v>
      </c>
      <c r="E262" s="54" t="s">
        <v>501</v>
      </c>
    </row>
    <row r="263" spans="1:5" hidden="1">
      <c r="A263" s="54">
        <v>400326667</v>
      </c>
      <c r="B263" s="54">
        <v>400668890</v>
      </c>
      <c r="C263" s="54" t="s">
        <v>1700</v>
      </c>
      <c r="D263" s="54" t="s">
        <v>1701</v>
      </c>
      <c r="E263" s="54" t="s">
        <v>501</v>
      </c>
    </row>
    <row r="264" spans="1:5" hidden="1">
      <c r="A264" s="54">
        <v>400326667</v>
      </c>
      <c r="B264" s="54">
        <v>401194640</v>
      </c>
      <c r="C264" s="54" t="s">
        <v>1700</v>
      </c>
      <c r="D264" s="54" t="s">
        <v>1702</v>
      </c>
      <c r="E264" s="54" t="s">
        <v>501</v>
      </c>
    </row>
    <row r="265" spans="1:5" hidden="1">
      <c r="A265" s="54">
        <v>400326667</v>
      </c>
      <c r="B265" s="54">
        <v>401544151</v>
      </c>
      <c r="C265" s="54" t="s">
        <v>1696</v>
      </c>
      <c r="D265" s="54" t="s">
        <v>1703</v>
      </c>
      <c r="E265" s="54" t="s">
        <v>501</v>
      </c>
    </row>
    <row r="266" spans="1:5" hidden="1">
      <c r="A266" s="54">
        <v>400326667</v>
      </c>
      <c r="B266" s="54">
        <v>412788138</v>
      </c>
      <c r="C266" s="54" t="s">
        <v>1696</v>
      </c>
      <c r="D266" s="54" t="s">
        <v>1704</v>
      </c>
      <c r="E266" s="54" t="s">
        <v>501</v>
      </c>
    </row>
    <row r="267" spans="1:5" hidden="1">
      <c r="A267" s="54">
        <v>400326667</v>
      </c>
      <c r="B267" s="54">
        <v>413424997</v>
      </c>
      <c r="C267" s="54" t="s">
        <v>1696</v>
      </c>
      <c r="D267" s="54" t="s">
        <v>1705</v>
      </c>
      <c r="E267" s="54" t="s">
        <v>501</v>
      </c>
    </row>
    <row r="268" spans="1:5" hidden="1">
      <c r="A268" s="54">
        <v>400326667</v>
      </c>
      <c r="B268" s="54">
        <v>414202270</v>
      </c>
      <c r="C268" s="54" t="s">
        <v>1696</v>
      </c>
      <c r="D268" s="54" t="s">
        <v>1706</v>
      </c>
      <c r="E268" s="54" t="s">
        <v>501</v>
      </c>
    </row>
    <row r="269" spans="1:5" hidden="1">
      <c r="A269" s="54">
        <v>400326667</v>
      </c>
      <c r="B269" s="54">
        <v>415577620</v>
      </c>
      <c r="C269" s="54" t="s">
        <v>1696</v>
      </c>
      <c r="D269" s="54" t="s">
        <v>1707</v>
      </c>
      <c r="E269" s="54" t="s">
        <v>501</v>
      </c>
    </row>
    <row r="270" spans="1:5" hidden="1">
      <c r="A270" s="54">
        <v>400326667</v>
      </c>
      <c r="B270" s="54">
        <v>417103922</v>
      </c>
      <c r="C270" s="54" t="s">
        <v>1700</v>
      </c>
      <c r="D270" s="54" t="s">
        <v>1708</v>
      </c>
      <c r="E270" s="54" t="s">
        <v>501</v>
      </c>
    </row>
    <row r="271" spans="1:5" hidden="1">
      <c r="A271" s="54">
        <v>400326667</v>
      </c>
      <c r="B271" s="54">
        <v>417350128</v>
      </c>
      <c r="C271" s="54" t="s">
        <v>1700</v>
      </c>
      <c r="D271" s="54" t="s">
        <v>1709</v>
      </c>
      <c r="E271" s="54" t="s">
        <v>501</v>
      </c>
    </row>
    <row r="272" spans="1:5" hidden="1">
      <c r="A272" s="54">
        <v>400326667</v>
      </c>
      <c r="B272" s="54">
        <v>417983139</v>
      </c>
      <c r="C272" s="54" t="s">
        <v>1696</v>
      </c>
      <c r="D272" s="54" t="s">
        <v>501</v>
      </c>
      <c r="E272" s="54" t="s">
        <v>1336</v>
      </c>
    </row>
    <row r="273" spans="1:5" hidden="1">
      <c r="A273" s="54">
        <v>400341457</v>
      </c>
      <c r="B273" s="54">
        <v>400073673</v>
      </c>
      <c r="C273" s="54" t="s">
        <v>1070</v>
      </c>
      <c r="D273" s="54" t="s">
        <v>1069</v>
      </c>
      <c r="E273" s="54" t="s">
        <v>1336</v>
      </c>
    </row>
    <row r="274" spans="1:5" hidden="1">
      <c r="A274" s="54">
        <v>400341457</v>
      </c>
      <c r="B274" s="54">
        <v>400284389</v>
      </c>
      <c r="C274" s="54" t="s">
        <v>1070</v>
      </c>
      <c r="D274" s="54" t="s">
        <v>1710</v>
      </c>
      <c r="E274" s="54" t="s">
        <v>1069</v>
      </c>
    </row>
    <row r="275" spans="1:5" hidden="1">
      <c r="A275" s="54">
        <v>400341457</v>
      </c>
      <c r="B275" s="54" t="s">
        <v>1711</v>
      </c>
      <c r="C275" s="54" t="s">
        <v>1712</v>
      </c>
      <c r="D275" s="54" t="s">
        <v>1713</v>
      </c>
      <c r="E275" s="54" t="s">
        <v>1069</v>
      </c>
    </row>
    <row r="276" spans="1:5" hidden="1">
      <c r="A276" s="54">
        <v>400341461</v>
      </c>
      <c r="B276" s="54">
        <v>400020763</v>
      </c>
      <c r="C276" s="54" t="s">
        <v>1714</v>
      </c>
      <c r="D276" s="54" t="s">
        <v>1715</v>
      </c>
      <c r="E276" s="54" t="s">
        <v>254</v>
      </c>
    </row>
    <row r="277" spans="1:5" hidden="1">
      <c r="A277" s="54">
        <v>400341461</v>
      </c>
      <c r="B277" s="54">
        <v>400341086</v>
      </c>
      <c r="C277" s="54" t="s">
        <v>1716</v>
      </c>
      <c r="D277" s="54" t="s">
        <v>1717</v>
      </c>
      <c r="E277" s="54" t="s">
        <v>254</v>
      </c>
    </row>
    <row r="278" spans="1:5" hidden="1">
      <c r="A278" s="54">
        <v>400341461</v>
      </c>
      <c r="B278" s="54">
        <v>400345472</v>
      </c>
      <c r="C278" s="54" t="s">
        <v>1716</v>
      </c>
      <c r="D278" s="54" t="s">
        <v>1718</v>
      </c>
      <c r="E278" s="54" t="s">
        <v>254</v>
      </c>
    </row>
    <row r="279" spans="1:5" hidden="1">
      <c r="A279" s="54">
        <v>400341461</v>
      </c>
      <c r="B279" s="54">
        <v>417531779</v>
      </c>
      <c r="C279" s="54" t="s">
        <v>1716</v>
      </c>
      <c r="D279" s="54" t="s">
        <v>254</v>
      </c>
      <c r="E279" s="54" t="s">
        <v>1336</v>
      </c>
    </row>
    <row r="280" spans="1:5" hidden="1">
      <c r="A280" s="54">
        <v>400341489</v>
      </c>
      <c r="B280" s="54">
        <v>400073690</v>
      </c>
      <c r="C280" s="54" t="s">
        <v>244</v>
      </c>
      <c r="D280" s="54" t="s">
        <v>1719</v>
      </c>
      <c r="E280" s="54" t="s">
        <v>243</v>
      </c>
    </row>
    <row r="281" spans="1:5" hidden="1">
      <c r="A281" s="54">
        <v>400341489</v>
      </c>
      <c r="B281" s="54">
        <v>400284360</v>
      </c>
      <c r="C281" s="54" t="s">
        <v>244</v>
      </c>
      <c r="D281" s="54" t="s">
        <v>1720</v>
      </c>
      <c r="E281" s="54" t="s">
        <v>243</v>
      </c>
    </row>
    <row r="282" spans="1:5" hidden="1">
      <c r="A282" s="54">
        <v>400341489</v>
      </c>
      <c r="B282" s="54">
        <v>414905970</v>
      </c>
      <c r="C282" s="54" t="s">
        <v>244</v>
      </c>
      <c r="D282" s="54" t="s">
        <v>1721</v>
      </c>
      <c r="E282" s="54" t="s">
        <v>243</v>
      </c>
    </row>
    <row r="283" spans="1:5" hidden="1">
      <c r="A283" s="54">
        <v>400341489</v>
      </c>
      <c r="B283" s="54">
        <v>417983172</v>
      </c>
      <c r="C283" s="54" t="s">
        <v>244</v>
      </c>
      <c r="D283" s="54" t="s">
        <v>243</v>
      </c>
      <c r="E283" s="54" t="s">
        <v>1336</v>
      </c>
    </row>
    <row r="284" spans="1:5" hidden="1">
      <c r="A284" s="54">
        <v>400341489</v>
      </c>
      <c r="B284" s="54" t="s">
        <v>1722</v>
      </c>
      <c r="C284" s="54" t="s">
        <v>1723</v>
      </c>
      <c r="D284" s="54" t="s">
        <v>1724</v>
      </c>
      <c r="E284" s="54" t="s">
        <v>243</v>
      </c>
    </row>
    <row r="285" spans="1:5" hidden="1">
      <c r="A285" s="54">
        <v>400341542</v>
      </c>
      <c r="B285" s="54">
        <v>400306666</v>
      </c>
      <c r="C285" s="54" t="s">
        <v>236</v>
      </c>
      <c r="D285" s="54" t="s">
        <v>1725</v>
      </c>
      <c r="E285" s="54" t="s">
        <v>235</v>
      </c>
    </row>
    <row r="286" spans="1:5" hidden="1">
      <c r="A286" s="54">
        <v>400341542</v>
      </c>
      <c r="B286" s="54">
        <v>400341082</v>
      </c>
      <c r="C286" s="54" t="s">
        <v>236</v>
      </c>
      <c r="D286" s="54" t="s">
        <v>1726</v>
      </c>
      <c r="E286" s="54" t="s">
        <v>235</v>
      </c>
    </row>
    <row r="287" spans="1:5" hidden="1">
      <c r="A287" s="54">
        <v>400341542</v>
      </c>
      <c r="B287" s="54">
        <v>417983176</v>
      </c>
      <c r="C287" s="54" t="s">
        <v>236</v>
      </c>
      <c r="D287" s="54" t="s">
        <v>235</v>
      </c>
      <c r="E287" s="54" t="s">
        <v>1336</v>
      </c>
    </row>
    <row r="288" spans="1:5" hidden="1">
      <c r="A288" s="54">
        <v>400341542</v>
      </c>
      <c r="B288" s="54" t="s">
        <v>1727</v>
      </c>
      <c r="C288" s="54" t="s">
        <v>1728</v>
      </c>
      <c r="D288" s="54" t="s">
        <v>1729</v>
      </c>
      <c r="E288" s="54" t="s">
        <v>235</v>
      </c>
    </row>
    <row r="289" spans="1:5" hidden="1">
      <c r="A289" s="54">
        <v>400341730</v>
      </c>
      <c r="B289" s="54">
        <v>400341072</v>
      </c>
      <c r="C289" s="54" t="s">
        <v>1063</v>
      </c>
      <c r="D289" s="54" t="s">
        <v>1062</v>
      </c>
      <c r="E289" s="54" t="s">
        <v>1336</v>
      </c>
    </row>
    <row r="290" spans="1:5" hidden="1">
      <c r="A290" s="54">
        <v>400341730</v>
      </c>
      <c r="B290" s="54">
        <v>400345419</v>
      </c>
      <c r="C290" s="54" t="s">
        <v>1063</v>
      </c>
      <c r="D290" s="54" t="s">
        <v>1730</v>
      </c>
      <c r="E290" s="54" t="s">
        <v>1062</v>
      </c>
    </row>
    <row r="291" spans="1:5" hidden="1">
      <c r="A291" s="54">
        <v>400341730</v>
      </c>
      <c r="B291" s="54" t="s">
        <v>1731</v>
      </c>
      <c r="C291" s="54" t="s">
        <v>1732</v>
      </c>
      <c r="D291" s="54" t="s">
        <v>1733</v>
      </c>
      <c r="E291" s="54" t="s">
        <v>1062</v>
      </c>
    </row>
    <row r="292" spans="1:5" hidden="1">
      <c r="A292" s="54">
        <v>400346124</v>
      </c>
      <c r="B292" s="54">
        <v>400312195</v>
      </c>
      <c r="C292" s="54" t="s">
        <v>1068</v>
      </c>
      <c r="D292" s="54" t="s">
        <v>1734</v>
      </c>
      <c r="E292" s="54" t="s">
        <v>1067</v>
      </c>
    </row>
    <row r="293" spans="1:5" hidden="1">
      <c r="A293" s="54">
        <v>400346124</v>
      </c>
      <c r="B293" s="54">
        <v>400341043</v>
      </c>
      <c r="C293" s="54" t="s">
        <v>1068</v>
      </c>
      <c r="D293" s="54" t="s">
        <v>1067</v>
      </c>
      <c r="E293" s="54" t="s">
        <v>1336</v>
      </c>
    </row>
    <row r="294" spans="1:5" hidden="1">
      <c r="A294" s="54">
        <v>400346124</v>
      </c>
      <c r="B294" s="54" t="s">
        <v>1735</v>
      </c>
      <c r="C294" s="54" t="s">
        <v>1736</v>
      </c>
      <c r="D294" s="54" t="s">
        <v>1737</v>
      </c>
      <c r="E294" s="54" t="s">
        <v>1067</v>
      </c>
    </row>
    <row r="295" spans="1:5" hidden="1">
      <c r="A295" s="54">
        <v>400393295</v>
      </c>
      <c r="B295" s="54">
        <v>402291632</v>
      </c>
      <c r="C295" s="54" t="s">
        <v>1738</v>
      </c>
      <c r="D295" s="54" t="s">
        <v>1739</v>
      </c>
      <c r="E295" s="54" t="s">
        <v>256</v>
      </c>
    </row>
    <row r="296" spans="1:5" hidden="1">
      <c r="A296" s="54">
        <v>400393295</v>
      </c>
      <c r="B296" s="54" t="s">
        <v>1740</v>
      </c>
      <c r="C296" s="54" t="s">
        <v>1741</v>
      </c>
      <c r="D296" s="54" t="s">
        <v>1742</v>
      </c>
      <c r="E296" s="54" t="s">
        <v>256</v>
      </c>
    </row>
    <row r="297" spans="1:5" hidden="1">
      <c r="A297" s="54">
        <v>400393295</v>
      </c>
      <c r="B297" s="54" t="s">
        <v>257</v>
      </c>
      <c r="C297" s="54" t="s">
        <v>258</v>
      </c>
      <c r="D297" s="54" t="s">
        <v>256</v>
      </c>
      <c r="E297" s="54" t="s">
        <v>1336</v>
      </c>
    </row>
    <row r="298" spans="1:5" hidden="1">
      <c r="A298" s="54">
        <v>400407984</v>
      </c>
      <c r="B298" s="54">
        <v>402415463</v>
      </c>
      <c r="C298" s="54" t="s">
        <v>329</v>
      </c>
      <c r="D298" s="54" t="s">
        <v>328</v>
      </c>
      <c r="E298" s="54" t="s">
        <v>1336</v>
      </c>
    </row>
    <row r="299" spans="1:5" hidden="1">
      <c r="A299" s="54">
        <v>400407984</v>
      </c>
      <c r="B299" s="54" t="s">
        <v>1743</v>
      </c>
      <c r="C299" s="54" t="s">
        <v>1744</v>
      </c>
      <c r="D299" s="54" t="s">
        <v>1745</v>
      </c>
      <c r="E299" s="54" t="s">
        <v>328</v>
      </c>
    </row>
    <row r="300" spans="1:5" hidden="1">
      <c r="A300" s="54">
        <v>400407984</v>
      </c>
      <c r="B300" s="54" t="s">
        <v>1746</v>
      </c>
      <c r="C300" s="54" t="s">
        <v>1747</v>
      </c>
      <c r="D300" s="54" t="s">
        <v>1748</v>
      </c>
      <c r="E300" s="54" t="s">
        <v>328</v>
      </c>
    </row>
    <row r="301" spans="1:5" hidden="1">
      <c r="A301" s="54">
        <v>400481171</v>
      </c>
      <c r="B301" s="54">
        <v>400973894</v>
      </c>
      <c r="C301" s="54" t="s">
        <v>252</v>
      </c>
      <c r="D301" s="54" t="s">
        <v>1749</v>
      </c>
      <c r="E301" s="54" t="s">
        <v>251</v>
      </c>
    </row>
    <row r="302" spans="1:5" hidden="1">
      <c r="A302" s="54">
        <v>400481171</v>
      </c>
      <c r="B302" s="54">
        <v>417531783</v>
      </c>
      <c r="C302" s="54" t="s">
        <v>252</v>
      </c>
      <c r="D302" s="54" t="s">
        <v>251</v>
      </c>
      <c r="E302" s="54" t="s">
        <v>1336</v>
      </c>
    </row>
    <row r="303" spans="1:5" hidden="1">
      <c r="A303" s="54">
        <v>400481181</v>
      </c>
      <c r="B303" s="54">
        <v>400196771</v>
      </c>
      <c r="C303" s="54" t="s">
        <v>472</v>
      </c>
      <c r="D303" s="54" t="s">
        <v>1750</v>
      </c>
      <c r="E303" s="54" t="s">
        <v>471</v>
      </c>
    </row>
    <row r="304" spans="1:5" hidden="1">
      <c r="A304" s="54">
        <v>400481181</v>
      </c>
      <c r="B304" s="54">
        <v>400302726</v>
      </c>
      <c r="C304" s="54" t="s">
        <v>472</v>
      </c>
      <c r="D304" s="54" t="s">
        <v>1751</v>
      </c>
      <c r="E304" s="54" t="s">
        <v>471</v>
      </c>
    </row>
    <row r="305" spans="1:5" hidden="1">
      <c r="A305" s="54">
        <v>400481181</v>
      </c>
      <c r="B305" s="54">
        <v>400538371</v>
      </c>
      <c r="C305" s="54" t="s">
        <v>472</v>
      </c>
      <c r="D305" s="54" t="s">
        <v>1752</v>
      </c>
      <c r="E305" s="54" t="s">
        <v>471</v>
      </c>
    </row>
    <row r="306" spans="1:5" hidden="1">
      <c r="A306" s="54">
        <v>400481181</v>
      </c>
      <c r="B306" s="54">
        <v>400607520</v>
      </c>
      <c r="C306" s="54" t="s">
        <v>472</v>
      </c>
      <c r="D306" s="54" t="s">
        <v>1753</v>
      </c>
      <c r="E306" s="54" t="s">
        <v>471</v>
      </c>
    </row>
    <row r="307" spans="1:5" hidden="1">
      <c r="A307" s="54">
        <v>400481181</v>
      </c>
      <c r="B307" s="54">
        <v>401225088</v>
      </c>
      <c r="C307" s="54" t="s">
        <v>472</v>
      </c>
      <c r="D307" s="54" t="s">
        <v>1754</v>
      </c>
      <c r="E307" s="54" t="s">
        <v>471</v>
      </c>
    </row>
    <row r="308" spans="1:5" hidden="1">
      <c r="A308" s="54">
        <v>400481181</v>
      </c>
      <c r="B308" s="54">
        <v>409507750</v>
      </c>
      <c r="C308" s="54" t="s">
        <v>472</v>
      </c>
      <c r="D308" s="54" t="s">
        <v>1755</v>
      </c>
      <c r="E308" s="54" t="s">
        <v>471</v>
      </c>
    </row>
    <row r="309" spans="1:5" hidden="1">
      <c r="A309" s="54">
        <v>400481181</v>
      </c>
      <c r="B309" s="54">
        <v>417983106</v>
      </c>
      <c r="C309" s="54" t="s">
        <v>472</v>
      </c>
      <c r="D309" s="54" t="s">
        <v>471</v>
      </c>
      <c r="E309" s="54" t="s">
        <v>1336</v>
      </c>
    </row>
    <row r="310" spans="1:5" hidden="1">
      <c r="A310" s="54">
        <v>400481190</v>
      </c>
      <c r="B310" s="54">
        <v>400302771</v>
      </c>
      <c r="C310" s="54" t="s">
        <v>425</v>
      </c>
      <c r="D310" s="54" t="s">
        <v>1756</v>
      </c>
      <c r="E310" s="54" t="s">
        <v>424</v>
      </c>
    </row>
    <row r="311" spans="1:5" hidden="1">
      <c r="A311" s="54">
        <v>400481190</v>
      </c>
      <c r="B311" s="54">
        <v>400603722</v>
      </c>
      <c r="C311" s="54" t="s">
        <v>1757</v>
      </c>
      <c r="D311" s="54" t="s">
        <v>1758</v>
      </c>
      <c r="E311" s="54" t="s">
        <v>424</v>
      </c>
    </row>
    <row r="312" spans="1:5" hidden="1">
      <c r="A312" s="54">
        <v>400481190</v>
      </c>
      <c r="B312" s="54">
        <v>400973101</v>
      </c>
      <c r="C312" s="54" t="s">
        <v>1757</v>
      </c>
      <c r="D312" s="54" t="s">
        <v>1759</v>
      </c>
      <c r="E312" s="54" t="s">
        <v>424</v>
      </c>
    </row>
    <row r="313" spans="1:5" hidden="1">
      <c r="A313" s="54">
        <v>400481190</v>
      </c>
      <c r="B313" s="54">
        <v>401524707</v>
      </c>
      <c r="C313" s="54" t="s">
        <v>425</v>
      </c>
      <c r="D313" s="54" t="s">
        <v>424</v>
      </c>
      <c r="E313" s="54" t="s">
        <v>1336</v>
      </c>
    </row>
    <row r="314" spans="1:5" hidden="1">
      <c r="A314" s="54">
        <v>400481196</v>
      </c>
      <c r="B314" s="54">
        <v>400042012</v>
      </c>
      <c r="C314" s="54" t="s">
        <v>474</v>
      </c>
      <c r="D314" s="54" t="s">
        <v>1760</v>
      </c>
      <c r="E314" s="54" t="s">
        <v>473</v>
      </c>
    </row>
    <row r="315" spans="1:5" hidden="1">
      <c r="A315" s="54">
        <v>400481196</v>
      </c>
      <c r="B315" s="54">
        <v>400465421</v>
      </c>
      <c r="C315" s="54" t="s">
        <v>474</v>
      </c>
      <c r="D315" s="54" t="s">
        <v>1761</v>
      </c>
      <c r="E315" s="54" t="s">
        <v>473</v>
      </c>
    </row>
    <row r="316" spans="1:5" hidden="1">
      <c r="A316" s="54">
        <v>400481196</v>
      </c>
      <c r="B316" s="54">
        <v>400950616</v>
      </c>
      <c r="C316" s="54" t="s">
        <v>474</v>
      </c>
      <c r="D316" s="54" t="s">
        <v>1762</v>
      </c>
      <c r="E316" s="54" t="s">
        <v>473</v>
      </c>
    </row>
    <row r="317" spans="1:5" hidden="1">
      <c r="A317" s="54">
        <v>400481196</v>
      </c>
      <c r="B317" s="54">
        <v>417983107</v>
      </c>
      <c r="C317" s="54" t="s">
        <v>474</v>
      </c>
      <c r="D317" s="54" t="s">
        <v>473</v>
      </c>
      <c r="E317" s="54" t="s">
        <v>1336</v>
      </c>
    </row>
    <row r="318" spans="1:5" hidden="1">
      <c r="A318" s="54">
        <v>400481204</v>
      </c>
      <c r="B318" s="54">
        <v>400125016</v>
      </c>
      <c r="C318" s="54" t="s">
        <v>422</v>
      </c>
      <c r="D318" s="54" t="s">
        <v>1763</v>
      </c>
      <c r="E318" s="54" t="s">
        <v>421</v>
      </c>
    </row>
    <row r="319" spans="1:5" hidden="1">
      <c r="A319" s="54">
        <v>400481204</v>
      </c>
      <c r="B319" s="54">
        <v>400465028</v>
      </c>
      <c r="C319" s="54" t="s">
        <v>422</v>
      </c>
      <c r="D319" s="54" t="s">
        <v>1764</v>
      </c>
      <c r="E319" s="54" t="s">
        <v>421</v>
      </c>
    </row>
    <row r="320" spans="1:5" hidden="1">
      <c r="A320" s="54">
        <v>400481204</v>
      </c>
      <c r="B320" s="54">
        <v>400539561</v>
      </c>
      <c r="C320" s="54" t="s">
        <v>422</v>
      </c>
      <c r="D320" s="54" t="s">
        <v>1765</v>
      </c>
      <c r="E320" s="54" t="s">
        <v>421</v>
      </c>
    </row>
    <row r="321" spans="1:5" hidden="1">
      <c r="A321" s="54">
        <v>400481204</v>
      </c>
      <c r="B321" s="54">
        <v>400797925</v>
      </c>
      <c r="C321" s="54" t="s">
        <v>422</v>
      </c>
      <c r="D321" s="54" t="s">
        <v>421</v>
      </c>
      <c r="E321" s="54" t="s">
        <v>1336</v>
      </c>
    </row>
    <row r="322" spans="1:5" hidden="1">
      <c r="A322" s="54">
        <v>400481213</v>
      </c>
      <c r="B322" s="54">
        <v>400035595</v>
      </c>
      <c r="C322" s="54" t="s">
        <v>1766</v>
      </c>
      <c r="D322" s="54" t="s">
        <v>1767</v>
      </c>
      <c r="E322" s="54" t="s">
        <v>526</v>
      </c>
    </row>
    <row r="323" spans="1:5" hidden="1">
      <c r="A323" s="54">
        <v>400481213</v>
      </c>
      <c r="B323" s="54">
        <v>400210358</v>
      </c>
      <c r="C323" s="54" t="s">
        <v>1766</v>
      </c>
      <c r="D323" s="54" t="s">
        <v>1768</v>
      </c>
      <c r="E323" s="54" t="s">
        <v>526</v>
      </c>
    </row>
    <row r="324" spans="1:5" hidden="1">
      <c r="A324" s="54">
        <v>400481213</v>
      </c>
      <c r="B324" s="54">
        <v>400464397</v>
      </c>
      <c r="C324" s="54" t="s">
        <v>1766</v>
      </c>
      <c r="D324" s="54" t="s">
        <v>1769</v>
      </c>
      <c r="E324" s="54" t="s">
        <v>526</v>
      </c>
    </row>
    <row r="325" spans="1:5" hidden="1">
      <c r="A325" s="54">
        <v>400481213</v>
      </c>
      <c r="B325" s="54">
        <v>416881473</v>
      </c>
      <c r="C325" s="54" t="s">
        <v>1770</v>
      </c>
      <c r="D325" s="54" t="s">
        <v>1771</v>
      </c>
      <c r="E325" s="54" t="s">
        <v>526</v>
      </c>
    </row>
    <row r="326" spans="1:5" hidden="1">
      <c r="A326" s="54">
        <v>400481213</v>
      </c>
      <c r="B326" s="54">
        <v>417221844</v>
      </c>
      <c r="C326" s="54" t="s">
        <v>1766</v>
      </c>
      <c r="D326" s="54" t="s">
        <v>1772</v>
      </c>
      <c r="E326" s="54" t="s">
        <v>526</v>
      </c>
    </row>
    <row r="327" spans="1:5" hidden="1">
      <c r="A327" s="54">
        <v>400481213</v>
      </c>
      <c r="B327" s="54">
        <v>417983111</v>
      </c>
      <c r="C327" s="54" t="s">
        <v>1766</v>
      </c>
      <c r="D327" s="54" t="s">
        <v>526</v>
      </c>
      <c r="E327" s="54" t="s">
        <v>1336</v>
      </c>
    </row>
    <row r="328" spans="1:5" hidden="1">
      <c r="A328" s="54">
        <v>400481214</v>
      </c>
      <c r="B328" s="54">
        <v>400035592</v>
      </c>
      <c r="C328" s="54" t="s">
        <v>1773</v>
      </c>
      <c r="D328" s="54" t="s">
        <v>1774</v>
      </c>
      <c r="E328" s="54" t="s">
        <v>426</v>
      </c>
    </row>
    <row r="329" spans="1:5" hidden="1">
      <c r="A329" s="54">
        <v>400481214</v>
      </c>
      <c r="B329" s="54">
        <v>400464409</v>
      </c>
      <c r="C329" s="54" t="s">
        <v>1773</v>
      </c>
      <c r="D329" s="54" t="s">
        <v>1775</v>
      </c>
      <c r="E329" s="54" t="s">
        <v>426</v>
      </c>
    </row>
    <row r="330" spans="1:5" hidden="1">
      <c r="A330" s="54">
        <v>400481214</v>
      </c>
      <c r="B330" s="54">
        <v>401325063</v>
      </c>
      <c r="C330" s="54" t="s">
        <v>1773</v>
      </c>
      <c r="D330" s="54" t="s">
        <v>426</v>
      </c>
      <c r="E330" s="54" t="s">
        <v>1336</v>
      </c>
    </row>
    <row r="331" spans="1:5" hidden="1">
      <c r="A331" s="54">
        <v>400481228</v>
      </c>
      <c r="B331" s="54">
        <v>400219495</v>
      </c>
      <c r="C331" s="54" t="s">
        <v>1776</v>
      </c>
      <c r="D331" s="54" t="s">
        <v>1777</v>
      </c>
      <c r="E331" s="54" t="s">
        <v>475</v>
      </c>
    </row>
    <row r="332" spans="1:5" hidden="1">
      <c r="A332" s="54">
        <v>400481228</v>
      </c>
      <c r="B332" s="54">
        <v>400302898</v>
      </c>
      <c r="C332" s="54" t="s">
        <v>1776</v>
      </c>
      <c r="D332" s="54" t="s">
        <v>1778</v>
      </c>
      <c r="E332" s="54" t="s">
        <v>475</v>
      </c>
    </row>
    <row r="333" spans="1:5" hidden="1">
      <c r="A333" s="54">
        <v>400481228</v>
      </c>
      <c r="B333" s="54">
        <v>400544547</v>
      </c>
      <c r="C333" s="54" t="s">
        <v>1779</v>
      </c>
      <c r="D333" s="54" t="s">
        <v>1780</v>
      </c>
      <c r="E333" s="54" t="s">
        <v>475</v>
      </c>
    </row>
    <row r="334" spans="1:5" hidden="1">
      <c r="A334" s="54">
        <v>400481228</v>
      </c>
      <c r="B334" s="54">
        <v>400656720</v>
      </c>
      <c r="C334" s="54" t="s">
        <v>1776</v>
      </c>
      <c r="D334" s="54" t="s">
        <v>1781</v>
      </c>
      <c r="E334" s="54" t="s">
        <v>475</v>
      </c>
    </row>
    <row r="335" spans="1:5" hidden="1">
      <c r="A335" s="54">
        <v>400481228</v>
      </c>
      <c r="B335" s="54">
        <v>417983119</v>
      </c>
      <c r="C335" s="54" t="s">
        <v>1779</v>
      </c>
      <c r="D335" s="54" t="s">
        <v>475</v>
      </c>
      <c r="E335" s="54" t="s">
        <v>1336</v>
      </c>
    </row>
    <row r="336" spans="1:5" hidden="1">
      <c r="A336" s="54">
        <v>400481228</v>
      </c>
      <c r="B336" s="54" t="s">
        <v>1782</v>
      </c>
      <c r="C336" s="54" t="s">
        <v>1783</v>
      </c>
      <c r="D336" s="54" t="s">
        <v>1784</v>
      </c>
      <c r="E336" s="54" t="s">
        <v>475</v>
      </c>
    </row>
    <row r="337" spans="1:5" hidden="1">
      <c r="A337" s="54">
        <v>400481229</v>
      </c>
      <c r="B337" s="54">
        <v>400033864</v>
      </c>
      <c r="C337" s="54" t="s">
        <v>432</v>
      </c>
      <c r="D337" s="54" t="s">
        <v>1785</v>
      </c>
      <c r="E337" s="54" t="s">
        <v>431</v>
      </c>
    </row>
    <row r="338" spans="1:5" hidden="1">
      <c r="A338" s="54">
        <v>400481229</v>
      </c>
      <c r="B338" s="54">
        <v>400033868</v>
      </c>
      <c r="C338" s="54" t="s">
        <v>432</v>
      </c>
      <c r="D338" s="54" t="s">
        <v>1786</v>
      </c>
      <c r="E338" s="54" t="s">
        <v>431</v>
      </c>
    </row>
    <row r="339" spans="1:5" hidden="1">
      <c r="A339" s="54">
        <v>400481229</v>
      </c>
      <c r="B339" s="54">
        <v>400302916</v>
      </c>
      <c r="C339" s="54" t="s">
        <v>432</v>
      </c>
      <c r="D339" s="54" t="s">
        <v>1787</v>
      </c>
      <c r="E339" s="54" t="s">
        <v>431</v>
      </c>
    </row>
    <row r="340" spans="1:5" hidden="1">
      <c r="A340" s="54">
        <v>400481229</v>
      </c>
      <c r="B340" s="54">
        <v>400539548</v>
      </c>
      <c r="C340" s="54" t="s">
        <v>1788</v>
      </c>
      <c r="D340" s="54" t="s">
        <v>1789</v>
      </c>
      <c r="E340" s="54" t="s">
        <v>431</v>
      </c>
    </row>
    <row r="341" spans="1:5" hidden="1">
      <c r="A341" s="54">
        <v>400481229</v>
      </c>
      <c r="B341" s="54">
        <v>400603892</v>
      </c>
      <c r="C341" s="54" t="s">
        <v>432</v>
      </c>
      <c r="D341" s="54" t="s">
        <v>1790</v>
      </c>
      <c r="E341" s="54" t="s">
        <v>431</v>
      </c>
    </row>
    <row r="342" spans="1:5" hidden="1">
      <c r="A342" s="54">
        <v>400481229</v>
      </c>
      <c r="B342" s="54">
        <v>400713754</v>
      </c>
      <c r="C342" s="54" t="s">
        <v>432</v>
      </c>
      <c r="D342" s="54" t="s">
        <v>431</v>
      </c>
      <c r="E342" s="54" t="s">
        <v>1336</v>
      </c>
    </row>
    <row r="343" spans="1:5" hidden="1">
      <c r="A343" s="54">
        <v>400481229</v>
      </c>
      <c r="B343" s="54">
        <v>401060222</v>
      </c>
      <c r="C343" s="54" t="s">
        <v>1791</v>
      </c>
      <c r="D343" s="54" t="s">
        <v>1792</v>
      </c>
      <c r="E343" s="54" t="s">
        <v>431</v>
      </c>
    </row>
    <row r="344" spans="1:5" hidden="1">
      <c r="A344" s="54">
        <v>400481229</v>
      </c>
      <c r="B344" s="54">
        <v>412788093</v>
      </c>
      <c r="C344" s="54" t="s">
        <v>432</v>
      </c>
      <c r="D344" s="54" t="s">
        <v>1793</v>
      </c>
      <c r="E344" s="54" t="s">
        <v>431</v>
      </c>
    </row>
    <row r="345" spans="1:5" hidden="1">
      <c r="A345" s="54">
        <v>400481229</v>
      </c>
      <c r="B345" s="54">
        <v>414596423</v>
      </c>
      <c r="C345" s="54" t="s">
        <v>1788</v>
      </c>
      <c r="D345" s="54" t="s">
        <v>1794</v>
      </c>
      <c r="E345" s="54" t="s">
        <v>431</v>
      </c>
    </row>
    <row r="346" spans="1:5" hidden="1">
      <c r="A346" s="54">
        <v>400481229</v>
      </c>
      <c r="B346" s="54">
        <v>414612604</v>
      </c>
      <c r="C346" s="54" t="s">
        <v>1788</v>
      </c>
      <c r="D346" s="54" t="s">
        <v>1795</v>
      </c>
      <c r="E346" s="54" t="s">
        <v>431</v>
      </c>
    </row>
    <row r="347" spans="1:5" hidden="1">
      <c r="A347" s="54">
        <v>400481229</v>
      </c>
      <c r="B347" s="54">
        <v>416022312</v>
      </c>
      <c r="C347" s="54" t="s">
        <v>1788</v>
      </c>
      <c r="D347" s="54" t="s">
        <v>1796</v>
      </c>
      <c r="E347" s="54" t="s">
        <v>431</v>
      </c>
    </row>
    <row r="348" spans="1:5" hidden="1">
      <c r="A348" s="54">
        <v>400481229</v>
      </c>
      <c r="B348" s="54">
        <v>416095923</v>
      </c>
      <c r="C348" s="54" t="s">
        <v>432</v>
      </c>
      <c r="D348" s="54" t="s">
        <v>1797</v>
      </c>
      <c r="E348" s="54" t="s">
        <v>431</v>
      </c>
    </row>
    <row r="349" spans="1:5" hidden="1">
      <c r="A349" s="54">
        <v>400481229</v>
      </c>
      <c r="B349" s="54">
        <v>416295985</v>
      </c>
      <c r="C349" s="54" t="s">
        <v>1788</v>
      </c>
      <c r="D349" s="54" t="s">
        <v>1798</v>
      </c>
      <c r="E349" s="54" t="s">
        <v>431</v>
      </c>
    </row>
    <row r="350" spans="1:5" hidden="1">
      <c r="A350" s="54">
        <v>400481229</v>
      </c>
      <c r="B350" s="54">
        <v>417103910</v>
      </c>
      <c r="C350" s="54" t="s">
        <v>432</v>
      </c>
      <c r="D350" s="54" t="s">
        <v>1799</v>
      </c>
      <c r="E350" s="54" t="s">
        <v>431</v>
      </c>
    </row>
    <row r="351" spans="1:5" hidden="1">
      <c r="A351" s="54">
        <v>400481229</v>
      </c>
      <c r="B351" s="54">
        <v>417334974</v>
      </c>
      <c r="C351" s="54" t="s">
        <v>432</v>
      </c>
      <c r="D351" s="54" t="s">
        <v>1800</v>
      </c>
      <c r="E351" s="54" t="s">
        <v>431</v>
      </c>
    </row>
    <row r="352" spans="1:5" hidden="1">
      <c r="A352" s="54">
        <v>400481229</v>
      </c>
      <c r="B352" s="54">
        <v>417350120</v>
      </c>
      <c r="C352" s="54" t="s">
        <v>432</v>
      </c>
      <c r="D352" s="54" t="s">
        <v>1801</v>
      </c>
      <c r="E352" s="54" t="s">
        <v>431</v>
      </c>
    </row>
    <row r="353" spans="1:5" hidden="1">
      <c r="A353" s="54">
        <v>400481301</v>
      </c>
      <c r="B353" s="54">
        <v>400378983</v>
      </c>
      <c r="C353" s="54" t="s">
        <v>466</v>
      </c>
      <c r="D353" s="54" t="s">
        <v>1802</v>
      </c>
      <c r="E353" s="54" t="s">
        <v>482</v>
      </c>
    </row>
    <row r="354" spans="1:5" hidden="1">
      <c r="A354" s="54">
        <v>400481301</v>
      </c>
      <c r="B354" s="54">
        <v>400690718</v>
      </c>
      <c r="C354" s="54" t="s">
        <v>466</v>
      </c>
      <c r="D354" s="54" t="s">
        <v>482</v>
      </c>
      <c r="E354" s="54" t="s">
        <v>1336</v>
      </c>
    </row>
    <row r="355" spans="1:5" hidden="1">
      <c r="A355" s="54">
        <v>400481301</v>
      </c>
      <c r="B355" s="54">
        <v>401031843</v>
      </c>
      <c r="C355" s="54" t="s">
        <v>466</v>
      </c>
      <c r="D355" s="54" t="s">
        <v>1803</v>
      </c>
      <c r="E355" s="54" t="s">
        <v>482</v>
      </c>
    </row>
    <row r="356" spans="1:5" hidden="1">
      <c r="A356" s="54">
        <v>400481301</v>
      </c>
      <c r="B356" s="54">
        <v>401035803</v>
      </c>
      <c r="C356" s="54" t="s">
        <v>466</v>
      </c>
      <c r="D356" s="54" t="s">
        <v>1804</v>
      </c>
      <c r="E356" s="54" t="s">
        <v>482</v>
      </c>
    </row>
    <row r="357" spans="1:5" hidden="1">
      <c r="A357" s="54">
        <v>400481321</v>
      </c>
      <c r="B357" s="54">
        <v>400306985</v>
      </c>
      <c r="C357" s="54" t="s">
        <v>1805</v>
      </c>
      <c r="D357" s="54" t="s">
        <v>1806</v>
      </c>
      <c r="E357" s="54" t="s">
        <v>445</v>
      </c>
    </row>
    <row r="358" spans="1:5" hidden="1">
      <c r="A358" s="54">
        <v>400481321</v>
      </c>
      <c r="B358" s="54">
        <v>400375956</v>
      </c>
      <c r="C358" s="54" t="s">
        <v>1805</v>
      </c>
      <c r="D358" s="54" t="s">
        <v>1807</v>
      </c>
      <c r="E358" s="54" t="s">
        <v>445</v>
      </c>
    </row>
    <row r="359" spans="1:5" hidden="1">
      <c r="A359" s="54">
        <v>400481321</v>
      </c>
      <c r="B359" s="54">
        <v>400668884</v>
      </c>
      <c r="C359" s="54" t="s">
        <v>1808</v>
      </c>
      <c r="D359" s="54" t="s">
        <v>445</v>
      </c>
      <c r="E359" s="54" t="s">
        <v>1336</v>
      </c>
    </row>
    <row r="360" spans="1:5" hidden="1">
      <c r="A360" s="54">
        <v>400481321</v>
      </c>
      <c r="B360" s="54">
        <v>401567046</v>
      </c>
      <c r="C360" s="54" t="s">
        <v>1805</v>
      </c>
      <c r="D360" s="54" t="s">
        <v>1809</v>
      </c>
      <c r="E360" s="54" t="s">
        <v>445</v>
      </c>
    </row>
    <row r="361" spans="1:5" hidden="1">
      <c r="A361" s="54">
        <v>400481321</v>
      </c>
      <c r="B361" s="54">
        <v>417221858</v>
      </c>
      <c r="C361" s="54" t="s">
        <v>1808</v>
      </c>
      <c r="D361" s="54" t="s">
        <v>1810</v>
      </c>
      <c r="E361" s="54" t="s">
        <v>445</v>
      </c>
    </row>
    <row r="362" spans="1:5" hidden="1">
      <c r="A362" s="54">
        <v>400481358</v>
      </c>
      <c r="B362" s="54">
        <v>400465003</v>
      </c>
      <c r="C362" s="54" t="s">
        <v>1811</v>
      </c>
      <c r="D362" s="54" t="s">
        <v>1812</v>
      </c>
      <c r="E362" s="54" t="s">
        <v>459</v>
      </c>
    </row>
    <row r="363" spans="1:5" hidden="1">
      <c r="A363" s="54">
        <v>400481358</v>
      </c>
      <c r="B363" s="54">
        <v>408432233</v>
      </c>
      <c r="C363" s="54" t="s">
        <v>1813</v>
      </c>
      <c r="D363" s="54" t="s">
        <v>459</v>
      </c>
      <c r="E363" s="54" t="s">
        <v>1336</v>
      </c>
    </row>
    <row r="364" spans="1:5" hidden="1">
      <c r="A364" s="54">
        <v>400481358</v>
      </c>
      <c r="B364" s="54" t="s">
        <v>1814</v>
      </c>
      <c r="C364" s="54" t="s">
        <v>1815</v>
      </c>
      <c r="D364" s="54" t="s">
        <v>1816</v>
      </c>
      <c r="E364" s="54" t="s">
        <v>459</v>
      </c>
    </row>
    <row r="365" spans="1:5" hidden="1">
      <c r="A365" s="54">
        <v>400481466</v>
      </c>
      <c r="B365" s="54">
        <v>400468493</v>
      </c>
      <c r="C365" s="54" t="s">
        <v>444</v>
      </c>
      <c r="D365" s="54" t="s">
        <v>443</v>
      </c>
      <c r="E365" s="54" t="s">
        <v>1336</v>
      </c>
    </row>
    <row r="366" spans="1:5" hidden="1">
      <c r="A366" s="54">
        <v>400481466</v>
      </c>
      <c r="B366" s="54">
        <v>400706173</v>
      </c>
      <c r="C366" s="54" t="s">
        <v>444</v>
      </c>
      <c r="D366" s="54" t="s">
        <v>1817</v>
      </c>
      <c r="E366" s="54" t="s">
        <v>443</v>
      </c>
    </row>
    <row r="367" spans="1:5" hidden="1">
      <c r="A367" s="54">
        <v>400481466</v>
      </c>
      <c r="B367" s="54">
        <v>400717897</v>
      </c>
      <c r="C367" s="54" t="s">
        <v>444</v>
      </c>
      <c r="D367" s="54" t="s">
        <v>1818</v>
      </c>
      <c r="E367" s="54" t="s">
        <v>443</v>
      </c>
    </row>
    <row r="368" spans="1:5" hidden="1">
      <c r="A368" s="54">
        <v>400481466</v>
      </c>
      <c r="B368" s="54">
        <v>401226088</v>
      </c>
      <c r="C368" s="54" t="s">
        <v>444</v>
      </c>
      <c r="D368" s="54" t="s">
        <v>1819</v>
      </c>
      <c r="E368" s="54" t="s">
        <v>443</v>
      </c>
    </row>
    <row r="369" spans="1:5" hidden="1">
      <c r="A369" s="54">
        <v>400481466</v>
      </c>
      <c r="B369" s="54" t="s">
        <v>1820</v>
      </c>
      <c r="C369" s="54" t="s">
        <v>1821</v>
      </c>
      <c r="D369" s="54" t="s">
        <v>1822</v>
      </c>
      <c r="E369" s="54" t="s">
        <v>443</v>
      </c>
    </row>
    <row r="370" spans="1:5" hidden="1">
      <c r="A370" s="54">
        <v>400481605</v>
      </c>
      <c r="B370" s="54">
        <v>400479535</v>
      </c>
      <c r="C370" s="54" t="s">
        <v>1823</v>
      </c>
      <c r="D370" s="54" t="s">
        <v>802</v>
      </c>
      <c r="E370" s="54" t="s">
        <v>1336</v>
      </c>
    </row>
    <row r="371" spans="1:5" hidden="1">
      <c r="A371" s="54">
        <v>400481605</v>
      </c>
      <c r="B371" s="54" t="s">
        <v>1824</v>
      </c>
      <c r="C371" s="54" t="s">
        <v>1825</v>
      </c>
      <c r="D371" s="54" t="s">
        <v>1826</v>
      </c>
      <c r="E371" s="54" t="s">
        <v>802</v>
      </c>
    </row>
    <row r="372" spans="1:5" hidden="1">
      <c r="A372" s="54">
        <v>400481611</v>
      </c>
      <c r="B372" s="54">
        <v>400280614</v>
      </c>
      <c r="C372" s="54" t="s">
        <v>937</v>
      </c>
      <c r="D372" s="54" t="s">
        <v>936</v>
      </c>
      <c r="E372" s="54" t="s">
        <v>1336</v>
      </c>
    </row>
    <row r="373" spans="1:5" hidden="1">
      <c r="A373" s="54">
        <v>400481611</v>
      </c>
      <c r="B373" s="54">
        <v>413256946</v>
      </c>
      <c r="C373" s="54" t="s">
        <v>937</v>
      </c>
      <c r="D373" s="54" t="s">
        <v>1827</v>
      </c>
      <c r="E373" s="54" t="s">
        <v>936</v>
      </c>
    </row>
    <row r="374" spans="1:5" hidden="1">
      <c r="A374" s="54">
        <v>400481611</v>
      </c>
      <c r="B374" s="54" t="s">
        <v>1828</v>
      </c>
      <c r="C374" s="54" t="s">
        <v>1829</v>
      </c>
      <c r="D374" s="54" t="s">
        <v>1830</v>
      </c>
      <c r="E374" s="54" t="s">
        <v>936</v>
      </c>
    </row>
    <row r="375" spans="1:5" hidden="1">
      <c r="A375" s="54">
        <v>400481628</v>
      </c>
      <c r="B375" s="54">
        <v>400687676</v>
      </c>
      <c r="C375" s="54" t="s">
        <v>1831</v>
      </c>
      <c r="D375" s="54" t="s">
        <v>1832</v>
      </c>
      <c r="E375" s="54" t="s">
        <v>333</v>
      </c>
    </row>
    <row r="376" spans="1:5" hidden="1">
      <c r="A376" s="54">
        <v>400481628</v>
      </c>
      <c r="B376" s="54">
        <v>401039812</v>
      </c>
      <c r="C376" s="54" t="s">
        <v>1833</v>
      </c>
      <c r="D376" s="54" t="s">
        <v>333</v>
      </c>
      <c r="E376" s="54" t="s">
        <v>1336</v>
      </c>
    </row>
    <row r="377" spans="1:5" hidden="1">
      <c r="A377" s="54">
        <v>400481641</v>
      </c>
      <c r="B377" s="54">
        <v>400175303</v>
      </c>
      <c r="C377" s="54" t="s">
        <v>1834</v>
      </c>
      <c r="D377" s="54" t="s">
        <v>1835</v>
      </c>
      <c r="E377" s="54" t="s">
        <v>356</v>
      </c>
    </row>
    <row r="378" spans="1:5" hidden="1">
      <c r="A378" s="54">
        <v>400481641</v>
      </c>
      <c r="B378" s="54">
        <v>401274354</v>
      </c>
      <c r="C378" s="54" t="s">
        <v>1834</v>
      </c>
      <c r="D378" s="54" t="s">
        <v>1836</v>
      </c>
      <c r="E378" s="54" t="s">
        <v>356</v>
      </c>
    </row>
    <row r="379" spans="1:5" hidden="1">
      <c r="A379" s="54">
        <v>400481641</v>
      </c>
      <c r="B379" s="54">
        <v>401499257</v>
      </c>
      <c r="C379" s="54" t="s">
        <v>357</v>
      </c>
      <c r="D379" s="54" t="s">
        <v>356</v>
      </c>
      <c r="E379" s="54" t="s">
        <v>1336</v>
      </c>
    </row>
    <row r="380" spans="1:5" hidden="1">
      <c r="A380" s="54">
        <v>400481641</v>
      </c>
      <c r="B380" s="54" t="s">
        <v>1837</v>
      </c>
      <c r="C380" s="54" t="s">
        <v>1838</v>
      </c>
      <c r="D380" s="54" t="s">
        <v>1839</v>
      </c>
      <c r="E380" s="54" t="s">
        <v>356</v>
      </c>
    </row>
    <row r="381" spans="1:5" hidden="1">
      <c r="A381" s="54">
        <v>400508538</v>
      </c>
      <c r="B381" s="54">
        <v>400048227</v>
      </c>
      <c r="C381" s="54" t="s">
        <v>1041</v>
      </c>
      <c r="D381" s="54" t="s">
        <v>1040</v>
      </c>
      <c r="E381" s="54" t="s">
        <v>1336</v>
      </c>
    </row>
    <row r="382" spans="1:5" hidden="1">
      <c r="A382" s="54">
        <v>400508538</v>
      </c>
      <c r="B382" s="54" t="s">
        <v>1840</v>
      </c>
      <c r="C382" s="54" t="s">
        <v>1841</v>
      </c>
      <c r="D382" s="54" t="s">
        <v>1842</v>
      </c>
      <c r="E382" s="54" t="s">
        <v>1040</v>
      </c>
    </row>
    <row r="383" spans="1:5" hidden="1">
      <c r="A383" s="54">
        <v>400510819</v>
      </c>
      <c r="B383" s="54">
        <v>400175306</v>
      </c>
      <c r="C383" s="54" t="s">
        <v>1843</v>
      </c>
      <c r="D383" s="54" t="s">
        <v>1844</v>
      </c>
      <c r="E383" s="54" t="s">
        <v>364</v>
      </c>
    </row>
    <row r="384" spans="1:5" hidden="1">
      <c r="A384" s="54">
        <v>400510819</v>
      </c>
      <c r="B384" s="54">
        <v>401361571</v>
      </c>
      <c r="C384" s="54" t="s">
        <v>1845</v>
      </c>
      <c r="D384" s="54" t="s">
        <v>1846</v>
      </c>
      <c r="E384" s="54" t="s">
        <v>364</v>
      </c>
    </row>
    <row r="385" spans="1:5" hidden="1">
      <c r="A385" s="54">
        <v>400510819</v>
      </c>
      <c r="B385" s="54">
        <v>401499258</v>
      </c>
      <c r="C385" s="54" t="s">
        <v>365</v>
      </c>
      <c r="D385" s="54" t="s">
        <v>364</v>
      </c>
      <c r="E385" s="54" t="s">
        <v>1336</v>
      </c>
    </row>
    <row r="386" spans="1:5" hidden="1">
      <c r="A386" s="54">
        <v>400510819</v>
      </c>
      <c r="B386" s="54">
        <v>401533602</v>
      </c>
      <c r="C386" s="54" t="s">
        <v>1843</v>
      </c>
      <c r="D386" s="54" t="s">
        <v>1847</v>
      </c>
      <c r="E386" s="54" t="s">
        <v>364</v>
      </c>
    </row>
    <row r="387" spans="1:5" hidden="1">
      <c r="A387" s="54">
        <v>400510819</v>
      </c>
      <c r="B387" s="54" t="s">
        <v>1848</v>
      </c>
      <c r="C387" s="54" t="s">
        <v>1845</v>
      </c>
      <c r="D387" s="54" t="s">
        <v>1849</v>
      </c>
      <c r="E387" s="54" t="s">
        <v>364</v>
      </c>
    </row>
    <row r="388" spans="1:5" hidden="1">
      <c r="A388" s="54">
        <v>400510820</v>
      </c>
      <c r="B388" s="54">
        <v>400146253</v>
      </c>
      <c r="C388" s="54" t="s">
        <v>1850</v>
      </c>
      <c r="D388" s="54" t="s">
        <v>1851</v>
      </c>
      <c r="E388" s="54" t="s">
        <v>752</v>
      </c>
    </row>
    <row r="389" spans="1:5" hidden="1">
      <c r="A389" s="54">
        <v>400510820</v>
      </c>
      <c r="B389" s="54">
        <v>400386803</v>
      </c>
      <c r="C389" s="54" t="s">
        <v>753</v>
      </c>
      <c r="D389" s="54" t="s">
        <v>1852</v>
      </c>
      <c r="E389" s="54" t="s">
        <v>752</v>
      </c>
    </row>
    <row r="390" spans="1:5" hidden="1">
      <c r="A390" s="54">
        <v>400510820</v>
      </c>
      <c r="B390" s="54">
        <v>400706781</v>
      </c>
      <c r="C390" s="54" t="s">
        <v>753</v>
      </c>
      <c r="D390" s="54" t="s">
        <v>752</v>
      </c>
      <c r="E390" s="54" t="s">
        <v>1336</v>
      </c>
    </row>
    <row r="391" spans="1:5" hidden="1">
      <c r="A391" s="54">
        <v>400510820</v>
      </c>
      <c r="B391" s="54" t="s">
        <v>1853</v>
      </c>
      <c r="C391" s="54" t="s">
        <v>1854</v>
      </c>
      <c r="D391" s="54" t="s">
        <v>1855</v>
      </c>
      <c r="E391" s="54" t="s">
        <v>752</v>
      </c>
    </row>
    <row r="392" spans="1:5" hidden="1">
      <c r="A392" s="54">
        <v>400525698</v>
      </c>
      <c r="B392" s="54">
        <v>400036194</v>
      </c>
      <c r="C392" s="54" t="s">
        <v>1856</v>
      </c>
      <c r="D392" s="54" t="s">
        <v>1857</v>
      </c>
      <c r="E392" s="54" t="s">
        <v>984</v>
      </c>
    </row>
    <row r="393" spans="1:5" hidden="1">
      <c r="A393" s="54">
        <v>400525698</v>
      </c>
      <c r="B393" s="54">
        <v>400828408</v>
      </c>
      <c r="C393" s="54" t="s">
        <v>985</v>
      </c>
      <c r="D393" s="54" t="s">
        <v>984</v>
      </c>
      <c r="E393" s="54" t="s">
        <v>1336</v>
      </c>
    </row>
    <row r="394" spans="1:5" hidden="1">
      <c r="A394" s="54">
        <v>400563215</v>
      </c>
      <c r="B394" s="54">
        <v>406998081</v>
      </c>
      <c r="C394" s="54" t="s">
        <v>1858</v>
      </c>
      <c r="D394" s="54" t="s">
        <v>1859</v>
      </c>
      <c r="E394" s="54" t="s">
        <v>1336</v>
      </c>
    </row>
    <row r="395" spans="1:5" hidden="1">
      <c r="A395" s="54">
        <v>400563215</v>
      </c>
      <c r="B395" s="54" t="s">
        <v>1099</v>
      </c>
      <c r="C395" s="54" t="s">
        <v>1100</v>
      </c>
      <c r="D395" s="54" t="s">
        <v>1098</v>
      </c>
      <c r="E395" s="54" t="s">
        <v>1859</v>
      </c>
    </row>
    <row r="396" spans="1:5" hidden="1">
      <c r="A396" s="54">
        <v>400563215</v>
      </c>
      <c r="B396" s="54" t="s">
        <v>1860</v>
      </c>
      <c r="C396" s="54" t="s">
        <v>1100</v>
      </c>
      <c r="D396" s="54" t="s">
        <v>1861</v>
      </c>
      <c r="E396" s="54" t="s">
        <v>1859</v>
      </c>
    </row>
    <row r="397" spans="1:5" hidden="1">
      <c r="A397" s="54">
        <v>400563295</v>
      </c>
      <c r="B397" s="54">
        <v>400559229</v>
      </c>
      <c r="C397" s="54" t="s">
        <v>1862</v>
      </c>
      <c r="D397" s="54" t="s">
        <v>1863</v>
      </c>
      <c r="E397" s="54" t="s">
        <v>768</v>
      </c>
    </row>
    <row r="398" spans="1:5" hidden="1">
      <c r="A398" s="54">
        <v>400563295</v>
      </c>
      <c r="B398" s="54">
        <v>400559234</v>
      </c>
      <c r="C398" s="54" t="s">
        <v>1862</v>
      </c>
      <c r="D398" s="54" t="s">
        <v>1864</v>
      </c>
      <c r="E398" s="54" t="s">
        <v>768</v>
      </c>
    </row>
    <row r="399" spans="1:5" hidden="1">
      <c r="A399" s="54">
        <v>400563295</v>
      </c>
      <c r="B399" s="54">
        <v>400770204</v>
      </c>
      <c r="C399" s="54" t="s">
        <v>1862</v>
      </c>
      <c r="D399" s="54" t="s">
        <v>1865</v>
      </c>
      <c r="E399" s="54" t="s">
        <v>768</v>
      </c>
    </row>
    <row r="400" spans="1:5" hidden="1">
      <c r="A400" s="54">
        <v>400563295</v>
      </c>
      <c r="B400" s="54">
        <v>402231970</v>
      </c>
      <c r="C400" s="54" t="s">
        <v>1862</v>
      </c>
      <c r="D400" s="54" t="s">
        <v>768</v>
      </c>
      <c r="E400" s="54" t="s">
        <v>1336</v>
      </c>
    </row>
    <row r="401" spans="1:5" hidden="1">
      <c r="A401" s="54">
        <v>400575585</v>
      </c>
      <c r="B401" s="54">
        <v>400048562</v>
      </c>
      <c r="C401" s="54" t="s">
        <v>1866</v>
      </c>
      <c r="D401" s="54" t="s">
        <v>1867</v>
      </c>
      <c r="E401" s="54" t="s">
        <v>1029</v>
      </c>
    </row>
    <row r="402" spans="1:5" hidden="1">
      <c r="A402" s="54">
        <v>400575585</v>
      </c>
      <c r="B402" s="54">
        <v>400498102</v>
      </c>
      <c r="C402" s="54" t="s">
        <v>1868</v>
      </c>
      <c r="D402" s="54" t="s">
        <v>1869</v>
      </c>
      <c r="E402" s="54" t="s">
        <v>1029</v>
      </c>
    </row>
    <row r="403" spans="1:5" hidden="1">
      <c r="A403" s="54">
        <v>400575585</v>
      </c>
      <c r="B403" s="54">
        <v>400570107</v>
      </c>
      <c r="C403" s="54" t="s">
        <v>1030</v>
      </c>
      <c r="D403" s="54" t="s">
        <v>1029</v>
      </c>
      <c r="E403" s="54" t="s">
        <v>1336</v>
      </c>
    </row>
    <row r="404" spans="1:5" hidden="1">
      <c r="A404" s="54">
        <v>400601580</v>
      </c>
      <c r="B404" s="54">
        <v>400004870</v>
      </c>
      <c r="C404" s="54" t="s">
        <v>1870</v>
      </c>
      <c r="D404" s="54" t="s">
        <v>1871</v>
      </c>
      <c r="E404" s="54" t="s">
        <v>903</v>
      </c>
    </row>
    <row r="405" spans="1:5" hidden="1">
      <c r="A405" s="54">
        <v>400601580</v>
      </c>
      <c r="B405" s="54">
        <v>400601105</v>
      </c>
      <c r="C405" s="54" t="s">
        <v>904</v>
      </c>
      <c r="D405" s="54" t="s">
        <v>1872</v>
      </c>
      <c r="E405" s="54" t="s">
        <v>903</v>
      </c>
    </row>
    <row r="406" spans="1:5" hidden="1">
      <c r="A406" s="54">
        <v>400601580</v>
      </c>
      <c r="B406" s="54">
        <v>401882176</v>
      </c>
      <c r="C406" s="54" t="s">
        <v>904</v>
      </c>
      <c r="D406" s="54" t="s">
        <v>903</v>
      </c>
      <c r="E406" s="54" t="s">
        <v>1336</v>
      </c>
    </row>
    <row r="407" spans="1:5" hidden="1">
      <c r="A407" s="54">
        <v>400601580</v>
      </c>
      <c r="B407" s="54">
        <v>406775302</v>
      </c>
      <c r="C407" s="54" t="s">
        <v>904</v>
      </c>
      <c r="D407" s="54" t="s">
        <v>1873</v>
      </c>
      <c r="E407" s="54" t="s">
        <v>903</v>
      </c>
    </row>
    <row r="408" spans="1:5" hidden="1">
      <c r="A408" s="54">
        <v>400638302</v>
      </c>
      <c r="B408" s="54">
        <v>400624625</v>
      </c>
      <c r="C408" s="54" t="s">
        <v>346</v>
      </c>
      <c r="D408" s="54" t="s">
        <v>1874</v>
      </c>
      <c r="E408" s="54" t="s">
        <v>345</v>
      </c>
    </row>
    <row r="409" spans="1:5" hidden="1">
      <c r="A409" s="54">
        <v>400638302</v>
      </c>
      <c r="B409" s="54">
        <v>400637606</v>
      </c>
      <c r="C409" s="54" t="s">
        <v>346</v>
      </c>
      <c r="D409" s="54" t="s">
        <v>345</v>
      </c>
      <c r="E409" s="54" t="s">
        <v>1336</v>
      </c>
    </row>
    <row r="410" spans="1:5" hidden="1">
      <c r="A410" s="54">
        <v>400638305</v>
      </c>
      <c r="B410" s="54">
        <v>400610118</v>
      </c>
      <c r="C410" s="54" t="s">
        <v>1875</v>
      </c>
      <c r="D410" s="54" t="s">
        <v>1876</v>
      </c>
      <c r="E410" s="54" t="s">
        <v>321</v>
      </c>
    </row>
    <row r="411" spans="1:5" hidden="1">
      <c r="A411" s="54">
        <v>400638305</v>
      </c>
      <c r="B411" s="54">
        <v>400637607</v>
      </c>
      <c r="C411" s="54" t="s">
        <v>322</v>
      </c>
      <c r="D411" s="54" t="s">
        <v>321</v>
      </c>
      <c r="E411" s="54" t="s">
        <v>1336</v>
      </c>
    </row>
    <row r="412" spans="1:5" hidden="1">
      <c r="A412" s="54">
        <v>400638309</v>
      </c>
      <c r="B412" s="54">
        <v>400590933</v>
      </c>
      <c r="C412" s="54" t="s">
        <v>1877</v>
      </c>
      <c r="D412" s="54" t="s">
        <v>1878</v>
      </c>
      <c r="E412" s="54" t="s">
        <v>1186</v>
      </c>
    </row>
    <row r="413" spans="1:5" hidden="1">
      <c r="A413" s="54">
        <v>400638309</v>
      </c>
      <c r="B413" s="54">
        <v>400637608</v>
      </c>
      <c r="C413" s="54" t="s">
        <v>1879</v>
      </c>
      <c r="D413" s="54" t="s">
        <v>1186</v>
      </c>
      <c r="E413" s="54" t="s">
        <v>1336</v>
      </c>
    </row>
    <row r="414" spans="1:5" hidden="1">
      <c r="A414" s="54">
        <v>400638312</v>
      </c>
      <c r="B414" s="54">
        <v>400607940</v>
      </c>
      <c r="C414" s="54" t="s">
        <v>1880</v>
      </c>
      <c r="D414" s="54" t="s">
        <v>1881</v>
      </c>
      <c r="E414" s="54" t="s">
        <v>1188</v>
      </c>
    </row>
    <row r="415" spans="1:5" hidden="1">
      <c r="A415" s="54">
        <v>400638312</v>
      </c>
      <c r="B415" s="54">
        <v>400637609</v>
      </c>
      <c r="C415" s="54" t="s">
        <v>1880</v>
      </c>
      <c r="D415" s="54" t="s">
        <v>1882</v>
      </c>
      <c r="E415" s="54" t="s">
        <v>1188</v>
      </c>
    </row>
    <row r="416" spans="1:5" hidden="1">
      <c r="A416" s="54">
        <v>400638312</v>
      </c>
      <c r="B416" s="54">
        <v>401038470</v>
      </c>
      <c r="C416" s="54" t="s">
        <v>1880</v>
      </c>
      <c r="D416" s="54" t="s">
        <v>1883</v>
      </c>
      <c r="E416" s="54" t="s">
        <v>1188</v>
      </c>
    </row>
    <row r="417" spans="1:5" hidden="1">
      <c r="A417" s="54">
        <v>400638312</v>
      </c>
      <c r="B417" s="54">
        <v>403218030</v>
      </c>
      <c r="C417" s="54" t="s">
        <v>1189</v>
      </c>
      <c r="D417" s="54" t="s">
        <v>1188</v>
      </c>
      <c r="E417" s="54" t="s">
        <v>1336</v>
      </c>
    </row>
    <row r="418" spans="1:5" hidden="1">
      <c r="A418" s="54">
        <v>400638318</v>
      </c>
      <c r="B418" s="54">
        <v>400610116</v>
      </c>
      <c r="C418" s="54" t="s">
        <v>1884</v>
      </c>
      <c r="D418" s="54" t="s">
        <v>1885</v>
      </c>
      <c r="E418" s="54" t="s">
        <v>1196</v>
      </c>
    </row>
    <row r="419" spans="1:5" hidden="1">
      <c r="A419" s="54">
        <v>400638318</v>
      </c>
      <c r="B419" s="54">
        <v>400637612</v>
      </c>
      <c r="C419" s="54" t="s">
        <v>1197</v>
      </c>
      <c r="D419" s="54" t="s">
        <v>1196</v>
      </c>
      <c r="E419" s="54" t="s">
        <v>1336</v>
      </c>
    </row>
    <row r="420" spans="1:5" hidden="1">
      <c r="A420" s="54">
        <v>400639216</v>
      </c>
      <c r="B420" s="54">
        <v>400624636</v>
      </c>
      <c r="C420" s="54" t="s">
        <v>1886</v>
      </c>
      <c r="D420" s="54" t="s">
        <v>1887</v>
      </c>
      <c r="E420" s="54" t="s">
        <v>1254</v>
      </c>
    </row>
    <row r="421" spans="1:5" hidden="1">
      <c r="A421" s="54">
        <v>400639216</v>
      </c>
      <c r="B421" s="54">
        <v>400638927</v>
      </c>
      <c r="C421" s="54" t="s">
        <v>1255</v>
      </c>
      <c r="D421" s="54" t="s">
        <v>1254</v>
      </c>
      <c r="E421" s="54" t="s">
        <v>1336</v>
      </c>
    </row>
    <row r="422" spans="1:5" hidden="1">
      <c r="A422" s="54">
        <v>400754926</v>
      </c>
      <c r="B422" s="54">
        <v>400752821</v>
      </c>
      <c r="C422" s="54" t="s">
        <v>1888</v>
      </c>
      <c r="D422" s="54" t="s">
        <v>1287</v>
      </c>
      <c r="E422" s="54" t="s">
        <v>1336</v>
      </c>
    </row>
    <row r="423" spans="1:5" hidden="1">
      <c r="A423" s="54">
        <v>400754926</v>
      </c>
      <c r="B423" s="54" t="s">
        <v>1889</v>
      </c>
      <c r="C423" s="54" t="s">
        <v>1888</v>
      </c>
      <c r="D423" s="54" t="s">
        <v>1890</v>
      </c>
      <c r="E423" s="54" t="s">
        <v>1287</v>
      </c>
    </row>
    <row r="424" spans="1:5" hidden="1">
      <c r="A424" s="54">
        <v>400764959</v>
      </c>
      <c r="B424" s="54">
        <v>400763131</v>
      </c>
      <c r="C424" s="54" t="s">
        <v>104</v>
      </c>
      <c r="D424" s="54" t="s">
        <v>103</v>
      </c>
      <c r="E424" s="54" t="s">
        <v>1336</v>
      </c>
    </row>
    <row r="425" spans="1:5" hidden="1">
      <c r="A425" s="54">
        <v>400764959</v>
      </c>
      <c r="B425" s="54" t="s">
        <v>1891</v>
      </c>
      <c r="C425" s="54" t="s">
        <v>104</v>
      </c>
      <c r="D425" s="54" t="s">
        <v>1892</v>
      </c>
      <c r="E425" s="54" t="s">
        <v>103</v>
      </c>
    </row>
    <row r="426" spans="1:5" hidden="1">
      <c r="A426" s="54">
        <v>400811176</v>
      </c>
      <c r="B426" s="54">
        <v>400018291</v>
      </c>
      <c r="C426" s="54" t="s">
        <v>1893</v>
      </c>
      <c r="D426" s="54" t="s">
        <v>1894</v>
      </c>
      <c r="E426" s="54" t="s">
        <v>378</v>
      </c>
    </row>
    <row r="427" spans="1:5" hidden="1">
      <c r="A427" s="54">
        <v>400811176</v>
      </c>
      <c r="B427" s="54">
        <v>400808904</v>
      </c>
      <c r="C427" s="54" t="s">
        <v>1893</v>
      </c>
      <c r="D427" s="54" t="s">
        <v>1895</v>
      </c>
      <c r="E427" s="54" t="s">
        <v>378</v>
      </c>
    </row>
    <row r="428" spans="1:5" hidden="1">
      <c r="A428" s="54">
        <v>400811176</v>
      </c>
      <c r="B428" s="54">
        <v>402208918</v>
      </c>
      <c r="C428" s="54" t="s">
        <v>379</v>
      </c>
      <c r="D428" s="54" t="s">
        <v>378</v>
      </c>
      <c r="E428" s="54" t="s">
        <v>1336</v>
      </c>
    </row>
    <row r="429" spans="1:5" hidden="1">
      <c r="A429" s="54">
        <v>400856507</v>
      </c>
      <c r="B429" s="54">
        <v>400030171</v>
      </c>
      <c r="C429" s="54" t="s">
        <v>1896</v>
      </c>
      <c r="D429" s="54" t="s">
        <v>1897</v>
      </c>
      <c r="E429" s="54" t="s">
        <v>995</v>
      </c>
    </row>
    <row r="430" spans="1:5" hidden="1">
      <c r="A430" s="54">
        <v>400856507</v>
      </c>
      <c r="B430" s="54">
        <v>400567121</v>
      </c>
      <c r="C430" s="54" t="s">
        <v>996</v>
      </c>
      <c r="D430" s="54" t="s">
        <v>995</v>
      </c>
      <c r="E430" s="54" t="s">
        <v>1336</v>
      </c>
    </row>
    <row r="431" spans="1:5" hidden="1">
      <c r="A431" s="54">
        <v>400856507</v>
      </c>
      <c r="B431" s="54" t="s">
        <v>1898</v>
      </c>
      <c r="C431" s="54" t="s">
        <v>1899</v>
      </c>
      <c r="D431" s="54" t="s">
        <v>1900</v>
      </c>
      <c r="E431" s="54" t="s">
        <v>995</v>
      </c>
    </row>
    <row r="432" spans="1:5" hidden="1">
      <c r="A432" s="54">
        <v>400856511</v>
      </c>
      <c r="B432" s="54">
        <v>400068581</v>
      </c>
      <c r="C432" s="54" t="s">
        <v>929</v>
      </c>
      <c r="D432" s="54" t="s">
        <v>928</v>
      </c>
      <c r="E432" s="54" t="s">
        <v>1336</v>
      </c>
    </row>
    <row r="433" spans="1:5" hidden="1">
      <c r="A433" s="54">
        <v>400856511</v>
      </c>
      <c r="B433" s="54" t="s">
        <v>1901</v>
      </c>
      <c r="C433" s="54" t="s">
        <v>1902</v>
      </c>
      <c r="D433" s="54" t="s">
        <v>1903</v>
      </c>
      <c r="E433" s="54" t="s">
        <v>928</v>
      </c>
    </row>
    <row r="434" spans="1:5" hidden="1">
      <c r="A434" s="54">
        <v>400860238</v>
      </c>
      <c r="B434" s="54">
        <v>400231728</v>
      </c>
      <c r="C434" s="54" t="s">
        <v>1904</v>
      </c>
      <c r="D434" s="54" t="s">
        <v>1905</v>
      </c>
      <c r="E434" s="54" t="s">
        <v>709</v>
      </c>
    </row>
    <row r="435" spans="1:5" hidden="1">
      <c r="A435" s="54">
        <v>400860238</v>
      </c>
      <c r="B435" s="54">
        <v>400858520</v>
      </c>
      <c r="C435" s="54" t="s">
        <v>710</v>
      </c>
      <c r="D435" s="54" t="s">
        <v>1906</v>
      </c>
      <c r="E435" s="54" t="s">
        <v>709</v>
      </c>
    </row>
    <row r="436" spans="1:5" hidden="1">
      <c r="A436" s="54">
        <v>400860238</v>
      </c>
      <c r="B436" s="54">
        <v>411170268</v>
      </c>
      <c r="C436" s="54" t="s">
        <v>710</v>
      </c>
      <c r="D436" s="54" t="s">
        <v>1907</v>
      </c>
      <c r="E436" s="54" t="s">
        <v>709</v>
      </c>
    </row>
    <row r="437" spans="1:5" hidden="1">
      <c r="A437" s="54">
        <v>400860238</v>
      </c>
      <c r="B437" s="54">
        <v>414258422</v>
      </c>
      <c r="C437" s="54" t="s">
        <v>710</v>
      </c>
      <c r="D437" s="54" t="s">
        <v>709</v>
      </c>
      <c r="E437" s="54" t="s">
        <v>1336</v>
      </c>
    </row>
    <row r="438" spans="1:5" hidden="1">
      <c r="A438" s="54">
        <v>400860238</v>
      </c>
      <c r="B438" s="54" t="s">
        <v>1908</v>
      </c>
      <c r="C438" s="54" t="s">
        <v>1909</v>
      </c>
      <c r="D438" s="54" t="s">
        <v>1910</v>
      </c>
      <c r="E438" s="54" t="s">
        <v>709</v>
      </c>
    </row>
    <row r="439" spans="1:5" hidden="1">
      <c r="A439" s="54">
        <v>400860238</v>
      </c>
      <c r="B439" s="54" t="s">
        <v>1911</v>
      </c>
      <c r="C439" s="54" t="s">
        <v>1912</v>
      </c>
      <c r="D439" s="54" t="s">
        <v>1913</v>
      </c>
      <c r="E439" s="54" t="s">
        <v>709</v>
      </c>
    </row>
    <row r="440" spans="1:5" hidden="1">
      <c r="A440" s="54">
        <v>400930961</v>
      </c>
      <c r="B440" s="54">
        <v>400828412</v>
      </c>
      <c r="C440" s="54" t="s">
        <v>1914</v>
      </c>
      <c r="D440" s="54" t="s">
        <v>1915</v>
      </c>
      <c r="E440" s="54" t="s">
        <v>746</v>
      </c>
    </row>
    <row r="441" spans="1:5" hidden="1">
      <c r="A441" s="54">
        <v>400930961</v>
      </c>
      <c r="B441" s="54">
        <v>400923650</v>
      </c>
      <c r="C441" s="54" t="s">
        <v>1916</v>
      </c>
      <c r="D441" s="54" t="s">
        <v>1917</v>
      </c>
      <c r="E441" s="54" t="s">
        <v>746</v>
      </c>
    </row>
    <row r="442" spans="1:5" hidden="1">
      <c r="A442" s="54">
        <v>400930961</v>
      </c>
      <c r="B442" s="54">
        <v>400929924</v>
      </c>
      <c r="C442" s="54" t="s">
        <v>747</v>
      </c>
      <c r="D442" s="54" t="s">
        <v>746</v>
      </c>
      <c r="E442" s="54" t="s">
        <v>1336</v>
      </c>
    </row>
    <row r="443" spans="1:5" hidden="1">
      <c r="A443" s="54">
        <v>400992074</v>
      </c>
      <c r="B443" s="54">
        <v>400991029</v>
      </c>
      <c r="C443" s="54" t="s">
        <v>960</v>
      </c>
      <c r="D443" s="54" t="s">
        <v>959</v>
      </c>
      <c r="E443" s="54" t="s">
        <v>1336</v>
      </c>
    </row>
    <row r="444" spans="1:5" hidden="1">
      <c r="A444" s="54">
        <v>400992074</v>
      </c>
      <c r="B444" s="54" t="s">
        <v>1918</v>
      </c>
      <c r="C444" s="54" t="s">
        <v>1919</v>
      </c>
      <c r="D444" s="54" t="s">
        <v>1920</v>
      </c>
      <c r="E444" s="54" t="s">
        <v>959</v>
      </c>
    </row>
    <row r="445" spans="1:5" hidden="1">
      <c r="A445" s="54">
        <v>401014804</v>
      </c>
      <c r="B445" s="54" t="s">
        <v>1921</v>
      </c>
      <c r="C445" s="54" t="s">
        <v>312</v>
      </c>
      <c r="D445" s="54" t="s">
        <v>1922</v>
      </c>
      <c r="E445" s="54" t="s">
        <v>310</v>
      </c>
    </row>
    <row r="446" spans="1:5" hidden="1">
      <c r="A446" s="54">
        <v>401014804</v>
      </c>
      <c r="B446" s="54" t="s">
        <v>311</v>
      </c>
      <c r="C446" s="54" t="s">
        <v>312</v>
      </c>
      <c r="D446" s="54" t="s">
        <v>310</v>
      </c>
      <c r="E446" s="54" t="s">
        <v>1336</v>
      </c>
    </row>
    <row r="447" spans="1:5" hidden="1">
      <c r="A447" s="54">
        <v>401274489</v>
      </c>
      <c r="B447" s="54">
        <v>400155697</v>
      </c>
      <c r="C447" s="54" t="s">
        <v>290</v>
      </c>
      <c r="D447" s="54" t="s">
        <v>1923</v>
      </c>
      <c r="E447" s="54" t="s">
        <v>289</v>
      </c>
    </row>
    <row r="448" spans="1:5" hidden="1">
      <c r="A448" s="54">
        <v>401274489</v>
      </c>
      <c r="B448" s="54">
        <v>404312486</v>
      </c>
      <c r="C448" s="54" t="s">
        <v>290</v>
      </c>
      <c r="D448" s="54" t="s">
        <v>1924</v>
      </c>
      <c r="E448" s="54" t="s">
        <v>289</v>
      </c>
    </row>
    <row r="449" spans="1:5" hidden="1">
      <c r="A449" s="54">
        <v>401274489</v>
      </c>
      <c r="B449" s="54">
        <v>407632533</v>
      </c>
      <c r="C449" s="54" t="s">
        <v>290</v>
      </c>
      <c r="D449" s="54" t="s">
        <v>289</v>
      </c>
      <c r="E449" s="54" t="s">
        <v>1336</v>
      </c>
    </row>
    <row r="450" spans="1:5" hidden="1">
      <c r="A450" s="54">
        <v>401274489</v>
      </c>
      <c r="B450" s="54" t="s">
        <v>1925</v>
      </c>
      <c r="C450" s="54" t="s">
        <v>1926</v>
      </c>
      <c r="D450" s="54" t="s">
        <v>1927</v>
      </c>
      <c r="E450" s="54" t="s">
        <v>289</v>
      </c>
    </row>
    <row r="451" spans="1:5" hidden="1">
      <c r="A451" s="54">
        <v>401355640</v>
      </c>
      <c r="B451" s="54">
        <v>401347652</v>
      </c>
      <c r="C451" s="54" t="s">
        <v>939</v>
      </c>
      <c r="D451" s="54" t="s">
        <v>938</v>
      </c>
      <c r="E451" s="54" t="s">
        <v>1336</v>
      </c>
    </row>
    <row r="452" spans="1:5" hidden="1">
      <c r="A452" s="54">
        <v>401355640</v>
      </c>
      <c r="B452" s="54" t="s">
        <v>1928</v>
      </c>
      <c r="C452" s="54" t="s">
        <v>939</v>
      </c>
      <c r="D452" s="54" t="s">
        <v>1929</v>
      </c>
      <c r="E452" s="54" t="s">
        <v>938</v>
      </c>
    </row>
    <row r="453" spans="1:5" hidden="1">
      <c r="A453" s="54">
        <v>401355640</v>
      </c>
      <c r="B453" s="54" t="s">
        <v>1930</v>
      </c>
      <c r="C453" s="54" t="s">
        <v>939</v>
      </c>
      <c r="D453" s="54" t="s">
        <v>1931</v>
      </c>
      <c r="E453" s="54" t="s">
        <v>938</v>
      </c>
    </row>
    <row r="454" spans="1:5" hidden="1">
      <c r="A454" s="54">
        <v>401411658</v>
      </c>
      <c r="B454" s="54">
        <v>512313180</v>
      </c>
      <c r="C454" s="54" t="s">
        <v>1048</v>
      </c>
      <c r="D454" s="54" t="s">
        <v>1047</v>
      </c>
      <c r="E454" s="54" t="s">
        <v>1336</v>
      </c>
    </row>
    <row r="455" spans="1:5" hidden="1">
      <c r="A455" s="54">
        <v>401411658</v>
      </c>
      <c r="B455" s="54">
        <v>512313784</v>
      </c>
      <c r="C455" s="54" t="s">
        <v>1932</v>
      </c>
      <c r="D455" s="54" t="s">
        <v>1933</v>
      </c>
      <c r="E455" s="54" t="s">
        <v>1047</v>
      </c>
    </row>
    <row r="456" spans="1:5" hidden="1">
      <c r="A456" s="54">
        <v>401424469</v>
      </c>
      <c r="B456" s="54">
        <v>400632633</v>
      </c>
      <c r="C456" s="54" t="s">
        <v>1934</v>
      </c>
      <c r="D456" s="54" t="s">
        <v>1935</v>
      </c>
      <c r="E456" s="54" t="s">
        <v>1103</v>
      </c>
    </row>
    <row r="457" spans="1:5" hidden="1">
      <c r="A457" s="54">
        <v>401424469</v>
      </c>
      <c r="B457" s="54">
        <v>401354460</v>
      </c>
      <c r="C457" s="54" t="s">
        <v>1104</v>
      </c>
      <c r="D457" s="54" t="s">
        <v>1103</v>
      </c>
      <c r="E457" s="54" t="s">
        <v>1336</v>
      </c>
    </row>
    <row r="458" spans="1:5" hidden="1">
      <c r="A458" s="54">
        <v>401502386</v>
      </c>
      <c r="B458" s="54">
        <v>401190240</v>
      </c>
      <c r="C458" s="54" t="s">
        <v>466</v>
      </c>
      <c r="D458" s="54" t="s">
        <v>1936</v>
      </c>
      <c r="E458" s="54" t="s">
        <v>465</v>
      </c>
    </row>
    <row r="459" spans="1:5" hidden="1">
      <c r="A459" s="54">
        <v>401502386</v>
      </c>
      <c r="B459" s="54">
        <v>401504556</v>
      </c>
      <c r="C459" s="54" t="s">
        <v>466</v>
      </c>
      <c r="D459" s="54" t="s">
        <v>465</v>
      </c>
      <c r="E459" s="54" t="s">
        <v>1336</v>
      </c>
    </row>
    <row r="460" spans="1:5" hidden="1">
      <c r="A460" s="54">
        <v>401502386</v>
      </c>
      <c r="B460" s="54">
        <v>401507372</v>
      </c>
      <c r="C460" s="54" t="s">
        <v>466</v>
      </c>
      <c r="D460" s="54" t="s">
        <v>1937</v>
      </c>
      <c r="E460" s="54" t="s">
        <v>465</v>
      </c>
    </row>
    <row r="461" spans="1:5" hidden="1">
      <c r="A461" s="54">
        <v>401502386</v>
      </c>
      <c r="B461" s="54">
        <v>412788094</v>
      </c>
      <c r="C461" s="54" t="s">
        <v>466</v>
      </c>
      <c r="D461" s="54" t="s">
        <v>1938</v>
      </c>
      <c r="E461" s="54" t="s">
        <v>465</v>
      </c>
    </row>
    <row r="462" spans="1:5" hidden="1">
      <c r="A462" s="54">
        <v>401502386</v>
      </c>
      <c r="B462" s="54">
        <v>417103911</v>
      </c>
      <c r="C462" s="54" t="s">
        <v>466</v>
      </c>
      <c r="D462" s="54" t="s">
        <v>1939</v>
      </c>
      <c r="E462" s="54" t="s">
        <v>465</v>
      </c>
    </row>
    <row r="463" spans="1:5" hidden="1">
      <c r="A463" s="54">
        <v>401502386</v>
      </c>
      <c r="B463" s="54">
        <v>417350121</v>
      </c>
      <c r="C463" s="54" t="s">
        <v>466</v>
      </c>
      <c r="D463" s="54" t="s">
        <v>1940</v>
      </c>
      <c r="E463" s="54" t="s">
        <v>465</v>
      </c>
    </row>
    <row r="464" spans="1:5" hidden="1">
      <c r="A464" s="54">
        <v>401502386</v>
      </c>
      <c r="B464" s="54">
        <v>417350140</v>
      </c>
      <c r="C464" s="54" t="s">
        <v>466</v>
      </c>
      <c r="D464" s="54" t="s">
        <v>1941</v>
      </c>
      <c r="E464" s="54" t="s">
        <v>465</v>
      </c>
    </row>
    <row r="465" spans="1:5" hidden="1">
      <c r="A465" s="54">
        <v>401502387</v>
      </c>
      <c r="B465" s="54">
        <v>401494941</v>
      </c>
      <c r="C465" s="54" t="s">
        <v>1942</v>
      </c>
      <c r="D465" s="54" t="s">
        <v>1943</v>
      </c>
      <c r="E465" s="54" t="s">
        <v>84</v>
      </c>
    </row>
    <row r="466" spans="1:5" hidden="1">
      <c r="A466" s="54">
        <v>401502387</v>
      </c>
      <c r="B466" s="54">
        <v>401507373</v>
      </c>
      <c r="C466" s="54" t="s">
        <v>1942</v>
      </c>
      <c r="D466" s="54" t="s">
        <v>1944</v>
      </c>
      <c r="E466" s="54" t="s">
        <v>84</v>
      </c>
    </row>
    <row r="467" spans="1:5" hidden="1">
      <c r="A467" s="54">
        <v>401502387</v>
      </c>
      <c r="B467" s="54">
        <v>401507374</v>
      </c>
      <c r="C467" s="54" t="s">
        <v>1942</v>
      </c>
      <c r="D467" s="54" t="s">
        <v>1945</v>
      </c>
      <c r="E467" s="54" t="s">
        <v>84</v>
      </c>
    </row>
    <row r="468" spans="1:5" hidden="1">
      <c r="A468" s="54">
        <v>401502387</v>
      </c>
      <c r="B468" s="54">
        <v>401523089</v>
      </c>
      <c r="C468" s="54" t="s">
        <v>1942</v>
      </c>
      <c r="D468" s="54" t="s">
        <v>1946</v>
      </c>
      <c r="E468" s="54" t="s">
        <v>84</v>
      </c>
    </row>
    <row r="469" spans="1:5" hidden="1">
      <c r="A469" s="54">
        <v>401502387</v>
      </c>
      <c r="B469" s="54">
        <v>414202262</v>
      </c>
      <c r="C469" s="54" t="s">
        <v>1942</v>
      </c>
      <c r="D469" s="54" t="s">
        <v>84</v>
      </c>
      <c r="E469" s="54" t="s">
        <v>1336</v>
      </c>
    </row>
    <row r="470" spans="1:5" hidden="1">
      <c r="A470" s="54">
        <v>401502387</v>
      </c>
      <c r="B470" s="54">
        <v>417103920</v>
      </c>
      <c r="C470" s="54" t="s">
        <v>1942</v>
      </c>
      <c r="D470" s="54" t="s">
        <v>1947</v>
      </c>
      <c r="E470" s="54" t="s">
        <v>84</v>
      </c>
    </row>
    <row r="471" spans="1:5" hidden="1">
      <c r="A471" s="54">
        <v>401502387</v>
      </c>
      <c r="B471" s="54">
        <v>417221852</v>
      </c>
      <c r="C471" s="54" t="s">
        <v>1942</v>
      </c>
      <c r="D471" s="54" t="s">
        <v>1948</v>
      </c>
      <c r="E471" s="54" t="s">
        <v>84</v>
      </c>
    </row>
    <row r="472" spans="1:5" hidden="1">
      <c r="A472" s="54">
        <v>401502387</v>
      </c>
      <c r="B472" s="54">
        <v>417531787</v>
      </c>
      <c r="C472" s="54" t="s">
        <v>1942</v>
      </c>
      <c r="D472" s="54" t="s">
        <v>1949</v>
      </c>
      <c r="E472" s="54" t="s">
        <v>84</v>
      </c>
    </row>
    <row r="473" spans="1:5" hidden="1">
      <c r="A473" s="54">
        <v>401502394</v>
      </c>
      <c r="B473" s="54">
        <v>400274354</v>
      </c>
      <c r="C473" s="54" t="s">
        <v>577</v>
      </c>
      <c r="D473" s="54" t="s">
        <v>1950</v>
      </c>
      <c r="E473" s="54" t="s">
        <v>576</v>
      </c>
    </row>
    <row r="474" spans="1:5" hidden="1">
      <c r="A474" s="54">
        <v>401502394</v>
      </c>
      <c r="B474" s="54">
        <v>401041455</v>
      </c>
      <c r="C474" s="54" t="s">
        <v>577</v>
      </c>
      <c r="D474" s="54" t="s">
        <v>576</v>
      </c>
      <c r="E474" s="54" t="s">
        <v>1336</v>
      </c>
    </row>
    <row r="475" spans="1:5" hidden="1">
      <c r="A475" s="54">
        <v>401502394</v>
      </c>
      <c r="B475" s="54">
        <v>411170101</v>
      </c>
      <c r="C475" s="54" t="s">
        <v>577</v>
      </c>
      <c r="D475" s="54" t="s">
        <v>1951</v>
      </c>
      <c r="E475" s="54" t="s">
        <v>576</v>
      </c>
    </row>
    <row r="476" spans="1:5" hidden="1">
      <c r="A476" s="54">
        <v>401502404</v>
      </c>
      <c r="B476" s="54">
        <v>401503301</v>
      </c>
      <c r="C476" s="54" t="s">
        <v>448</v>
      </c>
      <c r="D476" s="54" t="s">
        <v>1952</v>
      </c>
      <c r="E476" s="54" t="s">
        <v>447</v>
      </c>
    </row>
    <row r="477" spans="1:5" hidden="1">
      <c r="A477" s="54">
        <v>401502404</v>
      </c>
      <c r="B477" s="54">
        <v>401511485</v>
      </c>
      <c r="C477" s="54" t="s">
        <v>448</v>
      </c>
      <c r="D477" s="54" t="s">
        <v>1953</v>
      </c>
      <c r="E477" s="54" t="s">
        <v>447</v>
      </c>
    </row>
    <row r="478" spans="1:5" hidden="1">
      <c r="A478" s="54">
        <v>401502404</v>
      </c>
      <c r="B478" s="54">
        <v>401554938</v>
      </c>
      <c r="C478" s="54" t="s">
        <v>448</v>
      </c>
      <c r="D478" s="54" t="s">
        <v>447</v>
      </c>
      <c r="E478" s="54" t="s">
        <v>1336</v>
      </c>
    </row>
    <row r="479" spans="1:5" hidden="1">
      <c r="A479" s="54">
        <v>401502404</v>
      </c>
      <c r="B479" s="54">
        <v>402004734</v>
      </c>
      <c r="C479" s="54" t="s">
        <v>448</v>
      </c>
      <c r="D479" s="54" t="s">
        <v>1954</v>
      </c>
      <c r="E479" s="54" t="s">
        <v>447</v>
      </c>
    </row>
    <row r="480" spans="1:5" hidden="1">
      <c r="A480" s="54">
        <v>401502404</v>
      </c>
      <c r="B480" s="54">
        <v>417103921</v>
      </c>
      <c r="C480" s="54" t="s">
        <v>448</v>
      </c>
      <c r="D480" s="54" t="s">
        <v>1955</v>
      </c>
      <c r="E480" s="54" t="s">
        <v>447</v>
      </c>
    </row>
    <row r="481" spans="1:5" hidden="1">
      <c r="A481" s="54">
        <v>401502404</v>
      </c>
      <c r="B481" s="54">
        <v>417350080</v>
      </c>
      <c r="C481" s="54" t="s">
        <v>448</v>
      </c>
      <c r="D481" s="54" t="s">
        <v>1956</v>
      </c>
      <c r="E481" s="54" t="s">
        <v>447</v>
      </c>
    </row>
    <row r="482" spans="1:5" hidden="1">
      <c r="A482" s="54">
        <v>401502416</v>
      </c>
      <c r="B482" s="54">
        <v>401516870</v>
      </c>
      <c r="C482" s="54" t="s">
        <v>413</v>
      </c>
      <c r="D482" s="54" t="s">
        <v>412</v>
      </c>
      <c r="E482" s="54" t="s">
        <v>1957</v>
      </c>
    </row>
    <row r="483" spans="1:5" hidden="1">
      <c r="A483" s="54">
        <v>401502416</v>
      </c>
      <c r="B483" s="54">
        <v>405592612</v>
      </c>
      <c r="C483" s="54" t="s">
        <v>413</v>
      </c>
      <c r="D483" s="54" t="s">
        <v>1957</v>
      </c>
      <c r="E483" s="54" t="s">
        <v>1336</v>
      </c>
    </row>
    <row r="484" spans="1:5" hidden="1">
      <c r="A484" s="54">
        <v>401502416</v>
      </c>
      <c r="B484" s="54">
        <v>417983109</v>
      </c>
      <c r="C484" s="54" t="s">
        <v>413</v>
      </c>
      <c r="D484" s="54" t="s">
        <v>1958</v>
      </c>
      <c r="E484" s="54" t="s">
        <v>1957</v>
      </c>
    </row>
    <row r="485" spans="1:5" hidden="1">
      <c r="A485" s="54">
        <v>401502466</v>
      </c>
      <c r="B485" s="54">
        <v>401497871</v>
      </c>
      <c r="C485" s="54" t="s">
        <v>82</v>
      </c>
      <c r="D485" s="54" t="s">
        <v>1959</v>
      </c>
      <c r="E485" s="54" t="s">
        <v>81</v>
      </c>
    </row>
    <row r="486" spans="1:5" hidden="1">
      <c r="A486" s="54">
        <v>401502466</v>
      </c>
      <c r="B486" s="54">
        <v>401544154</v>
      </c>
      <c r="C486" s="54" t="s">
        <v>82</v>
      </c>
      <c r="D486" s="54" t="s">
        <v>1960</v>
      </c>
      <c r="E486" s="54" t="s">
        <v>81</v>
      </c>
    </row>
    <row r="487" spans="1:5" hidden="1">
      <c r="A487" s="54">
        <v>401502466</v>
      </c>
      <c r="B487" s="54">
        <v>401545790</v>
      </c>
      <c r="C487" s="54" t="s">
        <v>82</v>
      </c>
      <c r="D487" s="54" t="s">
        <v>1961</v>
      </c>
      <c r="E487" s="54" t="s">
        <v>81</v>
      </c>
    </row>
    <row r="488" spans="1:5" hidden="1">
      <c r="A488" s="54">
        <v>401502466</v>
      </c>
      <c r="B488" s="54">
        <v>413658119</v>
      </c>
      <c r="C488" s="54" t="s">
        <v>82</v>
      </c>
      <c r="D488" s="54" t="s">
        <v>81</v>
      </c>
      <c r="E488" s="54" t="s">
        <v>1336</v>
      </c>
    </row>
    <row r="489" spans="1:5" hidden="1">
      <c r="A489" s="54">
        <v>401502466</v>
      </c>
      <c r="B489" s="54">
        <v>417103918</v>
      </c>
      <c r="C489" s="54" t="s">
        <v>82</v>
      </c>
      <c r="D489" s="54" t="s">
        <v>1962</v>
      </c>
      <c r="E489" s="54" t="s">
        <v>81</v>
      </c>
    </row>
    <row r="490" spans="1:5" hidden="1">
      <c r="A490" s="54">
        <v>401502466</v>
      </c>
      <c r="B490" s="54">
        <v>417350126</v>
      </c>
      <c r="C490" s="54" t="s">
        <v>82</v>
      </c>
      <c r="D490" s="54" t="s">
        <v>1963</v>
      </c>
      <c r="E490" s="54" t="s">
        <v>81</v>
      </c>
    </row>
    <row r="491" spans="1:5" hidden="1">
      <c r="A491" s="54">
        <v>401502526</v>
      </c>
      <c r="B491" s="54">
        <v>400567115</v>
      </c>
      <c r="C491" s="54" t="s">
        <v>1964</v>
      </c>
      <c r="D491" s="54" t="s">
        <v>1965</v>
      </c>
      <c r="E491" s="54" t="s">
        <v>79</v>
      </c>
    </row>
    <row r="492" spans="1:5" hidden="1">
      <c r="A492" s="54">
        <v>401502526</v>
      </c>
      <c r="B492" s="54">
        <v>405810263</v>
      </c>
      <c r="C492" s="54" t="s">
        <v>1964</v>
      </c>
      <c r="D492" s="54" t="s">
        <v>79</v>
      </c>
      <c r="E492" s="54" t="s">
        <v>1336</v>
      </c>
    </row>
    <row r="493" spans="1:5" hidden="1">
      <c r="A493" s="54">
        <v>401502549</v>
      </c>
      <c r="B493" s="54">
        <v>400027355</v>
      </c>
      <c r="C493" s="54" t="s">
        <v>464</v>
      </c>
      <c r="D493" s="54" t="s">
        <v>1966</v>
      </c>
      <c r="E493" s="54" t="s">
        <v>463</v>
      </c>
    </row>
    <row r="494" spans="1:5" hidden="1">
      <c r="A494" s="54">
        <v>401502549</v>
      </c>
      <c r="B494" s="54">
        <v>401551290</v>
      </c>
      <c r="C494" s="54" t="s">
        <v>464</v>
      </c>
      <c r="D494" s="54" t="s">
        <v>463</v>
      </c>
      <c r="E494" s="54" t="s">
        <v>1336</v>
      </c>
    </row>
    <row r="495" spans="1:5" hidden="1">
      <c r="A495" s="54">
        <v>401502549</v>
      </c>
      <c r="B495" s="54">
        <v>417103924</v>
      </c>
      <c r="C495" s="54" t="s">
        <v>464</v>
      </c>
      <c r="D495" s="54" t="s">
        <v>1967</v>
      </c>
      <c r="E495" s="54" t="s">
        <v>463</v>
      </c>
    </row>
    <row r="496" spans="1:5" hidden="1">
      <c r="A496" s="54">
        <v>401502568</v>
      </c>
      <c r="B496" s="54">
        <v>401570652</v>
      </c>
      <c r="C496" s="54" t="s">
        <v>760</v>
      </c>
      <c r="D496" s="54" t="s">
        <v>759</v>
      </c>
      <c r="E496" s="54" t="s">
        <v>1336</v>
      </c>
    </row>
    <row r="497" spans="1:5" hidden="1">
      <c r="A497" s="54">
        <v>401502568</v>
      </c>
      <c r="B497" s="54" t="s">
        <v>1968</v>
      </c>
      <c r="C497" s="54" t="s">
        <v>1969</v>
      </c>
      <c r="D497" s="54" t="s">
        <v>1970</v>
      </c>
      <c r="E497" s="54" t="s">
        <v>759</v>
      </c>
    </row>
    <row r="498" spans="1:5" hidden="1">
      <c r="A498" s="54">
        <v>401589045</v>
      </c>
      <c r="B498" s="54">
        <v>400230812</v>
      </c>
      <c r="C498" s="54" t="s">
        <v>64</v>
      </c>
      <c r="D498" s="54" t="s">
        <v>63</v>
      </c>
      <c r="E498" s="54" t="s">
        <v>1971</v>
      </c>
    </row>
    <row r="499" spans="1:5" hidden="1">
      <c r="A499" s="54">
        <v>401589045</v>
      </c>
      <c r="B499" s="54">
        <v>408920127</v>
      </c>
      <c r="C499" s="54" t="s">
        <v>64</v>
      </c>
      <c r="D499" s="54" t="s">
        <v>1971</v>
      </c>
      <c r="E499" s="54" t="s">
        <v>1336</v>
      </c>
    </row>
    <row r="500" spans="1:5" hidden="1">
      <c r="A500" s="54">
        <v>401867866</v>
      </c>
      <c r="B500" s="54">
        <v>400561401</v>
      </c>
      <c r="C500" s="54" t="s">
        <v>1231</v>
      </c>
      <c r="D500" s="54" t="s">
        <v>1972</v>
      </c>
      <c r="E500" s="54" t="s">
        <v>1230</v>
      </c>
    </row>
    <row r="501" spans="1:5" hidden="1">
      <c r="A501" s="54">
        <v>401867866</v>
      </c>
      <c r="B501" s="54">
        <v>401863222</v>
      </c>
      <c r="C501" s="54" t="s">
        <v>1231</v>
      </c>
      <c r="D501" s="54" t="s">
        <v>1230</v>
      </c>
      <c r="E501" s="54" t="s">
        <v>1336</v>
      </c>
    </row>
    <row r="502" spans="1:5" hidden="1">
      <c r="A502" s="54">
        <v>402231893</v>
      </c>
      <c r="B502" s="54" t="s">
        <v>858</v>
      </c>
      <c r="C502" s="54" t="s">
        <v>859</v>
      </c>
      <c r="D502" s="54" t="s">
        <v>857</v>
      </c>
      <c r="E502" s="54" t="s">
        <v>1336</v>
      </c>
    </row>
    <row r="503" spans="1:5" hidden="1">
      <c r="A503" s="54">
        <v>402231893</v>
      </c>
      <c r="B503" s="54" t="s">
        <v>1973</v>
      </c>
      <c r="C503" s="54" t="s">
        <v>1974</v>
      </c>
      <c r="D503" s="54" t="s">
        <v>1975</v>
      </c>
      <c r="E503" s="54" t="s">
        <v>857</v>
      </c>
    </row>
    <row r="504" spans="1:5" hidden="1">
      <c r="A504" s="54">
        <v>402251923</v>
      </c>
      <c r="B504" s="54">
        <v>401032333</v>
      </c>
      <c r="C504" s="54" t="s">
        <v>1976</v>
      </c>
      <c r="D504" s="54" t="s">
        <v>1977</v>
      </c>
      <c r="E504" s="54" t="s">
        <v>1978</v>
      </c>
    </row>
    <row r="505" spans="1:5" hidden="1">
      <c r="A505" s="54">
        <v>402251923</v>
      </c>
      <c r="B505" s="54">
        <v>402249034</v>
      </c>
      <c r="C505" s="54" t="s">
        <v>947</v>
      </c>
      <c r="D505" s="54" t="s">
        <v>1978</v>
      </c>
      <c r="E505" s="54" t="s">
        <v>1336</v>
      </c>
    </row>
    <row r="506" spans="1:5" hidden="1">
      <c r="A506" s="54">
        <v>402527757</v>
      </c>
      <c r="B506" s="54">
        <v>400178372</v>
      </c>
      <c r="C506" s="54" t="s">
        <v>1979</v>
      </c>
      <c r="D506" s="54" t="s">
        <v>1980</v>
      </c>
      <c r="E506" s="54" t="s">
        <v>1036</v>
      </c>
    </row>
    <row r="507" spans="1:5" hidden="1">
      <c r="A507" s="54">
        <v>402527757</v>
      </c>
      <c r="B507" s="54">
        <v>400332707</v>
      </c>
      <c r="C507" s="54" t="s">
        <v>1979</v>
      </c>
      <c r="D507" s="54" t="s">
        <v>1981</v>
      </c>
      <c r="E507" s="54" t="s">
        <v>1036</v>
      </c>
    </row>
    <row r="508" spans="1:5" hidden="1">
      <c r="A508" s="54">
        <v>402527757</v>
      </c>
      <c r="B508" s="54">
        <v>400570109</v>
      </c>
      <c r="C508" s="54" t="s">
        <v>1979</v>
      </c>
      <c r="D508" s="54" t="s">
        <v>1982</v>
      </c>
      <c r="E508" s="54" t="s">
        <v>1036</v>
      </c>
    </row>
    <row r="509" spans="1:5" hidden="1">
      <c r="A509" s="54">
        <v>402527757</v>
      </c>
      <c r="B509" s="54">
        <v>402509311</v>
      </c>
      <c r="C509" s="54" t="s">
        <v>1979</v>
      </c>
      <c r="D509" s="54" t="s">
        <v>1983</v>
      </c>
      <c r="E509" s="54" t="s">
        <v>1036</v>
      </c>
    </row>
    <row r="510" spans="1:5" hidden="1">
      <c r="A510" s="54">
        <v>402527757</v>
      </c>
      <c r="B510" s="54">
        <v>405072786</v>
      </c>
      <c r="C510" s="54" t="s">
        <v>1037</v>
      </c>
      <c r="D510" s="54" t="s">
        <v>1036</v>
      </c>
      <c r="E510" s="54" t="s">
        <v>1336</v>
      </c>
    </row>
    <row r="511" spans="1:5" hidden="1">
      <c r="A511" s="54">
        <v>402527757</v>
      </c>
      <c r="B511" s="54">
        <v>418661056</v>
      </c>
      <c r="C511" s="54" t="s">
        <v>1979</v>
      </c>
      <c r="D511" s="54" t="s">
        <v>1984</v>
      </c>
      <c r="E511" s="54" t="s">
        <v>1036</v>
      </c>
    </row>
    <row r="512" spans="1:5" hidden="1">
      <c r="A512" s="54">
        <v>403174859</v>
      </c>
      <c r="B512" s="54">
        <v>403515526</v>
      </c>
      <c r="C512" s="54" t="s">
        <v>432</v>
      </c>
      <c r="D512" s="54" t="s">
        <v>449</v>
      </c>
      <c r="E512" s="54" t="s">
        <v>1336</v>
      </c>
    </row>
    <row r="513" spans="1:5" hidden="1">
      <c r="A513" s="54">
        <v>403174859</v>
      </c>
      <c r="B513" s="54">
        <v>406639562</v>
      </c>
      <c r="C513" s="54" t="s">
        <v>432</v>
      </c>
      <c r="D513" s="54" t="s">
        <v>1985</v>
      </c>
      <c r="E513" s="54" t="s">
        <v>449</v>
      </c>
    </row>
    <row r="514" spans="1:5" hidden="1">
      <c r="A514" s="54">
        <v>403174917</v>
      </c>
      <c r="B514" s="54">
        <v>403773886</v>
      </c>
      <c r="C514" s="54" t="s">
        <v>1032</v>
      </c>
      <c r="D514" s="54" t="s">
        <v>1031</v>
      </c>
      <c r="E514" s="54" t="s">
        <v>1336</v>
      </c>
    </row>
    <row r="515" spans="1:5" hidden="1">
      <c r="A515" s="54">
        <v>403174917</v>
      </c>
      <c r="B515" s="54" t="s">
        <v>1986</v>
      </c>
      <c r="C515" s="54" t="s">
        <v>1987</v>
      </c>
      <c r="D515" s="54" t="s">
        <v>1988</v>
      </c>
      <c r="E515" s="54" t="s">
        <v>1031</v>
      </c>
    </row>
    <row r="516" spans="1:5" hidden="1">
      <c r="A516" s="54">
        <v>403174996</v>
      </c>
      <c r="B516" s="54">
        <v>400013186</v>
      </c>
      <c r="C516" s="54" t="s">
        <v>1253</v>
      </c>
      <c r="D516" s="54" t="s">
        <v>1252</v>
      </c>
      <c r="E516" s="54" t="s">
        <v>1336</v>
      </c>
    </row>
    <row r="517" spans="1:5" hidden="1">
      <c r="A517" s="54">
        <v>403174996</v>
      </c>
      <c r="B517" s="54">
        <v>404836659</v>
      </c>
      <c r="C517" s="54" t="s">
        <v>1989</v>
      </c>
      <c r="D517" s="54" t="s">
        <v>1990</v>
      </c>
      <c r="E517" s="54" t="s">
        <v>1252</v>
      </c>
    </row>
    <row r="518" spans="1:5" hidden="1">
      <c r="A518" s="54">
        <v>403175049</v>
      </c>
      <c r="B518" s="54">
        <v>400169928</v>
      </c>
      <c r="C518" s="54" t="s">
        <v>1991</v>
      </c>
      <c r="D518" s="54" t="s">
        <v>1992</v>
      </c>
      <c r="E518" s="54" t="s">
        <v>461</v>
      </c>
    </row>
    <row r="519" spans="1:5" hidden="1">
      <c r="A519" s="54">
        <v>403175049</v>
      </c>
      <c r="B519" s="54">
        <v>401354469</v>
      </c>
      <c r="C519" s="54" t="s">
        <v>1991</v>
      </c>
      <c r="D519" s="54" t="s">
        <v>1993</v>
      </c>
      <c r="E519" s="54" t="s">
        <v>461</v>
      </c>
    </row>
    <row r="520" spans="1:5" hidden="1">
      <c r="A520" s="54">
        <v>403175049</v>
      </c>
      <c r="B520" s="54">
        <v>402192622</v>
      </c>
      <c r="C520" s="54" t="s">
        <v>1991</v>
      </c>
      <c r="D520" s="54" t="s">
        <v>1994</v>
      </c>
      <c r="E520" s="54" t="s">
        <v>461</v>
      </c>
    </row>
    <row r="521" spans="1:5" hidden="1">
      <c r="A521" s="54">
        <v>403175049</v>
      </c>
      <c r="B521" s="54">
        <v>404482072</v>
      </c>
      <c r="C521" s="54" t="s">
        <v>1991</v>
      </c>
      <c r="D521" s="54" t="s">
        <v>1995</v>
      </c>
      <c r="E521" s="54" t="s">
        <v>461</v>
      </c>
    </row>
    <row r="522" spans="1:5" hidden="1">
      <c r="A522" s="54">
        <v>403175049</v>
      </c>
      <c r="B522" s="54">
        <v>405656805</v>
      </c>
      <c r="C522" s="54" t="s">
        <v>1991</v>
      </c>
      <c r="D522" s="54" t="s">
        <v>461</v>
      </c>
      <c r="E522" s="54" t="s">
        <v>1336</v>
      </c>
    </row>
    <row r="523" spans="1:5" hidden="1">
      <c r="A523" s="54">
        <v>403470647</v>
      </c>
      <c r="B523" s="54">
        <v>400169070</v>
      </c>
      <c r="C523" s="54" t="s">
        <v>893</v>
      </c>
      <c r="D523" s="54" t="s">
        <v>892</v>
      </c>
      <c r="E523" s="54" t="s">
        <v>1336</v>
      </c>
    </row>
    <row r="524" spans="1:5" hidden="1">
      <c r="A524" s="54">
        <v>403470647</v>
      </c>
      <c r="B524" s="54">
        <v>403468487</v>
      </c>
      <c r="C524" s="54" t="s">
        <v>1996</v>
      </c>
      <c r="D524" s="54" t="s">
        <v>1997</v>
      </c>
      <c r="E524" s="54" t="s">
        <v>892</v>
      </c>
    </row>
    <row r="525" spans="1:5" hidden="1">
      <c r="A525" s="54">
        <v>403844509</v>
      </c>
      <c r="B525" s="54">
        <v>403834703</v>
      </c>
      <c r="C525" s="54" t="s">
        <v>1998</v>
      </c>
      <c r="D525" s="54" t="s">
        <v>1999</v>
      </c>
      <c r="E525" s="54" t="s">
        <v>281</v>
      </c>
    </row>
    <row r="526" spans="1:5" hidden="1">
      <c r="A526" s="54">
        <v>403844509</v>
      </c>
      <c r="B526" s="54">
        <v>417983156</v>
      </c>
      <c r="C526" s="54" t="s">
        <v>1998</v>
      </c>
      <c r="D526" s="54" t="s">
        <v>281</v>
      </c>
      <c r="E526" s="54" t="s">
        <v>1336</v>
      </c>
    </row>
    <row r="527" spans="1:5" hidden="1">
      <c r="A527" s="54">
        <v>403844509</v>
      </c>
      <c r="B527" s="54" t="s">
        <v>2000</v>
      </c>
      <c r="C527" s="54" t="s">
        <v>1998</v>
      </c>
      <c r="D527" s="54" t="s">
        <v>2001</v>
      </c>
      <c r="E527" s="54" t="s">
        <v>281</v>
      </c>
    </row>
    <row r="528" spans="1:5" hidden="1">
      <c r="A528" s="54">
        <v>403846526</v>
      </c>
      <c r="B528" s="54">
        <v>403834698</v>
      </c>
      <c r="C528" s="54" t="s">
        <v>2002</v>
      </c>
      <c r="D528" s="54" t="s">
        <v>2003</v>
      </c>
      <c r="E528" s="54" t="s">
        <v>2004</v>
      </c>
    </row>
    <row r="529" spans="1:5" hidden="1">
      <c r="A529" s="54">
        <v>403846526</v>
      </c>
      <c r="B529" s="54">
        <v>410206308</v>
      </c>
      <c r="C529" s="54" t="s">
        <v>2002</v>
      </c>
      <c r="D529" s="54" t="s">
        <v>2004</v>
      </c>
      <c r="E529" s="54" t="s">
        <v>1336</v>
      </c>
    </row>
    <row r="530" spans="1:5" hidden="1">
      <c r="A530" s="54">
        <v>403846526</v>
      </c>
      <c r="B530" s="54">
        <v>417083260</v>
      </c>
      <c r="C530" s="54" t="s">
        <v>2002</v>
      </c>
      <c r="D530" s="54" t="s">
        <v>375</v>
      </c>
      <c r="E530" s="54" t="s">
        <v>2004</v>
      </c>
    </row>
    <row r="531" spans="1:5" hidden="1">
      <c r="A531" s="54">
        <v>403846526</v>
      </c>
      <c r="B531" s="54">
        <v>417983159</v>
      </c>
      <c r="C531" s="54" t="s">
        <v>2002</v>
      </c>
      <c r="D531" s="54" t="s">
        <v>2005</v>
      </c>
      <c r="E531" s="54" t="s">
        <v>2004</v>
      </c>
    </row>
    <row r="532" spans="1:5" hidden="1">
      <c r="A532" s="54">
        <v>403846526</v>
      </c>
      <c r="B532" s="54" t="s">
        <v>2006</v>
      </c>
      <c r="C532" s="54" t="s">
        <v>2002</v>
      </c>
      <c r="D532" s="54" t="s">
        <v>2007</v>
      </c>
      <c r="E532" s="54" t="s">
        <v>2004</v>
      </c>
    </row>
    <row r="533" spans="1:5" hidden="1">
      <c r="A533" s="54">
        <v>405133467</v>
      </c>
      <c r="B533" s="54">
        <v>400273877</v>
      </c>
      <c r="C533" s="54" t="s">
        <v>2008</v>
      </c>
      <c r="D533" s="54" t="s">
        <v>2009</v>
      </c>
      <c r="E533" s="54" t="s">
        <v>1242</v>
      </c>
    </row>
    <row r="534" spans="1:5" hidden="1">
      <c r="A534" s="54">
        <v>405133467</v>
      </c>
      <c r="B534" s="54">
        <v>421316474</v>
      </c>
      <c r="C534" s="54" t="s">
        <v>1243</v>
      </c>
      <c r="D534" s="54" t="s">
        <v>1242</v>
      </c>
      <c r="E534" s="54" t="s">
        <v>1336</v>
      </c>
    </row>
    <row r="535" spans="1:5" hidden="1">
      <c r="A535" s="54">
        <v>405820010</v>
      </c>
      <c r="B535" s="54">
        <v>400203456</v>
      </c>
      <c r="C535" s="54" t="s">
        <v>1259</v>
      </c>
      <c r="D535" s="54" t="s">
        <v>1258</v>
      </c>
      <c r="E535" s="54" t="s">
        <v>1336</v>
      </c>
    </row>
    <row r="536" spans="1:5" hidden="1">
      <c r="A536" s="54">
        <v>405820010</v>
      </c>
      <c r="B536" s="54">
        <v>405810256</v>
      </c>
      <c r="C536" s="54" t="s">
        <v>2010</v>
      </c>
      <c r="D536" s="54" t="s">
        <v>2011</v>
      </c>
      <c r="E536" s="54" t="s">
        <v>1258</v>
      </c>
    </row>
    <row r="537" spans="1:5" hidden="1">
      <c r="A537" s="54">
        <v>406426682</v>
      </c>
      <c r="B537" s="54">
        <v>406318150</v>
      </c>
      <c r="C537" s="54" t="s">
        <v>2012</v>
      </c>
      <c r="D537" s="54" t="s">
        <v>2013</v>
      </c>
      <c r="E537" s="54" t="s">
        <v>1336</v>
      </c>
    </row>
    <row r="538" spans="1:5" hidden="1">
      <c r="A538" s="54">
        <v>406426682</v>
      </c>
      <c r="B538" s="54" t="s">
        <v>1091</v>
      </c>
      <c r="C538" s="54" t="s">
        <v>1092</v>
      </c>
      <c r="D538" s="54" t="s">
        <v>1090</v>
      </c>
      <c r="E538" s="54" t="s">
        <v>2013</v>
      </c>
    </row>
    <row r="539" spans="1:5" hidden="1">
      <c r="A539" s="54">
        <v>406483066</v>
      </c>
      <c r="B539" s="54">
        <v>401214473</v>
      </c>
      <c r="C539" s="54" t="s">
        <v>2014</v>
      </c>
      <c r="D539" s="54" t="s">
        <v>2015</v>
      </c>
      <c r="E539" s="54" t="s">
        <v>1216</v>
      </c>
    </row>
    <row r="540" spans="1:5" hidden="1">
      <c r="A540" s="54">
        <v>406483066</v>
      </c>
      <c r="B540" s="54">
        <v>402098063</v>
      </c>
      <c r="C540" s="54" t="s">
        <v>2016</v>
      </c>
      <c r="D540" s="54" t="s">
        <v>2017</v>
      </c>
      <c r="E540" s="54" t="s">
        <v>1216</v>
      </c>
    </row>
    <row r="541" spans="1:5" hidden="1">
      <c r="A541" s="54">
        <v>406483066</v>
      </c>
      <c r="B541" s="54">
        <v>405584339</v>
      </c>
      <c r="C541" s="54" t="s">
        <v>1217</v>
      </c>
      <c r="D541" s="54" t="s">
        <v>1216</v>
      </c>
      <c r="E541" s="54" t="s">
        <v>1336</v>
      </c>
    </row>
    <row r="542" spans="1:5" hidden="1">
      <c r="A542" s="54">
        <v>406483066</v>
      </c>
      <c r="B542" s="54">
        <v>406473526</v>
      </c>
      <c r="C542" s="54" t="s">
        <v>2016</v>
      </c>
      <c r="D542" s="54" t="s">
        <v>2018</v>
      </c>
      <c r="E542" s="54" t="s">
        <v>1216</v>
      </c>
    </row>
    <row r="543" spans="1:5" hidden="1">
      <c r="A543" s="54">
        <v>406577980</v>
      </c>
      <c r="B543" s="54">
        <v>406576634</v>
      </c>
      <c r="C543" s="54" t="s">
        <v>971</v>
      </c>
      <c r="D543" s="54" t="s">
        <v>970</v>
      </c>
      <c r="E543" s="54" t="s">
        <v>1336</v>
      </c>
    </row>
    <row r="544" spans="1:5" hidden="1">
      <c r="A544" s="54">
        <v>406577980</v>
      </c>
      <c r="B544" s="54" t="s">
        <v>2019</v>
      </c>
      <c r="C544" s="54" t="s">
        <v>2020</v>
      </c>
      <c r="D544" s="54" t="s">
        <v>2021</v>
      </c>
      <c r="E544" s="54" t="s">
        <v>970</v>
      </c>
    </row>
    <row r="545" spans="1:5" hidden="1">
      <c r="A545" s="54">
        <v>406607275</v>
      </c>
      <c r="B545" s="54">
        <v>400557075</v>
      </c>
      <c r="C545" s="54" t="s">
        <v>1114</v>
      </c>
      <c r="D545" s="54" t="s">
        <v>1113</v>
      </c>
      <c r="E545" s="54" t="s">
        <v>1336</v>
      </c>
    </row>
    <row r="546" spans="1:5" hidden="1">
      <c r="A546" s="54">
        <v>406607275</v>
      </c>
      <c r="B546" s="54">
        <v>400619420</v>
      </c>
      <c r="C546" s="54" t="s">
        <v>1114</v>
      </c>
      <c r="D546" s="54" t="s">
        <v>2022</v>
      </c>
      <c r="E546" s="54" t="s">
        <v>1113</v>
      </c>
    </row>
    <row r="547" spans="1:5" hidden="1">
      <c r="A547" s="54">
        <v>407212731</v>
      </c>
      <c r="B547" s="54">
        <v>400013185</v>
      </c>
      <c r="C547" s="54" t="s">
        <v>1253</v>
      </c>
      <c r="D547" s="54" t="s">
        <v>2023</v>
      </c>
      <c r="E547" s="54" t="s">
        <v>221</v>
      </c>
    </row>
    <row r="548" spans="1:5" hidden="1">
      <c r="A548" s="54">
        <v>407212731</v>
      </c>
      <c r="B548" s="54">
        <v>400295683</v>
      </c>
      <c r="C548" s="54" t="s">
        <v>222</v>
      </c>
      <c r="D548" s="54" t="s">
        <v>221</v>
      </c>
      <c r="E548" s="54" t="s">
        <v>1336</v>
      </c>
    </row>
    <row r="549" spans="1:5" hidden="1">
      <c r="A549" s="54">
        <v>407346721</v>
      </c>
      <c r="B549" s="54">
        <v>405979951</v>
      </c>
      <c r="C549" s="54" t="s">
        <v>1116</v>
      </c>
      <c r="D549" s="54" t="s">
        <v>1115</v>
      </c>
      <c r="E549" s="54" t="s">
        <v>1336</v>
      </c>
    </row>
    <row r="550" spans="1:5" hidden="1">
      <c r="A550" s="54">
        <v>407346721</v>
      </c>
      <c r="B550" s="54">
        <v>412432920</v>
      </c>
      <c r="C550" s="54" t="s">
        <v>1116</v>
      </c>
      <c r="D550" s="54" t="s">
        <v>2024</v>
      </c>
      <c r="E550" s="54" t="s">
        <v>1115</v>
      </c>
    </row>
    <row r="551" spans="1:5" hidden="1">
      <c r="A551" s="54">
        <v>407372067</v>
      </c>
      <c r="B551" s="54">
        <v>400004698</v>
      </c>
      <c r="C551" s="54" t="s">
        <v>2025</v>
      </c>
      <c r="D551" s="54" t="s">
        <v>2026</v>
      </c>
      <c r="E551" s="54" t="s">
        <v>962</v>
      </c>
    </row>
    <row r="552" spans="1:5" hidden="1">
      <c r="A552" s="54">
        <v>407372067</v>
      </c>
      <c r="B552" s="54">
        <v>407338242</v>
      </c>
      <c r="C552" s="54" t="s">
        <v>963</v>
      </c>
      <c r="D552" s="54" t="s">
        <v>962</v>
      </c>
      <c r="E552" s="54" t="s">
        <v>1336</v>
      </c>
    </row>
    <row r="553" spans="1:5" hidden="1">
      <c r="A553" s="54">
        <v>407383893</v>
      </c>
      <c r="B553" s="54">
        <v>400340475</v>
      </c>
      <c r="C553" s="54" t="s">
        <v>973</v>
      </c>
      <c r="D553" s="54" t="s">
        <v>2027</v>
      </c>
      <c r="E553" s="54" t="s">
        <v>972</v>
      </c>
    </row>
    <row r="554" spans="1:5" hidden="1">
      <c r="A554" s="54">
        <v>407383893</v>
      </c>
      <c r="B554" s="54">
        <v>407374932</v>
      </c>
      <c r="C554" s="54" t="s">
        <v>973</v>
      </c>
      <c r="D554" s="54" t="s">
        <v>972</v>
      </c>
      <c r="E554" s="54" t="s">
        <v>1336</v>
      </c>
    </row>
    <row r="555" spans="1:5" hidden="1">
      <c r="A555" s="54">
        <v>409335090</v>
      </c>
      <c r="B555" s="54">
        <v>400119153</v>
      </c>
      <c r="C555" s="54" t="s">
        <v>911</v>
      </c>
      <c r="D555" s="54" t="s">
        <v>910</v>
      </c>
      <c r="E555" s="54" t="s">
        <v>2028</v>
      </c>
    </row>
    <row r="556" spans="1:5" hidden="1">
      <c r="A556" s="54">
        <v>409335090</v>
      </c>
      <c r="B556" s="54">
        <v>409334958</v>
      </c>
      <c r="C556" s="54" t="s">
        <v>911</v>
      </c>
      <c r="D556" s="54" t="s">
        <v>2028</v>
      </c>
      <c r="E556" s="54" t="s">
        <v>1336</v>
      </c>
    </row>
    <row r="557" spans="1:5" hidden="1">
      <c r="A557" s="54">
        <v>409377480</v>
      </c>
      <c r="B557" s="54">
        <v>400066515</v>
      </c>
      <c r="C557" s="54" t="s">
        <v>917</v>
      </c>
      <c r="D557" s="54" t="s">
        <v>2029</v>
      </c>
      <c r="E557" s="54" t="s">
        <v>916</v>
      </c>
    </row>
    <row r="558" spans="1:5" hidden="1">
      <c r="A558" s="54">
        <v>409377480</v>
      </c>
      <c r="B558" s="54">
        <v>400391792</v>
      </c>
      <c r="C558" s="54" t="s">
        <v>917</v>
      </c>
      <c r="D558" s="54" t="s">
        <v>916</v>
      </c>
      <c r="E558" s="54" t="s">
        <v>1336</v>
      </c>
    </row>
    <row r="559" spans="1:5" hidden="1">
      <c r="A559" s="54">
        <v>409559442</v>
      </c>
      <c r="B559" s="54">
        <v>400046452</v>
      </c>
      <c r="C559" s="54" t="s">
        <v>2030</v>
      </c>
      <c r="D559" s="54" t="s">
        <v>2031</v>
      </c>
      <c r="E559" s="54" t="s">
        <v>1236</v>
      </c>
    </row>
    <row r="560" spans="1:5" hidden="1">
      <c r="A560" s="54">
        <v>409559442</v>
      </c>
      <c r="B560" s="54">
        <v>400624662</v>
      </c>
      <c r="C560" s="54" t="s">
        <v>1237</v>
      </c>
      <c r="D560" s="54" t="s">
        <v>1236</v>
      </c>
      <c r="E560" s="54" t="s">
        <v>1336</v>
      </c>
    </row>
    <row r="561" spans="1:5" hidden="1">
      <c r="A561" s="54">
        <v>409770593</v>
      </c>
      <c r="B561" s="54">
        <v>400255202</v>
      </c>
      <c r="C561" s="54" t="s">
        <v>2032</v>
      </c>
      <c r="D561" s="54">
        <v>973061</v>
      </c>
      <c r="E561" s="54" t="s">
        <v>1169</v>
      </c>
    </row>
    <row r="562" spans="1:5" hidden="1">
      <c r="A562" s="54">
        <v>409770593</v>
      </c>
      <c r="B562" s="54">
        <v>418126610</v>
      </c>
      <c r="C562" s="54" t="s">
        <v>1170</v>
      </c>
      <c r="D562" s="54" t="s">
        <v>1169</v>
      </c>
      <c r="E562" s="54" t="s">
        <v>1336</v>
      </c>
    </row>
    <row r="563" spans="1:5" hidden="1">
      <c r="A563" s="54">
        <v>409936603</v>
      </c>
      <c r="B563" s="54">
        <v>400571854</v>
      </c>
      <c r="C563" s="54" t="s">
        <v>1028</v>
      </c>
      <c r="D563" s="54" t="s">
        <v>1027</v>
      </c>
      <c r="E563" s="54" t="s">
        <v>1336</v>
      </c>
    </row>
    <row r="564" spans="1:5" hidden="1">
      <c r="A564" s="54">
        <v>409936603</v>
      </c>
      <c r="B564" s="54">
        <v>400572568</v>
      </c>
      <c r="C564" s="54" t="s">
        <v>2033</v>
      </c>
      <c r="D564" s="54" t="s">
        <v>2034</v>
      </c>
      <c r="E564" s="54" t="s">
        <v>1027</v>
      </c>
    </row>
    <row r="565" spans="1:5" hidden="1">
      <c r="A565" s="54">
        <v>409960253</v>
      </c>
      <c r="B565" s="54">
        <v>400551730</v>
      </c>
      <c r="C565" s="54" t="s">
        <v>248</v>
      </c>
      <c r="D565" s="54" t="s">
        <v>247</v>
      </c>
      <c r="E565" s="54" t="s">
        <v>1336</v>
      </c>
    </row>
    <row r="566" spans="1:5" hidden="1">
      <c r="A566" s="54">
        <v>409960253</v>
      </c>
      <c r="B566" s="54" t="s">
        <v>2035</v>
      </c>
      <c r="C566" s="54" t="s">
        <v>2036</v>
      </c>
      <c r="D566" s="54" t="s">
        <v>2037</v>
      </c>
      <c r="E566" s="54" t="s">
        <v>247</v>
      </c>
    </row>
    <row r="567" spans="1:5" hidden="1">
      <c r="A567" s="54">
        <v>410670821</v>
      </c>
      <c r="B567" s="54">
        <v>400063106</v>
      </c>
      <c r="C567" s="54" t="s">
        <v>2038</v>
      </c>
      <c r="D567" s="54" t="s">
        <v>2039</v>
      </c>
      <c r="E567" s="54" t="s">
        <v>279</v>
      </c>
    </row>
    <row r="568" spans="1:5" hidden="1">
      <c r="A568" s="54">
        <v>410670821</v>
      </c>
      <c r="B568" s="54">
        <v>400823553</v>
      </c>
      <c r="C568" s="54" t="s">
        <v>2038</v>
      </c>
      <c r="D568" s="54" t="s">
        <v>2040</v>
      </c>
      <c r="E568" s="54" t="s">
        <v>279</v>
      </c>
    </row>
    <row r="569" spans="1:5" hidden="1">
      <c r="A569" s="54">
        <v>410670821</v>
      </c>
      <c r="B569" s="54">
        <v>404285313</v>
      </c>
      <c r="C569" s="54" t="s">
        <v>2038</v>
      </c>
      <c r="D569" s="54" t="s">
        <v>279</v>
      </c>
      <c r="E569" s="54" t="s">
        <v>1336</v>
      </c>
    </row>
    <row r="570" spans="1:5" hidden="1">
      <c r="A570" s="54">
        <v>410708083</v>
      </c>
      <c r="B570" s="54">
        <v>400001180</v>
      </c>
      <c r="C570" s="54" t="s">
        <v>2041</v>
      </c>
      <c r="D570" s="54" t="s">
        <v>2042</v>
      </c>
      <c r="E570" s="54" t="s">
        <v>2043</v>
      </c>
    </row>
    <row r="571" spans="1:5" hidden="1">
      <c r="A571" s="54">
        <v>410708083</v>
      </c>
      <c r="B571" s="54">
        <v>400041544</v>
      </c>
      <c r="C571" s="54" t="s">
        <v>2044</v>
      </c>
      <c r="D571" s="54" t="s">
        <v>2045</v>
      </c>
      <c r="E571" s="54" t="s">
        <v>2043</v>
      </c>
    </row>
    <row r="572" spans="1:5" hidden="1">
      <c r="A572" s="54">
        <v>410708083</v>
      </c>
      <c r="B572" s="54">
        <v>400823570</v>
      </c>
      <c r="C572" s="54" t="s">
        <v>122</v>
      </c>
      <c r="D572" s="54" t="s">
        <v>2046</v>
      </c>
      <c r="E572" s="54" t="s">
        <v>2043</v>
      </c>
    </row>
    <row r="573" spans="1:5" hidden="1">
      <c r="A573" s="54">
        <v>410708083</v>
      </c>
      <c r="B573" s="54">
        <v>406492379</v>
      </c>
      <c r="C573" s="54" t="s">
        <v>122</v>
      </c>
      <c r="D573" s="54" t="s">
        <v>121</v>
      </c>
      <c r="E573" s="54" t="s">
        <v>2043</v>
      </c>
    </row>
    <row r="574" spans="1:5" hidden="1">
      <c r="A574" s="54">
        <v>410708083</v>
      </c>
      <c r="B574" s="54">
        <v>411063875</v>
      </c>
      <c r="C574" s="54" t="s">
        <v>2047</v>
      </c>
      <c r="D574" s="54" t="s">
        <v>2043</v>
      </c>
      <c r="E574" s="54" t="s">
        <v>1336</v>
      </c>
    </row>
    <row r="575" spans="1:5" hidden="1">
      <c r="A575" s="54">
        <v>410708083</v>
      </c>
      <c r="B575" s="54">
        <v>424270765</v>
      </c>
      <c r="C575" s="54" t="s">
        <v>122</v>
      </c>
      <c r="D575" s="54" t="s">
        <v>2048</v>
      </c>
      <c r="E575" s="54" t="s">
        <v>2043</v>
      </c>
    </row>
    <row r="576" spans="1:5" hidden="1">
      <c r="A576" s="54">
        <v>410708083</v>
      </c>
      <c r="B576" s="54" t="s">
        <v>2049</v>
      </c>
      <c r="C576" s="54" t="s">
        <v>2050</v>
      </c>
      <c r="D576" s="54" t="s">
        <v>2051</v>
      </c>
      <c r="E576" s="54" t="s">
        <v>2043</v>
      </c>
    </row>
    <row r="577" spans="1:5" hidden="1">
      <c r="A577" s="54">
        <v>410708083</v>
      </c>
      <c r="B577" s="54" t="s">
        <v>2052</v>
      </c>
      <c r="C577" s="54" t="s">
        <v>2050</v>
      </c>
      <c r="D577" s="54" t="s">
        <v>2053</v>
      </c>
      <c r="E577" s="54" t="s">
        <v>2043</v>
      </c>
    </row>
    <row r="578" spans="1:5" hidden="1">
      <c r="A578" s="54">
        <v>410708166</v>
      </c>
      <c r="B578" s="54">
        <v>400062973</v>
      </c>
      <c r="C578" s="54" t="s">
        <v>2054</v>
      </c>
      <c r="D578" s="54" t="s">
        <v>2055</v>
      </c>
      <c r="E578" s="54" t="s">
        <v>2056</v>
      </c>
    </row>
    <row r="579" spans="1:5" hidden="1">
      <c r="A579" s="54">
        <v>410708166</v>
      </c>
      <c r="B579" s="54">
        <v>400823552</v>
      </c>
      <c r="C579" s="54" t="s">
        <v>2054</v>
      </c>
      <c r="D579" s="54" t="s">
        <v>2057</v>
      </c>
      <c r="E579" s="54" t="s">
        <v>2056</v>
      </c>
    </row>
    <row r="580" spans="1:5" hidden="1">
      <c r="A580" s="54">
        <v>410708166</v>
      </c>
      <c r="B580" s="54">
        <v>411063837</v>
      </c>
      <c r="C580" s="54" t="s">
        <v>2058</v>
      </c>
      <c r="D580" s="54" t="s">
        <v>2056</v>
      </c>
      <c r="E580" s="54" t="s">
        <v>1336</v>
      </c>
    </row>
    <row r="581" spans="1:5" hidden="1">
      <c r="A581" s="54">
        <v>410708166</v>
      </c>
      <c r="B581" s="54">
        <v>424270755</v>
      </c>
      <c r="C581" s="54" t="s">
        <v>2054</v>
      </c>
      <c r="D581" s="54" t="s">
        <v>109</v>
      </c>
      <c r="E581" s="54" t="s">
        <v>2056</v>
      </c>
    </row>
    <row r="582" spans="1:5" hidden="1">
      <c r="A582" s="54">
        <v>410717407</v>
      </c>
      <c r="B582" s="54">
        <v>400062992</v>
      </c>
      <c r="C582" s="54" t="s">
        <v>2059</v>
      </c>
      <c r="D582" s="54" t="s">
        <v>2060</v>
      </c>
      <c r="E582" s="54" t="s">
        <v>2061</v>
      </c>
    </row>
    <row r="583" spans="1:5" hidden="1">
      <c r="A583" s="54">
        <v>410717407</v>
      </c>
      <c r="B583" s="54">
        <v>400823563</v>
      </c>
      <c r="C583" s="54" t="s">
        <v>2059</v>
      </c>
      <c r="D583" s="54" t="s">
        <v>2062</v>
      </c>
      <c r="E583" s="54" t="s">
        <v>2061</v>
      </c>
    </row>
    <row r="584" spans="1:5" hidden="1">
      <c r="A584" s="54">
        <v>410717407</v>
      </c>
      <c r="B584" s="54">
        <v>411063857</v>
      </c>
      <c r="C584" s="54" t="s">
        <v>2063</v>
      </c>
      <c r="D584" s="54" t="s">
        <v>2061</v>
      </c>
      <c r="E584" s="54" t="s">
        <v>1336</v>
      </c>
    </row>
    <row r="585" spans="1:5" hidden="1">
      <c r="A585" s="54">
        <v>410717407</v>
      </c>
      <c r="B585" s="54">
        <v>424270760</v>
      </c>
      <c r="C585" s="54" t="s">
        <v>2059</v>
      </c>
      <c r="D585" s="54" t="s">
        <v>117</v>
      </c>
      <c r="E585" s="54" t="s">
        <v>2061</v>
      </c>
    </row>
    <row r="586" spans="1:5" hidden="1">
      <c r="A586" s="54">
        <v>410726726</v>
      </c>
      <c r="B586" s="54">
        <v>400063108</v>
      </c>
      <c r="C586" s="54" t="s">
        <v>2064</v>
      </c>
      <c r="D586" s="54" t="s">
        <v>2065</v>
      </c>
      <c r="E586" s="54" t="s">
        <v>277</v>
      </c>
    </row>
    <row r="587" spans="1:5" hidden="1">
      <c r="A587" s="54">
        <v>410726726</v>
      </c>
      <c r="B587" s="54">
        <v>400823551</v>
      </c>
      <c r="C587" s="54" t="s">
        <v>2064</v>
      </c>
      <c r="D587" s="54" t="s">
        <v>2066</v>
      </c>
      <c r="E587" s="54" t="s">
        <v>277</v>
      </c>
    </row>
    <row r="588" spans="1:5" hidden="1">
      <c r="A588" s="54">
        <v>410726726</v>
      </c>
      <c r="B588" s="54">
        <v>405706434</v>
      </c>
      <c r="C588" s="54" t="s">
        <v>2067</v>
      </c>
      <c r="D588" s="54" t="s">
        <v>277</v>
      </c>
      <c r="E588" s="54" t="s">
        <v>1336</v>
      </c>
    </row>
    <row r="589" spans="1:5" hidden="1">
      <c r="A589" s="54">
        <v>410773158</v>
      </c>
      <c r="B589" s="54">
        <v>400823549</v>
      </c>
      <c r="C589" s="54" t="s">
        <v>2068</v>
      </c>
      <c r="D589" s="54" t="s">
        <v>2069</v>
      </c>
      <c r="E589" s="54" t="s">
        <v>1336</v>
      </c>
    </row>
    <row r="590" spans="1:5" hidden="1">
      <c r="A590" s="54">
        <v>410773158</v>
      </c>
      <c r="B590" s="54">
        <v>405386622</v>
      </c>
      <c r="C590" s="54" t="s">
        <v>2070</v>
      </c>
      <c r="D590" s="54" t="s">
        <v>265</v>
      </c>
      <c r="E590" s="54" t="s">
        <v>2069</v>
      </c>
    </row>
    <row r="591" spans="1:5" hidden="1">
      <c r="A591" s="54">
        <v>410773158</v>
      </c>
      <c r="B591" s="54" t="s">
        <v>2071</v>
      </c>
      <c r="C591" s="54" t="s">
        <v>2068</v>
      </c>
      <c r="D591" s="54" t="s">
        <v>2072</v>
      </c>
      <c r="E591" s="54" t="s">
        <v>2069</v>
      </c>
    </row>
    <row r="592" spans="1:5" hidden="1">
      <c r="A592" s="54">
        <v>411078904</v>
      </c>
      <c r="B592" s="54">
        <v>401216522</v>
      </c>
      <c r="C592" s="54" t="s">
        <v>250</v>
      </c>
      <c r="D592" s="54" t="s">
        <v>2073</v>
      </c>
      <c r="E592" s="54" t="s">
        <v>2074</v>
      </c>
    </row>
    <row r="593" spans="1:5" hidden="1">
      <c r="A593" s="54">
        <v>411078904</v>
      </c>
      <c r="B593" s="54">
        <v>411078889</v>
      </c>
      <c r="C593" s="54" t="s">
        <v>250</v>
      </c>
      <c r="D593" s="54" t="s">
        <v>2074</v>
      </c>
      <c r="E593" s="54" t="s">
        <v>1336</v>
      </c>
    </row>
    <row r="594" spans="1:5" hidden="1">
      <c r="A594" s="54">
        <v>411123530</v>
      </c>
      <c r="B594" s="54">
        <v>400062981</v>
      </c>
      <c r="C594" s="54" t="s">
        <v>2075</v>
      </c>
      <c r="D594" s="54" t="s">
        <v>2076</v>
      </c>
      <c r="E594" s="54" t="s">
        <v>2077</v>
      </c>
    </row>
    <row r="595" spans="1:5" hidden="1">
      <c r="A595" s="54">
        <v>411123530</v>
      </c>
      <c r="B595" s="54">
        <v>400823555</v>
      </c>
      <c r="C595" s="54" t="s">
        <v>2075</v>
      </c>
      <c r="D595" s="54" t="s">
        <v>2078</v>
      </c>
      <c r="E595" s="54" t="s">
        <v>2077</v>
      </c>
    </row>
    <row r="596" spans="1:5" hidden="1">
      <c r="A596" s="54">
        <v>411123530</v>
      </c>
      <c r="B596" s="54">
        <v>411063840</v>
      </c>
      <c r="C596" s="54" t="s">
        <v>2079</v>
      </c>
      <c r="D596" s="54" t="s">
        <v>2077</v>
      </c>
      <c r="E596" s="54" t="s">
        <v>1336</v>
      </c>
    </row>
    <row r="597" spans="1:5" hidden="1">
      <c r="A597" s="54">
        <v>411123530</v>
      </c>
      <c r="B597" s="54">
        <v>424270756</v>
      </c>
      <c r="C597" s="54" t="s">
        <v>2075</v>
      </c>
      <c r="D597" s="54" t="s">
        <v>115</v>
      </c>
      <c r="E597" s="54" t="s">
        <v>2077</v>
      </c>
    </row>
    <row r="598" spans="1:5" hidden="1">
      <c r="A598" s="54">
        <v>411160889</v>
      </c>
      <c r="B598" s="54">
        <v>400675977</v>
      </c>
      <c r="C598" s="54" t="s">
        <v>2080</v>
      </c>
      <c r="D598" s="54" t="s">
        <v>2081</v>
      </c>
      <c r="E598" s="54" t="s">
        <v>1074</v>
      </c>
    </row>
    <row r="599" spans="1:5" hidden="1">
      <c r="A599" s="54">
        <v>411160889</v>
      </c>
      <c r="B599" s="54">
        <v>411142198</v>
      </c>
      <c r="C599" s="54" t="s">
        <v>2080</v>
      </c>
      <c r="D599" s="54" t="s">
        <v>2082</v>
      </c>
      <c r="E599" s="54" t="s">
        <v>1074</v>
      </c>
    </row>
    <row r="600" spans="1:5" hidden="1">
      <c r="A600" s="54">
        <v>411160889</v>
      </c>
      <c r="B600" s="54">
        <v>417531785</v>
      </c>
      <c r="C600" s="54" t="s">
        <v>2080</v>
      </c>
      <c r="D600" s="54" t="s">
        <v>1074</v>
      </c>
      <c r="E600" s="54" t="s">
        <v>1336</v>
      </c>
    </row>
    <row r="601" spans="1:5" hidden="1">
      <c r="A601" s="54">
        <v>412838734</v>
      </c>
      <c r="B601" s="54">
        <v>407322443</v>
      </c>
      <c r="C601" s="54" t="s">
        <v>415</v>
      </c>
      <c r="D601" s="54" t="s">
        <v>2083</v>
      </c>
      <c r="E601" s="54" t="s">
        <v>414</v>
      </c>
    </row>
    <row r="602" spans="1:5" hidden="1">
      <c r="A602" s="54">
        <v>412838734</v>
      </c>
      <c r="B602" s="54">
        <v>410698870</v>
      </c>
      <c r="C602" s="54" t="s">
        <v>415</v>
      </c>
      <c r="D602" s="54" t="s">
        <v>414</v>
      </c>
      <c r="E602" s="54" t="s">
        <v>1336</v>
      </c>
    </row>
    <row r="603" spans="1:5" hidden="1">
      <c r="A603" s="54">
        <v>414596412</v>
      </c>
      <c r="B603" s="54">
        <v>400606332</v>
      </c>
      <c r="C603" s="54" t="s">
        <v>374</v>
      </c>
      <c r="D603" s="54" t="s">
        <v>373</v>
      </c>
      <c r="E603" s="54" t="s">
        <v>1336</v>
      </c>
    </row>
    <row r="604" spans="1:5" hidden="1">
      <c r="A604" s="54">
        <v>414596412</v>
      </c>
      <c r="B604" s="54">
        <v>401551272</v>
      </c>
      <c r="C604" s="54" t="s">
        <v>2084</v>
      </c>
      <c r="D604" s="54" t="s">
        <v>2085</v>
      </c>
      <c r="E604" s="54" t="s">
        <v>373</v>
      </c>
    </row>
    <row r="605" spans="1:5" hidden="1">
      <c r="A605" s="54">
        <v>415509366</v>
      </c>
      <c r="B605" s="54">
        <v>401019274</v>
      </c>
      <c r="C605" s="54" t="s">
        <v>2086</v>
      </c>
      <c r="D605" s="54" t="s">
        <v>2087</v>
      </c>
      <c r="E605" s="54" t="s">
        <v>1204</v>
      </c>
    </row>
    <row r="606" spans="1:5" hidden="1">
      <c r="A606" s="54">
        <v>415509366</v>
      </c>
      <c r="B606" s="54">
        <v>401480772</v>
      </c>
      <c r="C606" s="54" t="s">
        <v>1205</v>
      </c>
      <c r="D606" s="54" t="s">
        <v>1204</v>
      </c>
      <c r="E606" s="54" t="s">
        <v>1336</v>
      </c>
    </row>
    <row r="607" spans="1:5" hidden="1">
      <c r="A607" s="54">
        <v>415712321</v>
      </c>
      <c r="B607" s="54">
        <v>400601401</v>
      </c>
      <c r="C607" s="54" t="s">
        <v>2088</v>
      </c>
      <c r="D607" s="54" t="s">
        <v>2089</v>
      </c>
      <c r="E607" s="54" t="s">
        <v>773</v>
      </c>
    </row>
    <row r="608" spans="1:5" hidden="1">
      <c r="A608" s="54">
        <v>415712321</v>
      </c>
      <c r="B608" s="54">
        <v>411760384</v>
      </c>
      <c r="C608" s="54" t="s">
        <v>774</v>
      </c>
      <c r="D608" s="54" t="s">
        <v>773</v>
      </c>
      <c r="E608" s="54" t="s">
        <v>1336</v>
      </c>
    </row>
    <row r="609" spans="1:5" hidden="1">
      <c r="A609" s="54">
        <v>415712346</v>
      </c>
      <c r="B609" s="54">
        <v>400601404</v>
      </c>
      <c r="C609" s="54" t="s">
        <v>2090</v>
      </c>
      <c r="D609" s="54" t="s">
        <v>2091</v>
      </c>
      <c r="E609" s="54" t="s">
        <v>349</v>
      </c>
    </row>
    <row r="610" spans="1:5" hidden="1">
      <c r="A610" s="54">
        <v>415712346</v>
      </c>
      <c r="B610" s="54">
        <v>404495499</v>
      </c>
      <c r="C610" s="54" t="s">
        <v>350</v>
      </c>
      <c r="D610" s="54" t="s">
        <v>349</v>
      </c>
      <c r="E610" s="54" t="s">
        <v>1336</v>
      </c>
    </row>
    <row r="611" spans="1:5">
      <c r="A611" s="54">
        <v>416023177</v>
      </c>
      <c r="B611" s="54">
        <v>401571697</v>
      </c>
      <c r="C611" s="54" t="s">
        <v>454</v>
      </c>
      <c r="D611" s="54" t="s">
        <v>453</v>
      </c>
      <c r="E611" s="54" t="s">
        <v>1336</v>
      </c>
    </row>
    <row r="612" spans="1:5">
      <c r="A612" s="54">
        <v>416023177</v>
      </c>
      <c r="B612" s="54">
        <v>410883492</v>
      </c>
      <c r="C612" s="54" t="s">
        <v>454</v>
      </c>
      <c r="D612" s="54" t="s">
        <v>2092</v>
      </c>
      <c r="E612" s="54" t="s">
        <v>453</v>
      </c>
    </row>
    <row r="613" spans="1:5">
      <c r="A613" s="54">
        <v>416023177</v>
      </c>
      <c r="B613" s="54">
        <v>415883577</v>
      </c>
      <c r="C613" s="54" t="s">
        <v>454</v>
      </c>
      <c r="D613" s="54" t="s">
        <v>2093</v>
      </c>
      <c r="E613" s="54" t="s">
        <v>453</v>
      </c>
    </row>
    <row r="614" spans="1:5" hidden="1">
      <c r="A614" s="54">
        <v>416081264</v>
      </c>
      <c r="B614" s="54">
        <v>400596419</v>
      </c>
      <c r="C614" s="54" t="s">
        <v>1239</v>
      </c>
      <c r="D614" s="54" t="s">
        <v>1238</v>
      </c>
      <c r="E614" s="54" t="s">
        <v>1336</v>
      </c>
    </row>
    <row r="615" spans="1:5" hidden="1">
      <c r="A615" s="54">
        <v>416081264</v>
      </c>
      <c r="B615" s="54">
        <v>400596422</v>
      </c>
      <c r="C615" s="54" t="s">
        <v>2094</v>
      </c>
      <c r="D615" s="54" t="s">
        <v>2095</v>
      </c>
      <c r="E615" s="54" t="s">
        <v>1238</v>
      </c>
    </row>
    <row r="616" spans="1:5" hidden="1">
      <c r="A616" s="54">
        <v>416331763</v>
      </c>
      <c r="B616" s="54">
        <v>416253566</v>
      </c>
      <c r="C616" s="54" t="s">
        <v>108</v>
      </c>
      <c r="D616" s="54" t="s">
        <v>107</v>
      </c>
      <c r="E616" s="54" t="s">
        <v>1336</v>
      </c>
    </row>
    <row r="617" spans="1:5" hidden="1">
      <c r="A617" s="54">
        <v>416331763</v>
      </c>
      <c r="B617" s="54" t="s">
        <v>2096</v>
      </c>
      <c r="C617" s="54" t="s">
        <v>108</v>
      </c>
      <c r="D617" s="54" t="s">
        <v>2097</v>
      </c>
      <c r="E617" s="54" t="s">
        <v>107</v>
      </c>
    </row>
    <row r="618" spans="1:5" hidden="1">
      <c r="A618" s="54">
        <v>416331763</v>
      </c>
      <c r="B618" s="54" t="s">
        <v>2098</v>
      </c>
      <c r="C618" s="54" t="s">
        <v>108</v>
      </c>
      <c r="D618" s="54" t="s">
        <v>2099</v>
      </c>
      <c r="E618" s="54" t="s">
        <v>107</v>
      </c>
    </row>
    <row r="619" spans="1:5" hidden="1">
      <c r="A619" s="54">
        <v>417162093</v>
      </c>
      <c r="B619" s="54">
        <v>417103899</v>
      </c>
      <c r="C619" s="54" t="s">
        <v>2100</v>
      </c>
      <c r="D619" s="54" t="s">
        <v>39</v>
      </c>
      <c r="E619" s="54" t="s">
        <v>1336</v>
      </c>
    </row>
    <row r="620" spans="1:5" hidden="1">
      <c r="A620" s="54">
        <v>417162093</v>
      </c>
      <c r="B620" s="54">
        <v>417350113</v>
      </c>
      <c r="C620" s="54" t="s">
        <v>2100</v>
      </c>
      <c r="D620" s="54" t="s">
        <v>2101</v>
      </c>
      <c r="E620" s="54" t="s">
        <v>39</v>
      </c>
    </row>
    <row r="621" spans="1:5" hidden="1">
      <c r="A621" s="54">
        <v>417162093</v>
      </c>
      <c r="B621" s="54">
        <v>417350132</v>
      </c>
      <c r="C621" s="54" t="s">
        <v>2100</v>
      </c>
      <c r="D621" s="54" t="s">
        <v>2102</v>
      </c>
      <c r="E621" s="54" t="s">
        <v>39</v>
      </c>
    </row>
    <row r="622" spans="1:5" hidden="1">
      <c r="A622" s="54">
        <v>417162093</v>
      </c>
      <c r="B622" s="54" t="s">
        <v>2103</v>
      </c>
      <c r="C622" s="54" t="s">
        <v>2100</v>
      </c>
      <c r="D622" s="54" t="s">
        <v>2104</v>
      </c>
      <c r="E622" s="54" t="s">
        <v>39</v>
      </c>
    </row>
    <row r="623" spans="1:5" hidden="1">
      <c r="A623" s="54">
        <v>420349909</v>
      </c>
      <c r="B623" s="54">
        <v>400604233</v>
      </c>
      <c r="C623" s="54" t="s">
        <v>979</v>
      </c>
      <c r="D623" s="54" t="s">
        <v>2105</v>
      </c>
      <c r="E623" s="54" t="s">
        <v>978</v>
      </c>
    </row>
    <row r="624" spans="1:5" hidden="1">
      <c r="A624" s="54">
        <v>420349909</v>
      </c>
      <c r="B624" s="54">
        <v>419271576</v>
      </c>
      <c r="C624" s="54" t="s">
        <v>979</v>
      </c>
      <c r="D624" s="54" t="s">
        <v>978</v>
      </c>
      <c r="E624" s="54" t="s">
        <v>1336</v>
      </c>
    </row>
    <row r="625" spans="1:5" hidden="1">
      <c r="A625" s="54">
        <v>421403401</v>
      </c>
      <c r="B625" s="54">
        <v>401349548</v>
      </c>
      <c r="C625" s="54" t="s">
        <v>332</v>
      </c>
      <c r="D625" s="54" t="s">
        <v>331</v>
      </c>
      <c r="E625" s="54" t="s">
        <v>1336</v>
      </c>
    </row>
    <row r="626" spans="1:5" hidden="1">
      <c r="A626" s="54">
        <v>421403401</v>
      </c>
      <c r="B626" s="54">
        <v>402415464</v>
      </c>
      <c r="C626" s="54" t="s">
        <v>332</v>
      </c>
      <c r="D626" s="54" t="s">
        <v>2106</v>
      </c>
      <c r="E626" s="54" t="s">
        <v>331</v>
      </c>
    </row>
    <row r="627" spans="1:5" hidden="1">
      <c r="A627" s="54">
        <v>421403401</v>
      </c>
      <c r="B627" s="54">
        <v>421375264</v>
      </c>
      <c r="C627" s="54" t="s">
        <v>2107</v>
      </c>
      <c r="D627" s="54" t="s">
        <v>2108</v>
      </c>
      <c r="E627" s="54" t="s">
        <v>331</v>
      </c>
    </row>
    <row r="628" spans="1:5" hidden="1">
      <c r="A628" s="54">
        <v>423854998</v>
      </c>
      <c r="B628" s="54">
        <v>406576635</v>
      </c>
      <c r="C628" s="54" t="s">
        <v>968</v>
      </c>
      <c r="D628" s="54" t="s">
        <v>2109</v>
      </c>
      <c r="E628" s="54" t="s">
        <v>966</v>
      </c>
    </row>
    <row r="629" spans="1:5" hidden="1">
      <c r="A629" s="54">
        <v>423854998</v>
      </c>
      <c r="B629" s="54" t="s">
        <v>967</v>
      </c>
      <c r="C629" s="54" t="s">
        <v>968</v>
      </c>
      <c r="D629" s="54" t="s">
        <v>966</v>
      </c>
      <c r="E629" s="54" t="s">
        <v>1336</v>
      </c>
    </row>
    <row r="630" spans="1:5" hidden="1">
      <c r="A630" s="54">
        <v>423854998</v>
      </c>
      <c r="B630" s="54" t="s">
        <v>2110</v>
      </c>
      <c r="C630" s="54" t="s">
        <v>2111</v>
      </c>
      <c r="D630" s="54" t="s">
        <v>2112</v>
      </c>
      <c r="E630" s="54" t="s">
        <v>966</v>
      </c>
    </row>
    <row r="631" spans="1:5" hidden="1">
      <c r="A631" s="54" t="s">
        <v>1026</v>
      </c>
      <c r="B631" s="54">
        <v>401244497</v>
      </c>
      <c r="C631" s="54" t="s">
        <v>2113</v>
      </c>
      <c r="D631" s="54" t="s">
        <v>2114</v>
      </c>
      <c r="E631" s="54" t="s">
        <v>1024</v>
      </c>
    </row>
    <row r="632" spans="1:5" hidden="1">
      <c r="A632" s="54" t="s">
        <v>1026</v>
      </c>
      <c r="B632" s="54">
        <v>401480774</v>
      </c>
      <c r="C632" s="54" t="s">
        <v>1025</v>
      </c>
      <c r="D632" s="54" t="s">
        <v>1024</v>
      </c>
      <c r="E632" s="54" t="s">
        <v>1336</v>
      </c>
    </row>
    <row r="633" spans="1:5" hidden="1">
      <c r="A633" s="54" t="s">
        <v>1018</v>
      </c>
      <c r="B633" s="54">
        <v>402877982</v>
      </c>
      <c r="C633" s="54" t="s">
        <v>2115</v>
      </c>
      <c r="D633" s="54" t="s">
        <v>2116</v>
      </c>
      <c r="E633" s="54" t="s">
        <v>1015</v>
      </c>
    </row>
    <row r="634" spans="1:5" hidden="1">
      <c r="A634" s="54" t="s">
        <v>1018</v>
      </c>
      <c r="B634" s="54" t="s">
        <v>2117</v>
      </c>
      <c r="C634" s="54" t="s">
        <v>2118</v>
      </c>
      <c r="D634" s="54" t="s">
        <v>2119</v>
      </c>
      <c r="E634" s="54" t="s">
        <v>1015</v>
      </c>
    </row>
    <row r="635" spans="1:5" hidden="1">
      <c r="A635" s="54" t="s">
        <v>1018</v>
      </c>
      <c r="B635" s="54" t="s">
        <v>1016</v>
      </c>
      <c r="C635" s="54" t="s">
        <v>1017</v>
      </c>
      <c r="D635" s="54" t="s">
        <v>1015</v>
      </c>
      <c r="E635" s="54" t="s">
        <v>1336</v>
      </c>
    </row>
    <row r="636" spans="1:5" hidden="1">
      <c r="A636" s="54" t="s">
        <v>672</v>
      </c>
      <c r="B636" s="54">
        <v>400265727</v>
      </c>
      <c r="C636" s="54" t="s">
        <v>2120</v>
      </c>
      <c r="D636" s="54" t="s">
        <v>2121</v>
      </c>
      <c r="E636" s="54" t="s">
        <v>670</v>
      </c>
    </row>
    <row r="637" spans="1:5" hidden="1">
      <c r="A637" s="54" t="s">
        <v>672</v>
      </c>
      <c r="B637" s="54">
        <v>401352394</v>
      </c>
      <c r="C637" s="54" t="s">
        <v>2120</v>
      </c>
      <c r="D637" s="54" t="s">
        <v>670</v>
      </c>
      <c r="E637" s="54" t="s">
        <v>1336</v>
      </c>
    </row>
    <row r="638" spans="1:5" hidden="1">
      <c r="A638" s="54" t="s">
        <v>672</v>
      </c>
      <c r="B638" s="54">
        <v>411170279</v>
      </c>
      <c r="C638" s="54" t="s">
        <v>2120</v>
      </c>
      <c r="D638" s="54" t="s">
        <v>2122</v>
      </c>
      <c r="E638" s="54" t="s">
        <v>670</v>
      </c>
    </row>
    <row r="639" spans="1:5" hidden="1">
      <c r="A639" s="54" t="s">
        <v>672</v>
      </c>
      <c r="B639" s="54" t="s">
        <v>2123</v>
      </c>
      <c r="C639" s="54" t="s">
        <v>2124</v>
      </c>
      <c r="D639" s="54" t="s">
        <v>2125</v>
      </c>
      <c r="E639" s="54" t="s">
        <v>670</v>
      </c>
    </row>
    <row r="640" spans="1:5" hidden="1">
      <c r="A640" s="54" t="s">
        <v>672</v>
      </c>
      <c r="B640" s="54" t="s">
        <v>2126</v>
      </c>
      <c r="C640" s="54" t="s">
        <v>2124</v>
      </c>
      <c r="D640" s="54" t="s">
        <v>2127</v>
      </c>
      <c r="E640" s="54" t="s">
        <v>670</v>
      </c>
    </row>
    <row r="641" spans="1:5" hidden="1">
      <c r="A641" s="54" t="s">
        <v>655</v>
      </c>
      <c r="B641" s="54">
        <v>400264050</v>
      </c>
      <c r="C641" s="54" t="s">
        <v>654</v>
      </c>
      <c r="D641" s="54" t="s">
        <v>2128</v>
      </c>
      <c r="E641" s="54" t="s">
        <v>653</v>
      </c>
    </row>
    <row r="642" spans="1:5" hidden="1">
      <c r="A642" s="54" t="s">
        <v>655</v>
      </c>
      <c r="B642" s="54">
        <v>400700883</v>
      </c>
      <c r="C642" s="54" t="s">
        <v>654</v>
      </c>
      <c r="D642" s="54" t="s">
        <v>653</v>
      </c>
      <c r="E642" s="54" t="s">
        <v>1336</v>
      </c>
    </row>
    <row r="643" spans="1:5" hidden="1">
      <c r="A643" s="54" t="s">
        <v>655</v>
      </c>
      <c r="B643" s="54">
        <v>411170165</v>
      </c>
      <c r="C643" s="54" t="s">
        <v>654</v>
      </c>
      <c r="D643" s="54" t="s">
        <v>2129</v>
      </c>
      <c r="E643" s="54" t="s">
        <v>653</v>
      </c>
    </row>
    <row r="644" spans="1:5" hidden="1">
      <c r="A644" s="54" t="s">
        <v>655</v>
      </c>
      <c r="B644" s="54" t="s">
        <v>2130</v>
      </c>
      <c r="C644" s="54" t="s">
        <v>2131</v>
      </c>
      <c r="D644" s="54" t="s">
        <v>2132</v>
      </c>
      <c r="E644" s="54" t="s">
        <v>653</v>
      </c>
    </row>
    <row r="645" spans="1:5" hidden="1">
      <c r="A645" s="54" t="s">
        <v>655</v>
      </c>
      <c r="B645" s="54" t="s">
        <v>2133</v>
      </c>
      <c r="C645" s="54" t="s">
        <v>2131</v>
      </c>
      <c r="D645" s="54" t="s">
        <v>2134</v>
      </c>
      <c r="E645" s="54" t="s">
        <v>653</v>
      </c>
    </row>
    <row r="646" spans="1:5" hidden="1">
      <c r="A646" s="54" t="s">
        <v>690</v>
      </c>
      <c r="B646" s="54">
        <v>400249990</v>
      </c>
      <c r="C646" s="54" t="s">
        <v>2135</v>
      </c>
      <c r="D646" s="54" t="s">
        <v>2136</v>
      </c>
      <c r="E646" s="54" t="s">
        <v>688</v>
      </c>
    </row>
    <row r="647" spans="1:5" hidden="1">
      <c r="A647" s="54" t="s">
        <v>690</v>
      </c>
      <c r="B647" s="54">
        <v>401053473</v>
      </c>
      <c r="C647" s="54" t="s">
        <v>689</v>
      </c>
      <c r="D647" s="54" t="s">
        <v>688</v>
      </c>
      <c r="E647" s="54" t="s">
        <v>1336</v>
      </c>
    </row>
    <row r="648" spans="1:5" hidden="1">
      <c r="A648" s="54" t="s">
        <v>690</v>
      </c>
      <c r="B648" s="54">
        <v>411160650</v>
      </c>
      <c r="C648" s="54" t="s">
        <v>689</v>
      </c>
      <c r="D648" s="54" t="s">
        <v>2137</v>
      </c>
      <c r="E648" s="54" t="s">
        <v>688</v>
      </c>
    </row>
    <row r="649" spans="1:5" hidden="1">
      <c r="A649" s="54" t="s">
        <v>690</v>
      </c>
      <c r="B649" s="54" t="s">
        <v>2138</v>
      </c>
      <c r="C649" s="54" t="s">
        <v>2139</v>
      </c>
      <c r="D649" s="54" t="s">
        <v>2140</v>
      </c>
      <c r="E649" s="54" t="s">
        <v>688</v>
      </c>
    </row>
    <row r="650" spans="1:5" hidden="1">
      <c r="A650" s="54" t="s">
        <v>690</v>
      </c>
      <c r="B650" s="54" t="s">
        <v>2141</v>
      </c>
      <c r="C650" s="54" t="s">
        <v>2142</v>
      </c>
      <c r="D650" s="54" t="s">
        <v>2143</v>
      </c>
      <c r="E650" s="54" t="s">
        <v>688</v>
      </c>
    </row>
    <row r="651" spans="1:5" hidden="1">
      <c r="A651" s="54" t="s">
        <v>690</v>
      </c>
      <c r="B651" s="54" t="s">
        <v>2144</v>
      </c>
      <c r="C651" s="54" t="s">
        <v>2139</v>
      </c>
      <c r="D651" s="54" t="s">
        <v>2145</v>
      </c>
      <c r="E651" s="54" t="s">
        <v>688</v>
      </c>
    </row>
    <row r="652" spans="1:5" hidden="1">
      <c r="A652" s="54" t="s">
        <v>610</v>
      </c>
      <c r="B652" s="54">
        <v>400264019</v>
      </c>
      <c r="C652" s="54" t="s">
        <v>609</v>
      </c>
      <c r="D652" s="54" t="s">
        <v>2146</v>
      </c>
      <c r="E652" s="54" t="s">
        <v>608</v>
      </c>
    </row>
    <row r="653" spans="1:5" hidden="1">
      <c r="A653" s="54" t="s">
        <v>610</v>
      </c>
      <c r="B653" s="54">
        <v>401053474</v>
      </c>
      <c r="C653" s="54" t="s">
        <v>609</v>
      </c>
      <c r="D653" s="54" t="s">
        <v>608</v>
      </c>
      <c r="E653" s="54" t="s">
        <v>1336</v>
      </c>
    </row>
    <row r="654" spans="1:5" hidden="1">
      <c r="A654" s="54" t="s">
        <v>610</v>
      </c>
      <c r="B654" s="54">
        <v>401467134</v>
      </c>
      <c r="C654" s="54" t="s">
        <v>2147</v>
      </c>
      <c r="D654" s="54" t="s">
        <v>2148</v>
      </c>
      <c r="E654" s="54" t="s">
        <v>608</v>
      </c>
    </row>
    <row r="655" spans="1:5" hidden="1">
      <c r="A655" s="54" t="s">
        <v>610</v>
      </c>
      <c r="B655" s="54" t="s">
        <v>2149</v>
      </c>
      <c r="C655" s="54" t="s">
        <v>2150</v>
      </c>
      <c r="D655" s="54" t="s">
        <v>2151</v>
      </c>
      <c r="E655" s="54" t="s">
        <v>608</v>
      </c>
    </row>
    <row r="656" spans="1:5" hidden="1">
      <c r="A656" s="54" t="s">
        <v>610</v>
      </c>
      <c r="B656" s="54" t="s">
        <v>2152</v>
      </c>
      <c r="C656" s="54" t="s">
        <v>2153</v>
      </c>
      <c r="D656" s="54" t="s">
        <v>2154</v>
      </c>
      <c r="E656" s="54" t="s">
        <v>608</v>
      </c>
    </row>
    <row r="657" spans="1:5" hidden="1">
      <c r="A657" s="54" t="s">
        <v>610</v>
      </c>
      <c r="B657" s="54" t="s">
        <v>2155</v>
      </c>
      <c r="C657" s="54" t="s">
        <v>2156</v>
      </c>
      <c r="D657" s="54" t="s">
        <v>2157</v>
      </c>
      <c r="E657" s="54" t="s">
        <v>608</v>
      </c>
    </row>
    <row r="658" spans="1:5" hidden="1">
      <c r="A658" s="54" t="s">
        <v>610</v>
      </c>
      <c r="B658" s="54" t="s">
        <v>2158</v>
      </c>
      <c r="C658" s="54" t="s">
        <v>2156</v>
      </c>
      <c r="D658" s="54" t="s">
        <v>2159</v>
      </c>
      <c r="E658" s="54" t="s">
        <v>608</v>
      </c>
    </row>
    <row r="659" spans="1:5" hidden="1">
      <c r="A659" s="54" t="s">
        <v>610</v>
      </c>
      <c r="B659" s="54" t="s">
        <v>2160</v>
      </c>
      <c r="C659" s="54" t="s">
        <v>2161</v>
      </c>
      <c r="D659" s="54" t="s">
        <v>2162</v>
      </c>
      <c r="E659" s="54" t="s">
        <v>608</v>
      </c>
    </row>
    <row r="660" spans="1:5" hidden="1">
      <c r="A660" s="54" t="s">
        <v>652</v>
      </c>
      <c r="B660" s="54">
        <v>400249797</v>
      </c>
      <c r="C660" s="54" t="s">
        <v>651</v>
      </c>
      <c r="D660" s="54" t="s">
        <v>2163</v>
      </c>
      <c r="E660" s="54" t="s">
        <v>650</v>
      </c>
    </row>
    <row r="661" spans="1:5" hidden="1">
      <c r="A661" s="54" t="s">
        <v>652</v>
      </c>
      <c r="B661" s="54">
        <v>401235096</v>
      </c>
      <c r="C661" s="54" t="s">
        <v>651</v>
      </c>
      <c r="D661" s="54" t="s">
        <v>650</v>
      </c>
      <c r="E661" s="54" t="s">
        <v>1336</v>
      </c>
    </row>
    <row r="662" spans="1:5" hidden="1">
      <c r="A662" s="54" t="s">
        <v>652</v>
      </c>
      <c r="B662" s="54">
        <v>411170160</v>
      </c>
      <c r="C662" s="54" t="s">
        <v>651</v>
      </c>
      <c r="D662" s="54" t="s">
        <v>2164</v>
      </c>
      <c r="E662" s="54" t="s">
        <v>650</v>
      </c>
    </row>
    <row r="663" spans="1:5" hidden="1">
      <c r="A663" s="54" t="s">
        <v>652</v>
      </c>
      <c r="B663" s="54" t="s">
        <v>2165</v>
      </c>
      <c r="C663" s="54" t="s">
        <v>2166</v>
      </c>
      <c r="D663" s="54" t="s">
        <v>2167</v>
      </c>
      <c r="E663" s="54" t="s">
        <v>650</v>
      </c>
    </row>
    <row r="664" spans="1:5" hidden="1">
      <c r="A664" s="54" t="s">
        <v>652</v>
      </c>
      <c r="B664" s="54" t="s">
        <v>2168</v>
      </c>
      <c r="C664" s="54" t="s">
        <v>2169</v>
      </c>
      <c r="D664" s="54" t="s">
        <v>2170</v>
      </c>
      <c r="E664" s="54" t="s">
        <v>650</v>
      </c>
    </row>
    <row r="665" spans="1:5" hidden="1">
      <c r="A665" s="54" t="s">
        <v>652</v>
      </c>
      <c r="B665" s="54" t="s">
        <v>2171</v>
      </c>
      <c r="C665" s="54" t="s">
        <v>2166</v>
      </c>
      <c r="D665" s="54" t="s">
        <v>2172</v>
      </c>
      <c r="E665" s="54" t="s">
        <v>650</v>
      </c>
    </row>
    <row r="666" spans="1:5" hidden="1">
      <c r="A666" s="54" t="s">
        <v>652</v>
      </c>
      <c r="B666" s="54" t="s">
        <v>2173</v>
      </c>
      <c r="C666" s="54" t="s">
        <v>2166</v>
      </c>
      <c r="D666" s="54" t="s">
        <v>2174</v>
      </c>
      <c r="E666" s="54" t="s">
        <v>650</v>
      </c>
    </row>
    <row r="667" spans="1:5" hidden="1">
      <c r="A667" s="54" t="s">
        <v>652</v>
      </c>
      <c r="B667" s="54" t="s">
        <v>2175</v>
      </c>
      <c r="C667" s="54" t="s">
        <v>2176</v>
      </c>
      <c r="D667" s="54" t="s">
        <v>2177</v>
      </c>
      <c r="E667" s="54" t="s">
        <v>650</v>
      </c>
    </row>
    <row r="668" spans="1:5" hidden="1">
      <c r="A668" s="54" t="s">
        <v>669</v>
      </c>
      <c r="B668" s="54">
        <v>400292509</v>
      </c>
      <c r="C668" s="54" t="s">
        <v>668</v>
      </c>
      <c r="D668" s="54" t="s">
        <v>2178</v>
      </c>
      <c r="E668" s="54" t="s">
        <v>667</v>
      </c>
    </row>
    <row r="669" spans="1:5" hidden="1">
      <c r="A669" s="54" t="s">
        <v>669</v>
      </c>
      <c r="B669" s="54">
        <v>401519147</v>
      </c>
      <c r="C669" s="54" t="s">
        <v>668</v>
      </c>
      <c r="D669" s="54" t="s">
        <v>667</v>
      </c>
      <c r="E669" s="54" t="s">
        <v>1336</v>
      </c>
    </row>
    <row r="670" spans="1:5" hidden="1">
      <c r="A670" s="54" t="s">
        <v>669</v>
      </c>
      <c r="B670" s="54">
        <v>411170275</v>
      </c>
      <c r="C670" s="54" t="s">
        <v>668</v>
      </c>
      <c r="D670" s="54" t="s">
        <v>2179</v>
      </c>
      <c r="E670" s="54" t="s">
        <v>667</v>
      </c>
    </row>
    <row r="671" spans="1:5" hidden="1">
      <c r="A671" s="54" t="s">
        <v>669</v>
      </c>
      <c r="B671" s="54" t="s">
        <v>2180</v>
      </c>
      <c r="C671" s="54" t="s">
        <v>2181</v>
      </c>
      <c r="D671" s="54" t="s">
        <v>2182</v>
      </c>
      <c r="E671" s="54" t="s">
        <v>667</v>
      </c>
    </row>
    <row r="672" spans="1:5" hidden="1">
      <c r="A672" s="54" t="s">
        <v>669</v>
      </c>
      <c r="B672" s="54" t="s">
        <v>2183</v>
      </c>
      <c r="C672" s="54" t="s">
        <v>2181</v>
      </c>
      <c r="D672" s="54" t="s">
        <v>2184</v>
      </c>
      <c r="E672" s="54" t="s">
        <v>667</v>
      </c>
    </row>
    <row r="673" spans="1:5" hidden="1">
      <c r="A673" s="54" t="s">
        <v>699</v>
      </c>
      <c r="B673" s="54">
        <v>400265701</v>
      </c>
      <c r="C673" s="54" t="s">
        <v>2185</v>
      </c>
      <c r="D673" s="54" t="s">
        <v>2186</v>
      </c>
      <c r="E673" s="54" t="s">
        <v>697</v>
      </c>
    </row>
    <row r="674" spans="1:5" hidden="1">
      <c r="A674" s="54" t="s">
        <v>699</v>
      </c>
      <c r="B674" s="54">
        <v>404166877</v>
      </c>
      <c r="C674" s="54" t="s">
        <v>2185</v>
      </c>
      <c r="D674" s="54" t="s">
        <v>697</v>
      </c>
      <c r="E674" s="54" t="s">
        <v>1336</v>
      </c>
    </row>
    <row r="675" spans="1:5" hidden="1">
      <c r="A675" s="54" t="s">
        <v>699</v>
      </c>
      <c r="B675" s="54" t="s">
        <v>2187</v>
      </c>
      <c r="C675" s="54" t="s">
        <v>2188</v>
      </c>
      <c r="D675" s="54" t="s">
        <v>2189</v>
      </c>
      <c r="E675" s="54" t="s">
        <v>697</v>
      </c>
    </row>
    <row r="676" spans="1:5" hidden="1">
      <c r="A676" s="54" t="s">
        <v>522</v>
      </c>
      <c r="B676" s="54">
        <v>400386902</v>
      </c>
      <c r="C676" s="54" t="s">
        <v>521</v>
      </c>
      <c r="D676" s="54" t="s">
        <v>2190</v>
      </c>
      <c r="E676" s="54" t="s">
        <v>520</v>
      </c>
    </row>
    <row r="677" spans="1:5" hidden="1">
      <c r="A677" s="54" t="s">
        <v>522</v>
      </c>
      <c r="B677" s="54">
        <v>411160655</v>
      </c>
      <c r="C677" s="54" t="s">
        <v>521</v>
      </c>
      <c r="D677" s="54" t="s">
        <v>520</v>
      </c>
      <c r="E677" s="54" t="s">
        <v>1336</v>
      </c>
    </row>
    <row r="678" spans="1:5" hidden="1">
      <c r="A678" s="54" t="s">
        <v>522</v>
      </c>
      <c r="B678" s="54">
        <v>414258416</v>
      </c>
      <c r="C678" s="54" t="s">
        <v>521</v>
      </c>
      <c r="D678" s="54" t="s">
        <v>2191</v>
      </c>
      <c r="E678" s="54" t="s">
        <v>520</v>
      </c>
    </row>
    <row r="679" spans="1:5" hidden="1">
      <c r="A679" s="54" t="s">
        <v>522</v>
      </c>
      <c r="B679" s="54" t="s">
        <v>2192</v>
      </c>
      <c r="C679" s="54" t="s">
        <v>2193</v>
      </c>
      <c r="D679" s="54" t="s">
        <v>2194</v>
      </c>
      <c r="E679" s="54" t="s">
        <v>520</v>
      </c>
    </row>
    <row r="680" spans="1:5" hidden="1">
      <c r="A680" s="54" t="s">
        <v>522</v>
      </c>
      <c r="B680" s="54" t="s">
        <v>2195</v>
      </c>
      <c r="C680" s="54" t="s">
        <v>2193</v>
      </c>
      <c r="D680" s="54" t="s">
        <v>2196</v>
      </c>
      <c r="E680" s="54" t="s">
        <v>520</v>
      </c>
    </row>
    <row r="681" spans="1:5" hidden="1">
      <c r="A681" s="54" t="s">
        <v>687</v>
      </c>
      <c r="B681" s="54">
        <v>400265775</v>
      </c>
      <c r="C681" s="54" t="s">
        <v>686</v>
      </c>
      <c r="D681" s="54" t="s">
        <v>2197</v>
      </c>
      <c r="E681" s="54" t="s">
        <v>685</v>
      </c>
    </row>
    <row r="682" spans="1:5" hidden="1">
      <c r="A682" s="54" t="s">
        <v>687</v>
      </c>
      <c r="B682" s="54">
        <v>402118346</v>
      </c>
      <c r="C682" s="54" t="s">
        <v>686</v>
      </c>
      <c r="D682" s="54" t="s">
        <v>685</v>
      </c>
      <c r="E682" s="54" t="s">
        <v>1336</v>
      </c>
    </row>
    <row r="683" spans="1:5" hidden="1">
      <c r="A683" s="54" t="s">
        <v>687</v>
      </c>
      <c r="B683" s="54">
        <v>411160645</v>
      </c>
      <c r="C683" s="54" t="s">
        <v>686</v>
      </c>
      <c r="D683" s="54" t="s">
        <v>2198</v>
      </c>
      <c r="E683" s="54" t="s">
        <v>685</v>
      </c>
    </row>
    <row r="684" spans="1:5" hidden="1">
      <c r="A684" s="54" t="s">
        <v>687</v>
      </c>
      <c r="B684" s="54" t="s">
        <v>2199</v>
      </c>
      <c r="C684" s="54" t="s">
        <v>2200</v>
      </c>
      <c r="D684" s="54" t="s">
        <v>2201</v>
      </c>
      <c r="E684" s="54" t="s">
        <v>685</v>
      </c>
    </row>
    <row r="685" spans="1:5" hidden="1">
      <c r="A685" s="54" t="s">
        <v>687</v>
      </c>
      <c r="B685" s="54" t="s">
        <v>2202</v>
      </c>
      <c r="C685" s="54" t="s">
        <v>2200</v>
      </c>
      <c r="D685" s="54" t="s">
        <v>2203</v>
      </c>
      <c r="E685" s="54" t="s">
        <v>685</v>
      </c>
    </row>
    <row r="686" spans="1:5" hidden="1">
      <c r="A686" s="54" t="s">
        <v>687</v>
      </c>
      <c r="B686" s="54" t="s">
        <v>2204</v>
      </c>
      <c r="C686" s="54" t="s">
        <v>2205</v>
      </c>
      <c r="D686" s="54" t="s">
        <v>2206</v>
      </c>
      <c r="E686" s="54" t="s">
        <v>685</v>
      </c>
    </row>
    <row r="687" spans="1:5" hidden="1">
      <c r="A687" s="54" t="s">
        <v>649</v>
      </c>
      <c r="B687" s="54">
        <v>400272205</v>
      </c>
      <c r="C687" s="54" t="s">
        <v>2207</v>
      </c>
      <c r="D687" s="54" t="s">
        <v>2208</v>
      </c>
      <c r="E687" s="54" t="s">
        <v>647</v>
      </c>
    </row>
    <row r="688" spans="1:5" hidden="1">
      <c r="A688" s="54" t="s">
        <v>649</v>
      </c>
      <c r="B688" s="54">
        <v>401236806</v>
      </c>
      <c r="C688" s="54" t="s">
        <v>2207</v>
      </c>
      <c r="D688" s="54" t="s">
        <v>647</v>
      </c>
      <c r="E688" s="54" t="s">
        <v>1336</v>
      </c>
    </row>
    <row r="689" spans="1:5" hidden="1">
      <c r="A689" s="54" t="s">
        <v>649</v>
      </c>
      <c r="B689" s="54">
        <v>411170230</v>
      </c>
      <c r="C689" s="54" t="s">
        <v>2207</v>
      </c>
      <c r="D689" s="54" t="s">
        <v>2209</v>
      </c>
      <c r="E689" s="54" t="s">
        <v>647</v>
      </c>
    </row>
    <row r="690" spans="1:5" hidden="1">
      <c r="A690" s="54" t="s">
        <v>649</v>
      </c>
      <c r="B690" s="54" t="s">
        <v>2210</v>
      </c>
      <c r="C690" s="54" t="s">
        <v>2211</v>
      </c>
      <c r="D690" s="54" t="s">
        <v>2212</v>
      </c>
      <c r="E690" s="54" t="s">
        <v>647</v>
      </c>
    </row>
    <row r="691" spans="1:5" hidden="1">
      <c r="A691" s="54" t="s">
        <v>728</v>
      </c>
      <c r="B691" s="54">
        <v>400265733</v>
      </c>
      <c r="C691" s="54" t="s">
        <v>727</v>
      </c>
      <c r="D691" s="54" t="s">
        <v>2213</v>
      </c>
      <c r="E691" s="54" t="s">
        <v>726</v>
      </c>
    </row>
    <row r="692" spans="1:5" hidden="1">
      <c r="A692" s="54" t="s">
        <v>728</v>
      </c>
      <c r="B692" s="54">
        <v>400693204</v>
      </c>
      <c r="C692" s="54" t="s">
        <v>727</v>
      </c>
      <c r="D692" s="54" t="s">
        <v>726</v>
      </c>
      <c r="E692" s="54" t="s">
        <v>1336</v>
      </c>
    </row>
    <row r="693" spans="1:5" hidden="1">
      <c r="A693" s="54" t="s">
        <v>728</v>
      </c>
      <c r="B693" s="54">
        <v>411170284</v>
      </c>
      <c r="C693" s="54" t="s">
        <v>727</v>
      </c>
      <c r="D693" s="54" t="s">
        <v>2214</v>
      </c>
      <c r="E693" s="54" t="s">
        <v>726</v>
      </c>
    </row>
    <row r="694" spans="1:5" hidden="1">
      <c r="A694" s="54" t="s">
        <v>728</v>
      </c>
      <c r="B694" s="54" t="s">
        <v>2215</v>
      </c>
      <c r="C694" s="54" t="s">
        <v>2216</v>
      </c>
      <c r="D694" s="54" t="s">
        <v>2217</v>
      </c>
      <c r="E694" s="54" t="s">
        <v>726</v>
      </c>
    </row>
    <row r="695" spans="1:5" hidden="1">
      <c r="A695" s="54" t="s">
        <v>728</v>
      </c>
      <c r="B695" s="54" t="s">
        <v>2218</v>
      </c>
      <c r="C695" s="54" t="s">
        <v>2216</v>
      </c>
      <c r="D695" s="54" t="s">
        <v>2219</v>
      </c>
      <c r="E695" s="54" t="s">
        <v>726</v>
      </c>
    </row>
    <row r="696" spans="1:5" hidden="1">
      <c r="A696" s="54" t="s">
        <v>728</v>
      </c>
      <c r="B696" s="54" t="s">
        <v>2220</v>
      </c>
      <c r="C696" s="54" t="s">
        <v>2221</v>
      </c>
      <c r="D696" s="54" t="s">
        <v>2222</v>
      </c>
      <c r="E696" s="54" t="s">
        <v>726</v>
      </c>
    </row>
    <row r="697" spans="1:5" hidden="1">
      <c r="A697" s="54" t="s">
        <v>646</v>
      </c>
      <c r="B697" s="54">
        <v>400265670</v>
      </c>
      <c r="C697" s="54" t="s">
        <v>2223</v>
      </c>
      <c r="D697" s="54" t="s">
        <v>2224</v>
      </c>
      <c r="E697" s="54" t="s">
        <v>644</v>
      </c>
    </row>
    <row r="698" spans="1:5" hidden="1">
      <c r="A698" s="54" t="s">
        <v>646</v>
      </c>
      <c r="B698" s="54">
        <v>401470548</v>
      </c>
      <c r="C698" s="54" t="s">
        <v>645</v>
      </c>
      <c r="D698" s="54" t="s">
        <v>644</v>
      </c>
      <c r="E698" s="54" t="s">
        <v>1336</v>
      </c>
    </row>
    <row r="699" spans="1:5" hidden="1">
      <c r="A699" s="54" t="s">
        <v>646</v>
      </c>
      <c r="B699" s="54">
        <v>411170225</v>
      </c>
      <c r="C699" s="54" t="s">
        <v>2223</v>
      </c>
      <c r="D699" s="54" t="s">
        <v>2225</v>
      </c>
      <c r="E699" s="54" t="s">
        <v>644</v>
      </c>
    </row>
    <row r="700" spans="1:5" hidden="1">
      <c r="A700" s="54" t="s">
        <v>646</v>
      </c>
      <c r="B700" s="54" t="s">
        <v>2226</v>
      </c>
      <c r="C700" s="54" t="s">
        <v>2227</v>
      </c>
      <c r="D700" s="54" t="s">
        <v>2228</v>
      </c>
      <c r="E700" s="54" t="s">
        <v>644</v>
      </c>
    </row>
    <row r="701" spans="1:5" hidden="1">
      <c r="A701" s="54" t="s">
        <v>646</v>
      </c>
      <c r="B701" s="54" t="s">
        <v>2229</v>
      </c>
      <c r="C701" s="54" t="s">
        <v>2227</v>
      </c>
      <c r="D701" s="54" t="s">
        <v>2230</v>
      </c>
      <c r="E701" s="54" t="s">
        <v>644</v>
      </c>
    </row>
    <row r="702" spans="1:5" hidden="1">
      <c r="A702" s="54" t="s">
        <v>646</v>
      </c>
      <c r="B702" s="54" t="s">
        <v>2231</v>
      </c>
      <c r="C702" s="54" t="s">
        <v>2232</v>
      </c>
      <c r="D702" s="54" t="s">
        <v>2233</v>
      </c>
      <c r="E702" s="54" t="s">
        <v>644</v>
      </c>
    </row>
    <row r="703" spans="1:5" hidden="1">
      <c r="A703" s="54" t="s">
        <v>675</v>
      </c>
      <c r="B703" s="54">
        <v>400265731</v>
      </c>
      <c r="C703" s="54" t="s">
        <v>674</v>
      </c>
      <c r="D703" s="54" t="s">
        <v>2234</v>
      </c>
      <c r="E703" s="54" t="s">
        <v>673</v>
      </c>
    </row>
    <row r="704" spans="1:5" hidden="1">
      <c r="A704" s="54" t="s">
        <v>675</v>
      </c>
      <c r="B704" s="54">
        <v>401053477</v>
      </c>
      <c r="C704" s="54" t="s">
        <v>674</v>
      </c>
      <c r="D704" s="54" t="s">
        <v>673</v>
      </c>
      <c r="E704" s="54" t="s">
        <v>1336</v>
      </c>
    </row>
    <row r="705" spans="1:5" hidden="1">
      <c r="A705" s="54" t="s">
        <v>675</v>
      </c>
      <c r="B705" s="54">
        <v>411170283</v>
      </c>
      <c r="C705" s="54" t="s">
        <v>674</v>
      </c>
      <c r="D705" s="54" t="s">
        <v>2235</v>
      </c>
      <c r="E705" s="54" t="s">
        <v>673</v>
      </c>
    </row>
    <row r="706" spans="1:5" hidden="1">
      <c r="A706" s="54" t="s">
        <v>675</v>
      </c>
      <c r="B706" s="54" t="s">
        <v>2236</v>
      </c>
      <c r="C706" s="54" t="s">
        <v>2237</v>
      </c>
      <c r="D706" s="54" t="s">
        <v>2238</v>
      </c>
      <c r="E706" s="54" t="s">
        <v>673</v>
      </c>
    </row>
    <row r="707" spans="1:5" hidden="1">
      <c r="A707" s="54" t="s">
        <v>675</v>
      </c>
      <c r="B707" s="54" t="s">
        <v>2239</v>
      </c>
      <c r="C707" s="54" t="s">
        <v>2237</v>
      </c>
      <c r="D707" s="54" t="s">
        <v>2240</v>
      </c>
      <c r="E707" s="54" t="s">
        <v>673</v>
      </c>
    </row>
    <row r="708" spans="1:5" hidden="1">
      <c r="A708" s="54" t="s">
        <v>708</v>
      </c>
      <c r="B708" s="54">
        <v>400265824</v>
      </c>
      <c r="C708" s="54" t="s">
        <v>707</v>
      </c>
      <c r="D708" s="54" t="s">
        <v>2241</v>
      </c>
      <c r="E708" s="54" t="s">
        <v>706</v>
      </c>
    </row>
    <row r="709" spans="1:5" hidden="1">
      <c r="A709" s="54" t="s">
        <v>708</v>
      </c>
      <c r="B709" s="54">
        <v>411160719</v>
      </c>
      <c r="C709" s="54" t="s">
        <v>707</v>
      </c>
      <c r="D709" s="54" t="s">
        <v>2242</v>
      </c>
      <c r="E709" s="54" t="s">
        <v>706</v>
      </c>
    </row>
    <row r="710" spans="1:5" hidden="1">
      <c r="A710" s="54" t="s">
        <v>708</v>
      </c>
      <c r="B710" s="54">
        <v>411321351</v>
      </c>
      <c r="C710" s="54" t="s">
        <v>707</v>
      </c>
      <c r="D710" s="54" t="s">
        <v>706</v>
      </c>
      <c r="E710" s="54" t="s">
        <v>1336</v>
      </c>
    </row>
    <row r="711" spans="1:5" hidden="1">
      <c r="A711" s="54" t="s">
        <v>708</v>
      </c>
      <c r="B711" s="54" t="s">
        <v>2243</v>
      </c>
      <c r="C711" s="54" t="s">
        <v>2244</v>
      </c>
      <c r="D711" s="54" t="s">
        <v>2245</v>
      </c>
      <c r="E711" s="54" t="s">
        <v>706</v>
      </c>
    </row>
    <row r="712" spans="1:5" hidden="1">
      <c r="A712" s="54" t="s">
        <v>708</v>
      </c>
      <c r="B712" s="54" t="s">
        <v>2246</v>
      </c>
      <c r="C712" s="54" t="s">
        <v>2244</v>
      </c>
      <c r="D712" s="54" t="s">
        <v>2247</v>
      </c>
      <c r="E712" s="54" t="s">
        <v>706</v>
      </c>
    </row>
    <row r="713" spans="1:5" hidden="1">
      <c r="A713" s="54" t="s">
        <v>708</v>
      </c>
      <c r="B713" s="54" t="s">
        <v>2248</v>
      </c>
      <c r="C713" s="54" t="s">
        <v>2244</v>
      </c>
      <c r="D713" s="54" t="s">
        <v>2249</v>
      </c>
      <c r="E713" s="54" t="s">
        <v>706</v>
      </c>
    </row>
    <row r="714" spans="1:5" hidden="1">
      <c r="A714" s="54" t="s">
        <v>681</v>
      </c>
      <c r="B714" s="54">
        <v>400264261</v>
      </c>
      <c r="C714" s="54" t="s">
        <v>2250</v>
      </c>
      <c r="D714" s="54" t="s">
        <v>2251</v>
      </c>
      <c r="E714" s="54" t="s">
        <v>679</v>
      </c>
    </row>
    <row r="715" spans="1:5" hidden="1">
      <c r="A715" s="54" t="s">
        <v>681</v>
      </c>
      <c r="B715" s="54">
        <v>401882189</v>
      </c>
      <c r="C715" s="54" t="s">
        <v>2250</v>
      </c>
      <c r="D715" s="54" t="s">
        <v>679</v>
      </c>
      <c r="E715" s="54" t="s">
        <v>1336</v>
      </c>
    </row>
    <row r="716" spans="1:5" hidden="1">
      <c r="A716" s="54" t="s">
        <v>681</v>
      </c>
      <c r="B716" s="54" t="s">
        <v>2252</v>
      </c>
      <c r="C716" s="54" t="s">
        <v>2253</v>
      </c>
      <c r="D716" s="54" t="s">
        <v>2254</v>
      </c>
      <c r="E716" s="54" t="s">
        <v>679</v>
      </c>
    </row>
    <row r="717" spans="1:5" hidden="1">
      <c r="A717" s="54" t="s">
        <v>681</v>
      </c>
      <c r="B717" s="54" t="s">
        <v>2255</v>
      </c>
      <c r="C717" s="54" t="s">
        <v>2253</v>
      </c>
      <c r="D717" s="54" t="s">
        <v>2256</v>
      </c>
      <c r="E717" s="54" t="s">
        <v>679</v>
      </c>
    </row>
    <row r="718" spans="1:5" hidden="1">
      <c r="A718" s="54" t="s">
        <v>622</v>
      </c>
      <c r="B718" s="54">
        <v>400264204</v>
      </c>
      <c r="C718" s="54" t="s">
        <v>621</v>
      </c>
      <c r="D718" s="54" t="s">
        <v>2257</v>
      </c>
      <c r="E718" s="54" t="s">
        <v>620</v>
      </c>
    </row>
    <row r="719" spans="1:5" hidden="1">
      <c r="A719" s="54" t="s">
        <v>622</v>
      </c>
      <c r="B719" s="54">
        <v>401235521</v>
      </c>
      <c r="C719" s="54" t="s">
        <v>621</v>
      </c>
      <c r="D719" s="54" t="s">
        <v>620</v>
      </c>
      <c r="E719" s="54" t="s">
        <v>1336</v>
      </c>
    </row>
    <row r="720" spans="1:5" hidden="1">
      <c r="A720" s="54" t="s">
        <v>622</v>
      </c>
      <c r="B720" s="54">
        <v>411170193</v>
      </c>
      <c r="C720" s="54" t="s">
        <v>621</v>
      </c>
      <c r="D720" s="54" t="s">
        <v>2258</v>
      </c>
      <c r="E720" s="54" t="s">
        <v>620</v>
      </c>
    </row>
    <row r="721" spans="1:5" hidden="1">
      <c r="A721" s="54" t="s">
        <v>622</v>
      </c>
      <c r="B721" s="54" t="s">
        <v>2259</v>
      </c>
      <c r="C721" s="54" t="s">
        <v>2260</v>
      </c>
      <c r="D721" s="54" t="s">
        <v>2261</v>
      </c>
      <c r="E721" s="54" t="s">
        <v>620</v>
      </c>
    </row>
    <row r="722" spans="1:5" hidden="1">
      <c r="A722" s="54" t="s">
        <v>622</v>
      </c>
      <c r="B722" s="54" t="s">
        <v>2262</v>
      </c>
      <c r="C722" s="54" t="s">
        <v>2260</v>
      </c>
      <c r="D722" s="54" t="s">
        <v>2263</v>
      </c>
      <c r="E722" s="54" t="s">
        <v>620</v>
      </c>
    </row>
    <row r="723" spans="1:5" hidden="1">
      <c r="A723" s="54" t="s">
        <v>622</v>
      </c>
      <c r="B723" s="54" t="s">
        <v>2264</v>
      </c>
      <c r="C723" s="54" t="s">
        <v>2265</v>
      </c>
      <c r="D723" s="54" t="s">
        <v>2266</v>
      </c>
      <c r="E723" s="54" t="s">
        <v>620</v>
      </c>
    </row>
    <row r="724" spans="1:5" hidden="1">
      <c r="A724" s="54" t="s">
        <v>737</v>
      </c>
      <c r="B724" s="54">
        <v>400249970</v>
      </c>
      <c r="C724" s="54" t="s">
        <v>736</v>
      </c>
      <c r="D724" s="54" t="s">
        <v>735</v>
      </c>
      <c r="E724" s="54" t="s">
        <v>1336</v>
      </c>
    </row>
    <row r="725" spans="1:5" hidden="1">
      <c r="A725" s="54" t="s">
        <v>737</v>
      </c>
      <c r="B725" s="54" t="s">
        <v>2267</v>
      </c>
      <c r="C725" s="54" t="s">
        <v>2268</v>
      </c>
      <c r="D725" s="54" t="s">
        <v>2269</v>
      </c>
      <c r="E725" s="54" t="s">
        <v>735</v>
      </c>
    </row>
    <row r="726" spans="1:5" hidden="1">
      <c r="A726" s="54" t="s">
        <v>737</v>
      </c>
      <c r="B726" s="54" t="s">
        <v>2270</v>
      </c>
      <c r="C726" s="54" t="s">
        <v>2271</v>
      </c>
      <c r="D726" s="54" t="s">
        <v>2272</v>
      </c>
      <c r="E726" s="54" t="s">
        <v>735</v>
      </c>
    </row>
    <row r="727" spans="1:5" hidden="1">
      <c r="A727" s="54" t="s">
        <v>737</v>
      </c>
      <c r="B727" s="54" t="s">
        <v>2273</v>
      </c>
      <c r="C727" s="54" t="s">
        <v>2271</v>
      </c>
      <c r="D727" s="54" t="s">
        <v>2274</v>
      </c>
      <c r="E727" s="54" t="s">
        <v>735</v>
      </c>
    </row>
    <row r="728" spans="1:5" hidden="1">
      <c r="A728" s="54" t="s">
        <v>737</v>
      </c>
      <c r="B728" s="54" t="s">
        <v>2275</v>
      </c>
      <c r="C728" s="54" t="s">
        <v>2268</v>
      </c>
      <c r="D728" s="54" t="s">
        <v>2276</v>
      </c>
      <c r="E728" s="54" t="s">
        <v>735</v>
      </c>
    </row>
    <row r="729" spans="1:5" hidden="1">
      <c r="A729" s="54" t="s">
        <v>713</v>
      </c>
      <c r="B729" s="54">
        <v>400265721</v>
      </c>
      <c r="C729" s="54" t="s">
        <v>712</v>
      </c>
      <c r="D729" s="54" t="s">
        <v>2277</v>
      </c>
      <c r="E729" s="54" t="s">
        <v>711</v>
      </c>
    </row>
    <row r="730" spans="1:5" hidden="1">
      <c r="A730" s="54" t="s">
        <v>713</v>
      </c>
      <c r="B730" s="54">
        <v>401212272</v>
      </c>
      <c r="C730" s="54" t="s">
        <v>712</v>
      </c>
      <c r="D730" s="54" t="s">
        <v>711</v>
      </c>
      <c r="E730" s="54" t="s">
        <v>1336</v>
      </c>
    </row>
    <row r="731" spans="1:5" hidden="1">
      <c r="A731" s="54" t="s">
        <v>713</v>
      </c>
      <c r="B731" s="54">
        <v>411170271</v>
      </c>
      <c r="C731" s="54" t="s">
        <v>712</v>
      </c>
      <c r="D731" s="54" t="s">
        <v>2278</v>
      </c>
      <c r="E731" s="54" t="s">
        <v>711</v>
      </c>
    </row>
    <row r="732" spans="1:5" hidden="1">
      <c r="A732" s="54" t="s">
        <v>713</v>
      </c>
      <c r="B732" s="54" t="s">
        <v>2279</v>
      </c>
      <c r="C732" s="54" t="s">
        <v>2280</v>
      </c>
      <c r="D732" s="54" t="s">
        <v>2281</v>
      </c>
      <c r="E732" s="54" t="s">
        <v>711</v>
      </c>
    </row>
    <row r="733" spans="1:5" hidden="1">
      <c r="A733" s="54" t="s">
        <v>643</v>
      </c>
      <c r="B733" s="54">
        <v>400264276</v>
      </c>
      <c r="C733" s="54" t="s">
        <v>642</v>
      </c>
      <c r="D733" s="54" t="s">
        <v>2282</v>
      </c>
      <c r="E733" s="54" t="s">
        <v>641</v>
      </c>
    </row>
    <row r="734" spans="1:5" hidden="1">
      <c r="A734" s="54" t="s">
        <v>643</v>
      </c>
      <c r="B734" s="54">
        <v>401459280</v>
      </c>
      <c r="C734" s="54" t="s">
        <v>642</v>
      </c>
      <c r="D734" s="54" t="s">
        <v>641</v>
      </c>
      <c r="E734" s="54" t="s">
        <v>1336</v>
      </c>
    </row>
    <row r="735" spans="1:5" hidden="1">
      <c r="A735" s="54" t="s">
        <v>643</v>
      </c>
      <c r="B735" s="54">
        <v>411170211</v>
      </c>
      <c r="C735" s="54" t="s">
        <v>642</v>
      </c>
      <c r="D735" s="54" t="s">
        <v>2283</v>
      </c>
      <c r="E735" s="54" t="s">
        <v>641</v>
      </c>
    </row>
    <row r="736" spans="1:5" hidden="1">
      <c r="A736" s="54" t="s">
        <v>643</v>
      </c>
      <c r="B736" s="54" t="s">
        <v>2284</v>
      </c>
      <c r="C736" s="54" t="s">
        <v>2285</v>
      </c>
      <c r="D736" s="54" t="s">
        <v>2286</v>
      </c>
      <c r="E736" s="54" t="s">
        <v>641</v>
      </c>
    </row>
    <row r="737" spans="1:5" hidden="1">
      <c r="A737" s="54" t="s">
        <v>643</v>
      </c>
      <c r="B737" s="54" t="s">
        <v>2287</v>
      </c>
      <c r="C737" s="54" t="s">
        <v>2285</v>
      </c>
      <c r="D737" s="54" t="s">
        <v>2288</v>
      </c>
      <c r="E737" s="54" t="s">
        <v>641</v>
      </c>
    </row>
    <row r="738" spans="1:5" hidden="1">
      <c r="A738" s="54" t="s">
        <v>693</v>
      </c>
      <c r="B738" s="54">
        <v>400265780</v>
      </c>
      <c r="C738" s="54" t="s">
        <v>692</v>
      </c>
      <c r="D738" s="54" t="s">
        <v>2289</v>
      </c>
      <c r="E738" s="54" t="s">
        <v>691</v>
      </c>
    </row>
    <row r="739" spans="1:5" hidden="1">
      <c r="A739" s="54" t="s">
        <v>693</v>
      </c>
      <c r="B739" s="54">
        <v>401519148</v>
      </c>
      <c r="C739" s="54" t="s">
        <v>692</v>
      </c>
      <c r="D739" s="54" t="s">
        <v>691</v>
      </c>
      <c r="E739" s="54" t="s">
        <v>1336</v>
      </c>
    </row>
    <row r="740" spans="1:5" hidden="1">
      <c r="A740" s="54" t="s">
        <v>693</v>
      </c>
      <c r="B740" s="54">
        <v>411160651</v>
      </c>
      <c r="C740" s="54" t="s">
        <v>692</v>
      </c>
      <c r="D740" s="54" t="s">
        <v>2290</v>
      </c>
      <c r="E740" s="54" t="s">
        <v>691</v>
      </c>
    </row>
    <row r="741" spans="1:5" hidden="1">
      <c r="A741" s="54" t="s">
        <v>693</v>
      </c>
      <c r="B741" s="54" t="s">
        <v>2291</v>
      </c>
      <c r="C741" s="54" t="s">
        <v>2292</v>
      </c>
      <c r="D741" s="54" t="s">
        <v>2293</v>
      </c>
      <c r="E741" s="54" t="s">
        <v>691</v>
      </c>
    </row>
    <row r="742" spans="1:5" hidden="1">
      <c r="A742" s="54" t="s">
        <v>693</v>
      </c>
      <c r="B742" s="54" t="s">
        <v>2294</v>
      </c>
      <c r="C742" s="54" t="s">
        <v>2292</v>
      </c>
      <c r="D742" s="54" t="s">
        <v>2295</v>
      </c>
      <c r="E742" s="54" t="s">
        <v>691</v>
      </c>
    </row>
    <row r="743" spans="1:5" hidden="1">
      <c r="A743" s="54" t="s">
        <v>693</v>
      </c>
      <c r="B743" s="54" t="s">
        <v>2296</v>
      </c>
      <c r="C743" s="54" t="s">
        <v>2297</v>
      </c>
      <c r="D743" s="54" t="s">
        <v>2298</v>
      </c>
      <c r="E743" s="54" t="s">
        <v>691</v>
      </c>
    </row>
    <row r="744" spans="1:5" hidden="1">
      <c r="A744" s="54" t="s">
        <v>661</v>
      </c>
      <c r="B744" s="54">
        <v>400265707</v>
      </c>
      <c r="C744" s="54" t="s">
        <v>2299</v>
      </c>
      <c r="D744" s="54" t="s">
        <v>2300</v>
      </c>
      <c r="E744" s="54" t="s">
        <v>659</v>
      </c>
    </row>
    <row r="745" spans="1:5" hidden="1">
      <c r="A745" s="54" t="s">
        <v>661</v>
      </c>
      <c r="B745" s="54">
        <v>401008440</v>
      </c>
      <c r="C745" s="54" t="s">
        <v>660</v>
      </c>
      <c r="D745" s="54" t="s">
        <v>659</v>
      </c>
      <c r="E745" s="54" t="s">
        <v>1336</v>
      </c>
    </row>
    <row r="746" spans="1:5" hidden="1">
      <c r="A746" s="54" t="s">
        <v>661</v>
      </c>
      <c r="B746" s="54">
        <v>411170260</v>
      </c>
      <c r="C746" s="54" t="s">
        <v>2299</v>
      </c>
      <c r="D746" s="54" t="s">
        <v>2301</v>
      </c>
      <c r="E746" s="54" t="s">
        <v>659</v>
      </c>
    </row>
    <row r="747" spans="1:5" hidden="1">
      <c r="A747" s="54" t="s">
        <v>661</v>
      </c>
      <c r="B747" s="54" t="s">
        <v>2302</v>
      </c>
      <c r="C747" s="54" t="s">
        <v>2303</v>
      </c>
      <c r="D747" s="54" t="s">
        <v>2304</v>
      </c>
      <c r="E747" s="54" t="s">
        <v>659</v>
      </c>
    </row>
    <row r="748" spans="1:5" hidden="1">
      <c r="A748" s="54" t="s">
        <v>661</v>
      </c>
      <c r="B748" s="54" t="s">
        <v>2305</v>
      </c>
      <c r="C748" s="54" t="s">
        <v>2303</v>
      </c>
      <c r="D748" s="54" t="s">
        <v>2306</v>
      </c>
      <c r="E748" s="54" t="s">
        <v>659</v>
      </c>
    </row>
    <row r="749" spans="1:5" hidden="1">
      <c r="A749" s="54" t="s">
        <v>661</v>
      </c>
      <c r="B749" s="54" t="s">
        <v>2307</v>
      </c>
      <c r="C749" s="54" t="s">
        <v>660</v>
      </c>
      <c r="D749" s="54" t="s">
        <v>2308</v>
      </c>
      <c r="E749" s="54" t="s">
        <v>659</v>
      </c>
    </row>
    <row r="750" spans="1:5" hidden="1">
      <c r="A750" s="54" t="s">
        <v>514</v>
      </c>
      <c r="B750" s="54">
        <v>400265791</v>
      </c>
      <c r="C750" s="54" t="s">
        <v>513</v>
      </c>
      <c r="D750" s="54" t="s">
        <v>2309</v>
      </c>
      <c r="E750" s="54" t="s">
        <v>512</v>
      </c>
    </row>
    <row r="751" spans="1:5" hidden="1">
      <c r="A751" s="54" t="s">
        <v>514</v>
      </c>
      <c r="B751" s="54">
        <v>401190254</v>
      </c>
      <c r="C751" s="54" t="s">
        <v>513</v>
      </c>
      <c r="D751" s="54" t="s">
        <v>2310</v>
      </c>
      <c r="E751" s="54" t="s">
        <v>512</v>
      </c>
    </row>
    <row r="752" spans="1:5" hidden="1">
      <c r="A752" s="54" t="s">
        <v>514</v>
      </c>
      <c r="B752" s="54">
        <v>411160675</v>
      </c>
      <c r="C752" s="54" t="s">
        <v>513</v>
      </c>
      <c r="D752" s="54" t="s">
        <v>512</v>
      </c>
      <c r="E752" s="54" t="s">
        <v>1336</v>
      </c>
    </row>
    <row r="753" spans="1:5" hidden="1">
      <c r="A753" s="54" t="s">
        <v>514</v>
      </c>
      <c r="B753" s="54" t="s">
        <v>2311</v>
      </c>
      <c r="C753" s="54" t="s">
        <v>2312</v>
      </c>
      <c r="D753" s="54" t="s">
        <v>2313</v>
      </c>
      <c r="E753" s="54" t="s">
        <v>512</v>
      </c>
    </row>
    <row r="754" spans="1:5" hidden="1">
      <c r="A754" s="54" t="s">
        <v>514</v>
      </c>
      <c r="B754" s="54" t="s">
        <v>2314</v>
      </c>
      <c r="C754" s="54" t="s">
        <v>2312</v>
      </c>
      <c r="D754" s="54" t="s">
        <v>2315</v>
      </c>
      <c r="E754" s="54" t="s">
        <v>512</v>
      </c>
    </row>
    <row r="755" spans="1:5" hidden="1">
      <c r="A755" s="54" t="s">
        <v>716</v>
      </c>
      <c r="B755" s="54">
        <v>400433218</v>
      </c>
      <c r="C755" s="54" t="s">
        <v>2316</v>
      </c>
      <c r="D755" s="54" t="s">
        <v>2317</v>
      </c>
      <c r="E755" s="54" t="s">
        <v>714</v>
      </c>
    </row>
    <row r="756" spans="1:5" hidden="1">
      <c r="A756" s="54" t="s">
        <v>716</v>
      </c>
      <c r="B756" s="54">
        <v>401655756</v>
      </c>
      <c r="C756" s="54" t="s">
        <v>2316</v>
      </c>
      <c r="D756" s="54" t="s">
        <v>714</v>
      </c>
      <c r="E756" s="54" t="s">
        <v>1336</v>
      </c>
    </row>
    <row r="757" spans="1:5" hidden="1">
      <c r="A757" s="54" t="s">
        <v>716</v>
      </c>
      <c r="B757" s="54" t="s">
        <v>2318</v>
      </c>
      <c r="C757" s="54" t="s">
        <v>2319</v>
      </c>
      <c r="D757" s="54" t="s">
        <v>2320</v>
      </c>
      <c r="E757" s="54" t="s">
        <v>714</v>
      </c>
    </row>
    <row r="758" spans="1:5" hidden="1">
      <c r="A758" s="54" t="s">
        <v>716</v>
      </c>
      <c r="B758" s="54" t="s">
        <v>2321</v>
      </c>
      <c r="C758" s="54" t="s">
        <v>2319</v>
      </c>
      <c r="D758" s="54" t="s">
        <v>2322</v>
      </c>
      <c r="E758" s="54" t="s">
        <v>714</v>
      </c>
    </row>
    <row r="759" spans="1:5" hidden="1">
      <c r="A759" s="54" t="s">
        <v>702</v>
      </c>
      <c r="B759" s="54">
        <v>400272399</v>
      </c>
      <c r="C759" s="54" t="s">
        <v>701</v>
      </c>
      <c r="D759" s="54" t="s">
        <v>2323</v>
      </c>
      <c r="E759" s="54" t="s">
        <v>700</v>
      </c>
    </row>
    <row r="760" spans="1:5" hidden="1">
      <c r="A760" s="54" t="s">
        <v>702</v>
      </c>
      <c r="B760" s="54">
        <v>401282464</v>
      </c>
      <c r="C760" s="54" t="s">
        <v>701</v>
      </c>
      <c r="D760" s="54" t="s">
        <v>700</v>
      </c>
      <c r="E760" s="54" t="s">
        <v>1336</v>
      </c>
    </row>
    <row r="761" spans="1:5" hidden="1">
      <c r="A761" s="54" t="s">
        <v>702</v>
      </c>
      <c r="B761" s="54" t="s">
        <v>2324</v>
      </c>
      <c r="C761" s="54" t="s">
        <v>2325</v>
      </c>
      <c r="D761" s="54" t="s">
        <v>2326</v>
      </c>
      <c r="E761" s="54" t="s">
        <v>700</v>
      </c>
    </row>
    <row r="762" spans="1:5" hidden="1">
      <c r="A762" s="54" t="s">
        <v>702</v>
      </c>
      <c r="B762" s="54" t="s">
        <v>2327</v>
      </c>
      <c r="C762" s="54" t="s">
        <v>2325</v>
      </c>
      <c r="D762" s="54" t="s">
        <v>2328</v>
      </c>
      <c r="E762" s="54" t="s">
        <v>700</v>
      </c>
    </row>
    <row r="763" spans="1:5" hidden="1">
      <c r="A763" s="54" t="s">
        <v>613</v>
      </c>
      <c r="B763" s="54">
        <v>400292492</v>
      </c>
      <c r="C763" s="54" t="s">
        <v>2329</v>
      </c>
      <c r="D763" s="54" t="s">
        <v>2330</v>
      </c>
      <c r="E763" s="54" t="s">
        <v>611</v>
      </c>
    </row>
    <row r="764" spans="1:5" hidden="1">
      <c r="A764" s="54" t="s">
        <v>613</v>
      </c>
      <c r="B764" s="54">
        <v>411170170</v>
      </c>
      <c r="C764" s="54" t="s">
        <v>2329</v>
      </c>
      <c r="D764" s="54" t="s">
        <v>2331</v>
      </c>
      <c r="E764" s="54" t="s">
        <v>611</v>
      </c>
    </row>
    <row r="765" spans="1:5" hidden="1">
      <c r="A765" s="54" t="s">
        <v>613</v>
      </c>
      <c r="B765" s="54">
        <v>414258415</v>
      </c>
      <c r="C765" s="54" t="s">
        <v>2329</v>
      </c>
      <c r="D765" s="54" t="s">
        <v>611</v>
      </c>
      <c r="E765" s="54" t="s">
        <v>1336</v>
      </c>
    </row>
    <row r="766" spans="1:5" hidden="1">
      <c r="A766" s="54" t="s">
        <v>613</v>
      </c>
      <c r="B766" s="54">
        <v>417221862</v>
      </c>
      <c r="C766" s="54" t="s">
        <v>2329</v>
      </c>
      <c r="D766" s="54" t="s">
        <v>2332</v>
      </c>
      <c r="E766" s="54" t="s">
        <v>611</v>
      </c>
    </row>
    <row r="767" spans="1:5" hidden="1">
      <c r="A767" s="54" t="s">
        <v>613</v>
      </c>
      <c r="B767" s="54" t="s">
        <v>2333</v>
      </c>
      <c r="C767" s="54" t="s">
        <v>2334</v>
      </c>
      <c r="D767" s="54" t="s">
        <v>2335</v>
      </c>
      <c r="E767" s="54" t="s">
        <v>611</v>
      </c>
    </row>
    <row r="768" spans="1:5" hidden="1">
      <c r="A768" s="54" t="s">
        <v>613</v>
      </c>
      <c r="B768" s="54" t="s">
        <v>2336</v>
      </c>
      <c r="C768" s="54" t="s">
        <v>2334</v>
      </c>
      <c r="D768" s="54" t="s">
        <v>2337</v>
      </c>
      <c r="E768" s="54" t="s">
        <v>611</v>
      </c>
    </row>
    <row r="769" spans="1:5" hidden="1">
      <c r="A769" s="54" t="s">
        <v>725</v>
      </c>
      <c r="B769" s="54">
        <v>400292785</v>
      </c>
      <c r="C769" s="54" t="s">
        <v>2338</v>
      </c>
      <c r="D769" s="54" t="s">
        <v>2339</v>
      </c>
      <c r="E769" s="54" t="s">
        <v>723</v>
      </c>
    </row>
    <row r="770" spans="1:5" hidden="1">
      <c r="A770" s="54" t="s">
        <v>725</v>
      </c>
      <c r="B770" s="54">
        <v>400693193</v>
      </c>
      <c r="C770" s="54" t="s">
        <v>2338</v>
      </c>
      <c r="D770" s="54" t="s">
        <v>723</v>
      </c>
      <c r="E770" s="54" t="s">
        <v>1336</v>
      </c>
    </row>
    <row r="771" spans="1:5" hidden="1">
      <c r="A771" s="54" t="s">
        <v>725</v>
      </c>
      <c r="B771" s="54" t="s">
        <v>2340</v>
      </c>
      <c r="C771" s="54" t="s">
        <v>2341</v>
      </c>
      <c r="D771" s="54" t="s">
        <v>2342</v>
      </c>
      <c r="E771" s="54" t="s">
        <v>723</v>
      </c>
    </row>
    <row r="772" spans="1:5" hidden="1">
      <c r="A772" s="54" t="s">
        <v>725</v>
      </c>
      <c r="B772" s="54" t="s">
        <v>2343</v>
      </c>
      <c r="C772" s="54" t="s">
        <v>2341</v>
      </c>
      <c r="D772" s="54" t="s">
        <v>2344</v>
      </c>
      <c r="E772" s="54" t="s">
        <v>723</v>
      </c>
    </row>
    <row r="773" spans="1:5" hidden="1">
      <c r="A773" s="54" t="s">
        <v>684</v>
      </c>
      <c r="B773" s="54">
        <v>400265764</v>
      </c>
      <c r="C773" s="54" t="s">
        <v>2345</v>
      </c>
      <c r="D773" s="54" t="s">
        <v>2346</v>
      </c>
      <c r="E773" s="54" t="s">
        <v>682</v>
      </c>
    </row>
    <row r="774" spans="1:5" hidden="1">
      <c r="A774" s="54" t="s">
        <v>684</v>
      </c>
      <c r="B774" s="54">
        <v>400658345</v>
      </c>
      <c r="C774" s="54" t="s">
        <v>683</v>
      </c>
      <c r="D774" s="54" t="s">
        <v>682</v>
      </c>
      <c r="E774" s="54" t="s">
        <v>1336</v>
      </c>
    </row>
    <row r="775" spans="1:5" hidden="1">
      <c r="A775" s="54" t="s">
        <v>684</v>
      </c>
      <c r="B775" s="54">
        <v>411160631</v>
      </c>
      <c r="C775" s="54" t="s">
        <v>683</v>
      </c>
      <c r="D775" s="54" t="s">
        <v>2347</v>
      </c>
      <c r="E775" s="54" t="s">
        <v>682</v>
      </c>
    </row>
    <row r="776" spans="1:5" hidden="1">
      <c r="A776" s="54" t="s">
        <v>684</v>
      </c>
      <c r="B776" s="54">
        <v>411160632</v>
      </c>
      <c r="C776" s="54" t="s">
        <v>2348</v>
      </c>
      <c r="D776" s="54" t="s">
        <v>2349</v>
      </c>
      <c r="E776" s="54" t="s">
        <v>682</v>
      </c>
    </row>
    <row r="777" spans="1:5" hidden="1">
      <c r="A777" s="54" t="s">
        <v>684</v>
      </c>
      <c r="B777" s="54" t="s">
        <v>2350</v>
      </c>
      <c r="C777" s="54" t="s">
        <v>2351</v>
      </c>
      <c r="D777" s="54" t="s">
        <v>2352</v>
      </c>
      <c r="E777" s="54" t="s">
        <v>682</v>
      </c>
    </row>
    <row r="778" spans="1:5" hidden="1">
      <c r="A778" s="54" t="s">
        <v>684</v>
      </c>
      <c r="B778" s="54" t="s">
        <v>2353</v>
      </c>
      <c r="C778" s="54" t="s">
        <v>2354</v>
      </c>
      <c r="D778" s="54" t="s">
        <v>2355</v>
      </c>
      <c r="E778" s="54" t="s">
        <v>682</v>
      </c>
    </row>
    <row r="779" spans="1:5" hidden="1">
      <c r="A779" s="54" t="s">
        <v>684</v>
      </c>
      <c r="B779" s="54" t="s">
        <v>2356</v>
      </c>
      <c r="C779" s="54" t="s">
        <v>2354</v>
      </c>
      <c r="D779" s="54" t="s">
        <v>2357</v>
      </c>
      <c r="E779" s="54" t="s">
        <v>682</v>
      </c>
    </row>
    <row r="780" spans="1:5" hidden="1">
      <c r="A780" s="54" t="s">
        <v>684</v>
      </c>
      <c r="B780" s="54" t="s">
        <v>2358</v>
      </c>
      <c r="C780" s="54" t="s">
        <v>2351</v>
      </c>
      <c r="D780" s="54" t="s">
        <v>2359</v>
      </c>
      <c r="E780" s="54" t="s">
        <v>682</v>
      </c>
    </row>
    <row r="781" spans="1:5" hidden="1">
      <c r="A781" s="54" t="s">
        <v>696</v>
      </c>
      <c r="B781" s="54">
        <v>400265785</v>
      </c>
      <c r="C781" s="54" t="s">
        <v>2360</v>
      </c>
      <c r="D781" s="54" t="s">
        <v>2361</v>
      </c>
      <c r="E781" s="54" t="s">
        <v>694</v>
      </c>
    </row>
    <row r="782" spans="1:5" hidden="1">
      <c r="A782" s="54" t="s">
        <v>696</v>
      </c>
      <c r="B782" s="54">
        <v>401316098</v>
      </c>
      <c r="C782" s="54" t="s">
        <v>2360</v>
      </c>
      <c r="D782" s="54" t="s">
        <v>694</v>
      </c>
      <c r="E782" s="54" t="s">
        <v>1336</v>
      </c>
    </row>
    <row r="783" spans="1:5" hidden="1">
      <c r="A783" s="54" t="s">
        <v>696</v>
      </c>
      <c r="B783" s="54" t="s">
        <v>2362</v>
      </c>
      <c r="C783" s="54" t="s">
        <v>2363</v>
      </c>
      <c r="D783" s="54" t="s">
        <v>2364</v>
      </c>
      <c r="E783" s="54" t="s">
        <v>694</v>
      </c>
    </row>
    <row r="784" spans="1:5" hidden="1">
      <c r="A784" s="54" t="s">
        <v>696</v>
      </c>
      <c r="B784" s="54" t="s">
        <v>2365</v>
      </c>
      <c r="C784" s="54" t="s">
        <v>2366</v>
      </c>
      <c r="D784" s="54" t="s">
        <v>2367</v>
      </c>
      <c r="E784" s="54" t="s">
        <v>694</v>
      </c>
    </row>
    <row r="785" spans="1:5" hidden="1">
      <c r="A785" s="54" t="s">
        <v>696</v>
      </c>
      <c r="B785" s="54" t="s">
        <v>2368</v>
      </c>
      <c r="C785" s="54" t="s">
        <v>2363</v>
      </c>
      <c r="D785" s="54" t="s">
        <v>2369</v>
      </c>
      <c r="E785" s="54" t="s">
        <v>694</v>
      </c>
    </row>
    <row r="786" spans="1:5" hidden="1">
      <c r="A786" s="54" t="s">
        <v>678</v>
      </c>
      <c r="B786" s="54">
        <v>400265763</v>
      </c>
      <c r="C786" s="54" t="s">
        <v>677</v>
      </c>
      <c r="D786" s="54" t="s">
        <v>2370</v>
      </c>
      <c r="E786" s="54" t="s">
        <v>676</v>
      </c>
    </row>
    <row r="787" spans="1:5" hidden="1">
      <c r="A787" s="54" t="s">
        <v>678</v>
      </c>
      <c r="B787" s="54">
        <v>401053377</v>
      </c>
      <c r="C787" s="54" t="s">
        <v>677</v>
      </c>
      <c r="D787" s="54" t="s">
        <v>676</v>
      </c>
      <c r="E787" s="54" t="s">
        <v>1336</v>
      </c>
    </row>
    <row r="788" spans="1:5" hidden="1">
      <c r="A788" s="54" t="s">
        <v>678</v>
      </c>
      <c r="B788" s="54">
        <v>411170291</v>
      </c>
      <c r="C788" s="54" t="s">
        <v>677</v>
      </c>
      <c r="D788" s="54" t="s">
        <v>2371</v>
      </c>
      <c r="E788" s="54" t="s">
        <v>676</v>
      </c>
    </row>
    <row r="789" spans="1:5" hidden="1">
      <c r="A789" s="54" t="s">
        <v>678</v>
      </c>
      <c r="B789" s="54" t="s">
        <v>2372</v>
      </c>
      <c r="C789" s="54" t="s">
        <v>2373</v>
      </c>
      <c r="D789" s="54" t="s">
        <v>2374</v>
      </c>
      <c r="E789" s="54" t="s">
        <v>676</v>
      </c>
    </row>
    <row r="790" spans="1:5" hidden="1">
      <c r="A790" s="54" t="s">
        <v>678</v>
      </c>
      <c r="B790" s="54" t="s">
        <v>2375</v>
      </c>
      <c r="C790" s="54" t="s">
        <v>2373</v>
      </c>
      <c r="D790" s="54" t="s">
        <v>2376</v>
      </c>
      <c r="E790" s="54" t="s">
        <v>676</v>
      </c>
    </row>
    <row r="791" spans="1:5" hidden="1">
      <c r="A791" s="54" t="s">
        <v>678</v>
      </c>
      <c r="B791" s="54" t="s">
        <v>2377</v>
      </c>
      <c r="C791" s="54" t="s">
        <v>2378</v>
      </c>
      <c r="D791" s="54" t="s">
        <v>2379</v>
      </c>
      <c r="E791" s="54" t="s">
        <v>676</v>
      </c>
    </row>
    <row r="792" spans="1:5" hidden="1">
      <c r="A792" s="54" t="s">
        <v>604</v>
      </c>
      <c r="B792" s="54">
        <v>400249794</v>
      </c>
      <c r="C792" s="54" t="s">
        <v>603</v>
      </c>
      <c r="D792" s="54" t="s">
        <v>2380</v>
      </c>
      <c r="E792" s="54" t="s">
        <v>602</v>
      </c>
    </row>
    <row r="793" spans="1:5" hidden="1">
      <c r="A793" s="54" t="s">
        <v>604</v>
      </c>
      <c r="B793" s="54">
        <v>400693196</v>
      </c>
      <c r="C793" s="54" t="s">
        <v>603</v>
      </c>
      <c r="D793" s="54" t="s">
        <v>602</v>
      </c>
      <c r="E793" s="54" t="s">
        <v>1336</v>
      </c>
    </row>
    <row r="794" spans="1:5" hidden="1">
      <c r="A794" s="54" t="s">
        <v>604</v>
      </c>
      <c r="B794" s="54" t="s">
        <v>2381</v>
      </c>
      <c r="C794" s="54" t="s">
        <v>2382</v>
      </c>
      <c r="D794" s="54" t="s">
        <v>2383</v>
      </c>
      <c r="E794" s="54" t="s">
        <v>602</v>
      </c>
    </row>
    <row r="795" spans="1:5" hidden="1">
      <c r="A795" s="54" t="s">
        <v>604</v>
      </c>
      <c r="B795" s="54" t="s">
        <v>2384</v>
      </c>
      <c r="C795" s="54" t="s">
        <v>2382</v>
      </c>
      <c r="D795" s="54" t="s">
        <v>2385</v>
      </c>
      <c r="E795" s="54" t="s">
        <v>602</v>
      </c>
    </row>
    <row r="796" spans="1:5" hidden="1">
      <c r="A796" s="54" t="s">
        <v>604</v>
      </c>
      <c r="B796" s="54" t="s">
        <v>2386</v>
      </c>
      <c r="C796" s="54" t="s">
        <v>2387</v>
      </c>
      <c r="D796" s="54" t="s">
        <v>2388</v>
      </c>
      <c r="E796" s="54" t="s">
        <v>602</v>
      </c>
    </row>
    <row r="797" spans="1:5" hidden="1">
      <c r="A797" s="54" t="s">
        <v>604</v>
      </c>
      <c r="B797" s="54" t="s">
        <v>2389</v>
      </c>
      <c r="C797" s="54" t="s">
        <v>2387</v>
      </c>
      <c r="D797" s="54" t="s">
        <v>2390</v>
      </c>
      <c r="E797" s="54" t="s">
        <v>602</v>
      </c>
    </row>
    <row r="798" spans="1:5" hidden="1">
      <c r="A798" s="54" t="s">
        <v>666</v>
      </c>
      <c r="B798" s="54">
        <v>400265725</v>
      </c>
      <c r="C798" s="54" t="s">
        <v>581</v>
      </c>
      <c r="D798" s="54" t="s">
        <v>2391</v>
      </c>
      <c r="E798" s="54" t="s">
        <v>665</v>
      </c>
    </row>
    <row r="799" spans="1:5" hidden="1">
      <c r="A799" s="54" t="s">
        <v>666</v>
      </c>
      <c r="B799" s="54">
        <v>401485722</v>
      </c>
      <c r="C799" s="54" t="s">
        <v>581</v>
      </c>
      <c r="D799" s="54" t="s">
        <v>665</v>
      </c>
      <c r="E799" s="54" t="s">
        <v>1336</v>
      </c>
    </row>
    <row r="800" spans="1:5" hidden="1">
      <c r="A800" s="54" t="s">
        <v>666</v>
      </c>
      <c r="B800" s="54">
        <v>411170274</v>
      </c>
      <c r="C800" s="54" t="s">
        <v>581</v>
      </c>
      <c r="D800" s="54" t="s">
        <v>2392</v>
      </c>
      <c r="E800" s="54" t="s">
        <v>665</v>
      </c>
    </row>
    <row r="801" spans="1:5" hidden="1">
      <c r="A801" s="54" t="s">
        <v>666</v>
      </c>
      <c r="B801" s="54" t="s">
        <v>2393</v>
      </c>
      <c r="C801" s="54" t="s">
        <v>2394</v>
      </c>
      <c r="D801" s="54" t="s">
        <v>2395</v>
      </c>
      <c r="E801" s="54" t="s">
        <v>665</v>
      </c>
    </row>
    <row r="802" spans="1:5" hidden="1">
      <c r="A802" s="54" t="s">
        <v>666</v>
      </c>
      <c r="B802" s="54" t="s">
        <v>2396</v>
      </c>
      <c r="C802" s="54" t="s">
        <v>2394</v>
      </c>
      <c r="D802" s="54" t="s">
        <v>2397</v>
      </c>
      <c r="E802" s="54" t="s">
        <v>665</v>
      </c>
    </row>
    <row r="803" spans="1:5" hidden="1">
      <c r="A803" s="54" t="s">
        <v>756</v>
      </c>
      <c r="B803" s="54">
        <v>400265805</v>
      </c>
      <c r="C803" s="54" t="s">
        <v>755</v>
      </c>
      <c r="D803" s="54" t="s">
        <v>2398</v>
      </c>
      <c r="E803" s="54" t="s">
        <v>754</v>
      </c>
    </row>
    <row r="804" spans="1:5" hidden="1">
      <c r="A804" s="54" t="s">
        <v>756</v>
      </c>
      <c r="B804" s="54">
        <v>401041478</v>
      </c>
      <c r="C804" s="54" t="s">
        <v>755</v>
      </c>
      <c r="D804" s="54" t="s">
        <v>754</v>
      </c>
      <c r="E804" s="54" t="s">
        <v>1336</v>
      </c>
    </row>
    <row r="805" spans="1:5" hidden="1">
      <c r="A805" s="54" t="s">
        <v>756</v>
      </c>
      <c r="B805" s="54">
        <v>411160683</v>
      </c>
      <c r="C805" s="54" t="s">
        <v>755</v>
      </c>
      <c r="D805" s="54" t="s">
        <v>2399</v>
      </c>
      <c r="E805" s="54" t="s">
        <v>754</v>
      </c>
    </row>
    <row r="806" spans="1:5" hidden="1">
      <c r="A806" s="54" t="s">
        <v>756</v>
      </c>
      <c r="B806" s="54" t="s">
        <v>2400</v>
      </c>
      <c r="C806" s="54" t="s">
        <v>2401</v>
      </c>
      <c r="D806" s="54" t="s">
        <v>2402</v>
      </c>
      <c r="E806" s="54" t="s">
        <v>754</v>
      </c>
    </row>
    <row r="807" spans="1:5" hidden="1">
      <c r="A807" s="54" t="s">
        <v>756</v>
      </c>
      <c r="B807" s="54" t="s">
        <v>2403</v>
      </c>
      <c r="C807" s="54" t="s">
        <v>2404</v>
      </c>
      <c r="D807" s="54" t="s">
        <v>2405</v>
      </c>
      <c r="E807" s="54" t="s">
        <v>754</v>
      </c>
    </row>
    <row r="808" spans="1:5" hidden="1">
      <c r="A808" s="54" t="s">
        <v>756</v>
      </c>
      <c r="B808" s="54" t="s">
        <v>2406</v>
      </c>
      <c r="C808" s="54" t="s">
        <v>2404</v>
      </c>
      <c r="D808" s="54" t="s">
        <v>2407</v>
      </c>
      <c r="E808" s="54" t="s">
        <v>754</v>
      </c>
    </row>
    <row r="809" spans="1:5" hidden="1">
      <c r="A809" s="54" t="s">
        <v>756</v>
      </c>
      <c r="B809" s="54" t="s">
        <v>2408</v>
      </c>
      <c r="C809" s="54" t="s">
        <v>2401</v>
      </c>
      <c r="D809" s="54" t="s">
        <v>2409</v>
      </c>
      <c r="E809" s="54" t="s">
        <v>754</v>
      </c>
    </row>
    <row r="810" spans="1:5" hidden="1">
      <c r="A810" s="54" t="s">
        <v>658</v>
      </c>
      <c r="B810" s="54">
        <v>400292508</v>
      </c>
      <c r="C810" s="54" t="s">
        <v>2410</v>
      </c>
      <c r="D810" s="54" t="s">
        <v>2411</v>
      </c>
      <c r="E810" s="54" t="s">
        <v>656</v>
      </c>
    </row>
    <row r="811" spans="1:5" hidden="1">
      <c r="A811" s="54" t="s">
        <v>658</v>
      </c>
      <c r="B811" s="54">
        <v>405970108</v>
      </c>
      <c r="C811" s="54" t="s">
        <v>2410</v>
      </c>
      <c r="D811" s="54" t="s">
        <v>656</v>
      </c>
      <c r="E811" s="54" t="s">
        <v>1336</v>
      </c>
    </row>
    <row r="812" spans="1:5" hidden="1">
      <c r="A812" s="54" t="s">
        <v>658</v>
      </c>
      <c r="B812" s="54" t="s">
        <v>2412</v>
      </c>
      <c r="C812" s="54" t="s">
        <v>2413</v>
      </c>
      <c r="D812" s="54" t="s">
        <v>2414</v>
      </c>
      <c r="E812" s="54" t="s">
        <v>656</v>
      </c>
    </row>
    <row r="813" spans="1:5" hidden="1">
      <c r="A813" s="54" t="s">
        <v>658</v>
      </c>
      <c r="B813" s="54" t="s">
        <v>2415</v>
      </c>
      <c r="C813" s="54" t="s">
        <v>2413</v>
      </c>
      <c r="D813" s="54" t="s">
        <v>2416</v>
      </c>
      <c r="E813" s="54" t="s">
        <v>656</v>
      </c>
    </row>
    <row r="814" spans="1:5" hidden="1">
      <c r="A814" s="54" t="s">
        <v>634</v>
      </c>
      <c r="B814" s="54">
        <v>400264257</v>
      </c>
      <c r="C814" s="54" t="s">
        <v>2417</v>
      </c>
      <c r="D814" s="54" t="s">
        <v>2418</v>
      </c>
      <c r="E814" s="54" t="s">
        <v>632</v>
      </c>
    </row>
    <row r="815" spans="1:5" hidden="1">
      <c r="A815" s="54" t="s">
        <v>634</v>
      </c>
      <c r="B815" s="54">
        <v>400658342</v>
      </c>
      <c r="C815" s="54" t="s">
        <v>633</v>
      </c>
      <c r="D815" s="54" t="s">
        <v>632</v>
      </c>
      <c r="E815" s="54" t="s">
        <v>1336</v>
      </c>
    </row>
    <row r="816" spans="1:5" hidden="1">
      <c r="A816" s="54" t="s">
        <v>634</v>
      </c>
      <c r="B816" s="54">
        <v>414708033</v>
      </c>
      <c r="C816" s="54" t="s">
        <v>2417</v>
      </c>
      <c r="D816" s="54" t="s">
        <v>2419</v>
      </c>
      <c r="E816" s="54" t="s">
        <v>632</v>
      </c>
    </row>
    <row r="817" spans="1:5" hidden="1">
      <c r="A817" s="54" t="s">
        <v>634</v>
      </c>
      <c r="B817" s="54" t="s">
        <v>2420</v>
      </c>
      <c r="C817" s="54" t="s">
        <v>2421</v>
      </c>
      <c r="D817" s="54" t="s">
        <v>2422</v>
      </c>
      <c r="E817" s="54" t="s">
        <v>632</v>
      </c>
    </row>
    <row r="818" spans="1:5" hidden="1">
      <c r="A818" s="54" t="s">
        <v>634</v>
      </c>
      <c r="B818" s="54" t="s">
        <v>2423</v>
      </c>
      <c r="C818" s="54" t="s">
        <v>2424</v>
      </c>
      <c r="D818" s="54" t="s">
        <v>2425</v>
      </c>
      <c r="E818" s="54" t="s">
        <v>632</v>
      </c>
    </row>
    <row r="819" spans="1:5" hidden="1">
      <c r="A819" s="54" t="s">
        <v>634</v>
      </c>
      <c r="B819" s="54" t="s">
        <v>2426</v>
      </c>
      <c r="C819" s="54" t="s">
        <v>2421</v>
      </c>
      <c r="D819" s="54" t="s">
        <v>2427</v>
      </c>
      <c r="E819" s="54" t="s">
        <v>632</v>
      </c>
    </row>
    <row r="820" spans="1:5" hidden="1">
      <c r="A820" s="54" t="s">
        <v>705</v>
      </c>
      <c r="B820" s="54">
        <v>400265789</v>
      </c>
      <c r="C820" s="54" t="s">
        <v>704</v>
      </c>
      <c r="D820" s="54" t="s">
        <v>2428</v>
      </c>
      <c r="E820" s="54" t="s">
        <v>703</v>
      </c>
    </row>
    <row r="821" spans="1:5" hidden="1">
      <c r="A821" s="54" t="s">
        <v>705</v>
      </c>
      <c r="B821" s="54">
        <v>401468750</v>
      </c>
      <c r="C821" s="54" t="s">
        <v>704</v>
      </c>
      <c r="D821" s="54" t="s">
        <v>703</v>
      </c>
      <c r="E821" s="54" t="s">
        <v>1336</v>
      </c>
    </row>
    <row r="822" spans="1:5" hidden="1">
      <c r="A822" s="54" t="s">
        <v>705</v>
      </c>
      <c r="B822" s="54">
        <v>411160670</v>
      </c>
      <c r="C822" s="54" t="s">
        <v>704</v>
      </c>
      <c r="D822" s="54" t="s">
        <v>2429</v>
      </c>
      <c r="E822" s="54" t="s">
        <v>703</v>
      </c>
    </row>
    <row r="823" spans="1:5" hidden="1">
      <c r="A823" s="54" t="s">
        <v>705</v>
      </c>
      <c r="B823" s="54">
        <v>417221869</v>
      </c>
      <c r="C823" s="54" t="s">
        <v>704</v>
      </c>
      <c r="D823" s="54" t="s">
        <v>2430</v>
      </c>
      <c r="E823" s="54" t="s">
        <v>703</v>
      </c>
    </row>
    <row r="824" spans="1:5" hidden="1">
      <c r="A824" s="54" t="s">
        <v>705</v>
      </c>
      <c r="B824" s="54" t="s">
        <v>2431</v>
      </c>
      <c r="C824" s="54" t="s">
        <v>2432</v>
      </c>
      <c r="D824" s="54" t="s">
        <v>2433</v>
      </c>
      <c r="E824" s="54" t="s">
        <v>703</v>
      </c>
    </row>
    <row r="825" spans="1:5" hidden="1">
      <c r="A825" s="54" t="s">
        <v>705</v>
      </c>
      <c r="B825" s="54" t="s">
        <v>2434</v>
      </c>
      <c r="C825" s="54" t="s">
        <v>2435</v>
      </c>
      <c r="D825" s="54" t="s">
        <v>2436</v>
      </c>
      <c r="E825" s="54" t="s">
        <v>703</v>
      </c>
    </row>
    <row r="826" spans="1:5" hidden="1">
      <c r="A826" s="54" t="s">
        <v>705</v>
      </c>
      <c r="B826" s="54" t="s">
        <v>2437</v>
      </c>
      <c r="C826" s="54" t="s">
        <v>2432</v>
      </c>
      <c r="D826" s="54" t="s">
        <v>2438</v>
      </c>
      <c r="E826" s="54" t="s">
        <v>703</v>
      </c>
    </row>
    <row r="827" spans="1:5" hidden="1">
      <c r="A827" s="54" t="s">
        <v>640</v>
      </c>
      <c r="B827" s="54">
        <v>400249984</v>
      </c>
      <c r="C827" s="54" t="s">
        <v>639</v>
      </c>
      <c r="D827" s="54" t="s">
        <v>2439</v>
      </c>
      <c r="E827" s="54" t="s">
        <v>638</v>
      </c>
    </row>
    <row r="828" spans="1:5" hidden="1">
      <c r="A828" s="54" t="s">
        <v>640</v>
      </c>
      <c r="B828" s="54">
        <v>401007782</v>
      </c>
      <c r="C828" s="54" t="s">
        <v>639</v>
      </c>
      <c r="D828" s="54" t="s">
        <v>638</v>
      </c>
      <c r="E828" s="54" t="s">
        <v>1336</v>
      </c>
    </row>
    <row r="829" spans="1:5" hidden="1">
      <c r="A829" s="54" t="s">
        <v>640</v>
      </c>
      <c r="B829" s="54">
        <v>403808004</v>
      </c>
      <c r="C829" s="54" t="s">
        <v>2440</v>
      </c>
      <c r="D829" s="54" t="s">
        <v>2441</v>
      </c>
      <c r="E829" s="54" t="s">
        <v>638</v>
      </c>
    </row>
    <row r="830" spans="1:5" hidden="1">
      <c r="A830" s="54" t="s">
        <v>640</v>
      </c>
      <c r="B830" s="54" t="s">
        <v>2442</v>
      </c>
      <c r="C830" s="54" t="s">
        <v>2443</v>
      </c>
      <c r="D830" s="54" t="s">
        <v>2444</v>
      </c>
      <c r="E830" s="54" t="s">
        <v>638</v>
      </c>
    </row>
    <row r="831" spans="1:5" hidden="1">
      <c r="A831" s="54" t="s">
        <v>640</v>
      </c>
      <c r="B831" s="54" t="s">
        <v>2445</v>
      </c>
      <c r="C831" s="54" t="s">
        <v>2446</v>
      </c>
      <c r="D831" s="54" t="s">
        <v>2447</v>
      </c>
      <c r="E831" s="54" t="s">
        <v>638</v>
      </c>
    </row>
    <row r="832" spans="1:5" hidden="1">
      <c r="A832" s="54" t="s">
        <v>640</v>
      </c>
      <c r="B832" s="54" t="s">
        <v>2448</v>
      </c>
      <c r="C832" s="54" t="s">
        <v>2443</v>
      </c>
      <c r="D832" s="54" t="s">
        <v>2449</v>
      </c>
      <c r="E832" s="54" t="s">
        <v>638</v>
      </c>
    </row>
    <row r="833" spans="1:5" hidden="1">
      <c r="A833" s="54" t="s">
        <v>607</v>
      </c>
      <c r="B833" s="54">
        <v>400249974</v>
      </c>
      <c r="C833" s="54" t="s">
        <v>606</v>
      </c>
      <c r="D833" s="54" t="s">
        <v>2450</v>
      </c>
      <c r="E833" s="54" t="s">
        <v>605</v>
      </c>
    </row>
    <row r="834" spans="1:5" hidden="1">
      <c r="A834" s="54" t="s">
        <v>607</v>
      </c>
      <c r="B834" s="54">
        <v>400693201</v>
      </c>
      <c r="C834" s="54" t="s">
        <v>606</v>
      </c>
      <c r="D834" s="54" t="s">
        <v>605</v>
      </c>
      <c r="E834" s="54" t="s">
        <v>1336</v>
      </c>
    </row>
    <row r="835" spans="1:5" hidden="1">
      <c r="A835" s="54" t="s">
        <v>607</v>
      </c>
      <c r="B835" s="54">
        <v>411170157</v>
      </c>
      <c r="C835" s="54" t="s">
        <v>606</v>
      </c>
      <c r="D835" s="54" t="s">
        <v>2451</v>
      </c>
      <c r="E835" s="54" t="s">
        <v>605</v>
      </c>
    </row>
    <row r="836" spans="1:5" hidden="1">
      <c r="A836" s="54" t="s">
        <v>607</v>
      </c>
      <c r="B836" s="54" t="s">
        <v>2452</v>
      </c>
      <c r="C836" s="54" t="s">
        <v>2453</v>
      </c>
      <c r="D836" s="54" t="s">
        <v>2454</v>
      </c>
      <c r="E836" s="54" t="s">
        <v>605</v>
      </c>
    </row>
    <row r="837" spans="1:5" hidden="1">
      <c r="A837" s="54" t="s">
        <v>607</v>
      </c>
      <c r="B837" s="54" t="s">
        <v>2455</v>
      </c>
      <c r="C837" s="54" t="s">
        <v>2456</v>
      </c>
      <c r="D837" s="54" t="s">
        <v>2457</v>
      </c>
      <c r="E837" s="54" t="s">
        <v>605</v>
      </c>
    </row>
    <row r="838" spans="1:5" hidden="1">
      <c r="A838" s="54" t="s">
        <v>607</v>
      </c>
      <c r="B838" s="54" t="s">
        <v>2458</v>
      </c>
      <c r="C838" s="54" t="s">
        <v>2459</v>
      </c>
      <c r="D838" s="54" t="s">
        <v>2460</v>
      </c>
      <c r="E838" s="54" t="s">
        <v>605</v>
      </c>
    </row>
    <row r="839" spans="1:5" hidden="1">
      <c r="A839" s="54" t="s">
        <v>607</v>
      </c>
      <c r="B839" s="54" t="s">
        <v>2461</v>
      </c>
      <c r="C839" s="54" t="s">
        <v>2453</v>
      </c>
      <c r="D839" s="54" t="s">
        <v>2462</v>
      </c>
      <c r="E839" s="54" t="s">
        <v>605</v>
      </c>
    </row>
    <row r="840" spans="1:5" hidden="1">
      <c r="A840" s="54" t="s">
        <v>616</v>
      </c>
      <c r="B840" s="54">
        <v>400264060</v>
      </c>
      <c r="C840" s="54" t="s">
        <v>615</v>
      </c>
      <c r="D840" s="54" t="s">
        <v>2463</v>
      </c>
      <c r="E840" s="54" t="s">
        <v>614</v>
      </c>
    </row>
    <row r="841" spans="1:5" hidden="1">
      <c r="A841" s="54" t="s">
        <v>616</v>
      </c>
      <c r="B841" s="54">
        <v>400693203</v>
      </c>
      <c r="C841" s="54" t="s">
        <v>615</v>
      </c>
      <c r="D841" s="54" t="s">
        <v>614</v>
      </c>
      <c r="E841" s="54" t="s">
        <v>1336</v>
      </c>
    </row>
    <row r="842" spans="1:5" hidden="1">
      <c r="A842" s="54" t="s">
        <v>616</v>
      </c>
      <c r="B842" s="54" t="s">
        <v>2464</v>
      </c>
      <c r="C842" s="54" t="s">
        <v>2465</v>
      </c>
      <c r="D842" s="54" t="s">
        <v>2466</v>
      </c>
      <c r="E842" s="54" t="s">
        <v>614</v>
      </c>
    </row>
    <row r="843" spans="1:5" hidden="1">
      <c r="A843" s="54" t="s">
        <v>616</v>
      </c>
      <c r="B843" s="54" t="s">
        <v>2467</v>
      </c>
      <c r="C843" s="54" t="s">
        <v>2468</v>
      </c>
      <c r="D843" s="54" t="s">
        <v>2469</v>
      </c>
      <c r="E843" s="54" t="s">
        <v>614</v>
      </c>
    </row>
    <row r="844" spans="1:5" hidden="1">
      <c r="A844" s="54" t="s">
        <v>616</v>
      </c>
      <c r="B844" s="54" t="s">
        <v>2470</v>
      </c>
      <c r="C844" s="54" t="s">
        <v>2465</v>
      </c>
      <c r="D844" s="54" t="s">
        <v>2471</v>
      </c>
      <c r="E844" s="54" t="s">
        <v>614</v>
      </c>
    </row>
    <row r="845" spans="1:5" hidden="1">
      <c r="A845" s="54" t="s">
        <v>637</v>
      </c>
      <c r="B845" s="54">
        <v>400264264</v>
      </c>
      <c r="C845" s="54" t="s">
        <v>636</v>
      </c>
      <c r="D845" s="54" t="s">
        <v>2472</v>
      </c>
      <c r="E845" s="54" t="s">
        <v>635</v>
      </c>
    </row>
    <row r="846" spans="1:5" hidden="1">
      <c r="A846" s="54" t="s">
        <v>637</v>
      </c>
      <c r="B846" s="54">
        <v>401225493</v>
      </c>
      <c r="C846" s="54" t="s">
        <v>636</v>
      </c>
      <c r="D846" s="54" t="s">
        <v>635</v>
      </c>
      <c r="E846" s="54" t="s">
        <v>1336</v>
      </c>
    </row>
    <row r="847" spans="1:5" hidden="1">
      <c r="A847" s="54" t="s">
        <v>637</v>
      </c>
      <c r="B847" s="54">
        <v>411170204</v>
      </c>
      <c r="C847" s="54" t="s">
        <v>636</v>
      </c>
      <c r="D847" s="54" t="s">
        <v>2473</v>
      </c>
      <c r="E847" s="54" t="s">
        <v>635</v>
      </c>
    </row>
    <row r="848" spans="1:5" hidden="1">
      <c r="A848" s="54" t="s">
        <v>637</v>
      </c>
      <c r="B848" s="54" t="s">
        <v>2474</v>
      </c>
      <c r="C848" s="54" t="s">
        <v>2475</v>
      </c>
      <c r="D848" s="54" t="s">
        <v>2476</v>
      </c>
      <c r="E848" s="54" t="s">
        <v>635</v>
      </c>
    </row>
    <row r="849" spans="1:5" hidden="1">
      <c r="A849" s="54" t="s">
        <v>637</v>
      </c>
      <c r="B849" s="54" t="s">
        <v>2477</v>
      </c>
      <c r="C849" s="54" t="s">
        <v>2478</v>
      </c>
      <c r="D849" s="54" t="s">
        <v>2479</v>
      </c>
      <c r="E849" s="54" t="s">
        <v>635</v>
      </c>
    </row>
    <row r="850" spans="1:5" hidden="1">
      <c r="A850" s="54" t="s">
        <v>637</v>
      </c>
      <c r="B850" s="54" t="s">
        <v>2480</v>
      </c>
      <c r="C850" s="54" t="s">
        <v>2475</v>
      </c>
      <c r="D850" s="54" t="s">
        <v>2481</v>
      </c>
      <c r="E850" s="54" t="s">
        <v>635</v>
      </c>
    </row>
    <row r="851" spans="1:5" hidden="1">
      <c r="A851" s="54" t="s">
        <v>664</v>
      </c>
      <c r="B851" s="54">
        <v>400265714</v>
      </c>
      <c r="C851" s="54" t="s">
        <v>663</v>
      </c>
      <c r="D851" s="54" t="s">
        <v>2482</v>
      </c>
      <c r="E851" s="54" t="s">
        <v>662</v>
      </c>
    </row>
    <row r="852" spans="1:5" hidden="1">
      <c r="A852" s="54" t="s">
        <v>664</v>
      </c>
      <c r="B852" s="54">
        <v>401382480</v>
      </c>
      <c r="C852" s="54" t="s">
        <v>663</v>
      </c>
      <c r="D852" s="54" t="s">
        <v>662</v>
      </c>
      <c r="E852" s="54" t="s">
        <v>1336</v>
      </c>
    </row>
    <row r="853" spans="1:5" hidden="1">
      <c r="A853" s="54" t="s">
        <v>664</v>
      </c>
      <c r="B853" s="54">
        <v>411170267</v>
      </c>
      <c r="C853" s="54" t="s">
        <v>663</v>
      </c>
      <c r="D853" s="54" t="s">
        <v>2483</v>
      </c>
      <c r="E853" s="54" t="s">
        <v>662</v>
      </c>
    </row>
    <row r="854" spans="1:5" hidden="1">
      <c r="A854" s="54" t="s">
        <v>664</v>
      </c>
      <c r="B854" s="54" t="s">
        <v>2484</v>
      </c>
      <c r="C854" s="54" t="s">
        <v>2485</v>
      </c>
      <c r="D854" s="54" t="s">
        <v>2486</v>
      </c>
      <c r="E854" s="54" t="s">
        <v>662</v>
      </c>
    </row>
    <row r="855" spans="1:5" hidden="1">
      <c r="A855" s="54" t="s">
        <v>664</v>
      </c>
      <c r="B855" s="54" t="s">
        <v>2487</v>
      </c>
      <c r="C855" s="54" t="s">
        <v>2485</v>
      </c>
      <c r="D855" s="54" t="s">
        <v>2488</v>
      </c>
      <c r="E855" s="54" t="s">
        <v>662</v>
      </c>
    </row>
    <row r="856" spans="1:5" hidden="1">
      <c r="A856" s="54" t="s">
        <v>664</v>
      </c>
      <c r="B856" s="54" t="s">
        <v>2489</v>
      </c>
      <c r="C856" s="54" t="s">
        <v>2490</v>
      </c>
      <c r="D856" s="54" t="s">
        <v>2491</v>
      </c>
      <c r="E856" s="54" t="s">
        <v>662</v>
      </c>
    </row>
    <row r="857" spans="1:5" hidden="1">
      <c r="A857" s="54" t="s">
        <v>619</v>
      </c>
      <c r="B857" s="54">
        <v>400264202</v>
      </c>
      <c r="C857" s="54" t="s">
        <v>618</v>
      </c>
      <c r="D857" s="54" t="s">
        <v>2492</v>
      </c>
      <c r="E857" s="54" t="s">
        <v>617</v>
      </c>
    </row>
    <row r="858" spans="1:5" hidden="1">
      <c r="A858" s="54" t="s">
        <v>619</v>
      </c>
      <c r="B858" s="54">
        <v>400931576</v>
      </c>
      <c r="C858" s="54" t="s">
        <v>618</v>
      </c>
      <c r="D858" s="54" t="s">
        <v>617</v>
      </c>
      <c r="E858" s="54" t="s">
        <v>1336</v>
      </c>
    </row>
    <row r="859" spans="1:5" hidden="1">
      <c r="A859" s="54" t="s">
        <v>619</v>
      </c>
      <c r="B859" s="54">
        <v>411170191</v>
      </c>
      <c r="C859" s="54" t="s">
        <v>618</v>
      </c>
      <c r="D859" s="54" t="s">
        <v>2493</v>
      </c>
      <c r="E859" s="54" t="s">
        <v>617</v>
      </c>
    </row>
    <row r="860" spans="1:5" hidden="1">
      <c r="A860" s="54" t="s">
        <v>619</v>
      </c>
      <c r="B860" s="54" t="s">
        <v>2494</v>
      </c>
      <c r="C860" s="54" t="s">
        <v>618</v>
      </c>
      <c r="D860" s="54" t="s">
        <v>2495</v>
      </c>
      <c r="E860" s="54" t="s">
        <v>617</v>
      </c>
    </row>
    <row r="861" spans="1:5" hidden="1">
      <c r="A861" s="54" t="s">
        <v>619</v>
      </c>
      <c r="B861" s="54" t="s">
        <v>2496</v>
      </c>
      <c r="C861" s="54" t="s">
        <v>2497</v>
      </c>
      <c r="D861" s="54" t="s">
        <v>2498</v>
      </c>
      <c r="E861" s="54" t="s">
        <v>617</v>
      </c>
    </row>
    <row r="862" spans="1:5" hidden="1">
      <c r="A862" s="54" t="s">
        <v>619</v>
      </c>
      <c r="B862" s="54" t="s">
        <v>2499</v>
      </c>
      <c r="C862" s="54" t="s">
        <v>2500</v>
      </c>
      <c r="D862" s="54" t="s">
        <v>2501</v>
      </c>
      <c r="E862" s="54" t="s">
        <v>617</v>
      </c>
    </row>
    <row r="863" spans="1:5" hidden="1">
      <c r="A863" s="54" t="s">
        <v>619</v>
      </c>
      <c r="B863" s="54" t="s">
        <v>2502</v>
      </c>
      <c r="C863" s="54" t="s">
        <v>2503</v>
      </c>
      <c r="D863" s="54" t="s">
        <v>2504</v>
      </c>
      <c r="E863" s="54" t="s">
        <v>617</v>
      </c>
    </row>
    <row r="864" spans="1:5" hidden="1">
      <c r="A864" s="54" t="s">
        <v>719</v>
      </c>
      <c r="B864" s="54">
        <v>400273433</v>
      </c>
      <c r="C864" s="54" t="s">
        <v>2505</v>
      </c>
      <c r="D864" s="54" t="s">
        <v>2506</v>
      </c>
      <c r="E864" s="54" t="s">
        <v>717</v>
      </c>
    </row>
    <row r="865" spans="1:5" hidden="1">
      <c r="A865" s="54" t="s">
        <v>719</v>
      </c>
      <c r="B865" s="54">
        <v>408369100</v>
      </c>
      <c r="C865" s="54" t="s">
        <v>2505</v>
      </c>
      <c r="D865" s="54" t="s">
        <v>717</v>
      </c>
      <c r="E865" s="54" t="s">
        <v>1336</v>
      </c>
    </row>
    <row r="866" spans="1:5" hidden="1">
      <c r="A866" s="54" t="s">
        <v>719</v>
      </c>
      <c r="B866" s="54" t="s">
        <v>2507</v>
      </c>
      <c r="C866" s="54" t="s">
        <v>2508</v>
      </c>
      <c r="D866" s="54" t="s">
        <v>2509</v>
      </c>
      <c r="E866" s="54" t="s">
        <v>717</v>
      </c>
    </row>
    <row r="867" spans="1:5" hidden="1">
      <c r="A867" s="54" t="s">
        <v>719</v>
      </c>
      <c r="B867" s="54" t="s">
        <v>2510</v>
      </c>
      <c r="C867" s="54" t="s">
        <v>2508</v>
      </c>
      <c r="D867" s="54" t="s">
        <v>2511</v>
      </c>
      <c r="E867" s="54" t="s">
        <v>717</v>
      </c>
    </row>
    <row r="868" spans="1:5" hidden="1">
      <c r="A868" s="54" t="s">
        <v>631</v>
      </c>
      <c r="B868" s="54">
        <v>400264229</v>
      </c>
      <c r="C868" s="54" t="s">
        <v>2512</v>
      </c>
      <c r="D868" s="54" t="s">
        <v>2513</v>
      </c>
      <c r="E868" s="54" t="s">
        <v>629</v>
      </c>
    </row>
    <row r="869" spans="1:5" hidden="1">
      <c r="A869" s="54" t="s">
        <v>631</v>
      </c>
      <c r="B869" s="54">
        <v>401382479</v>
      </c>
      <c r="C869" s="54" t="s">
        <v>2512</v>
      </c>
      <c r="D869" s="54" t="s">
        <v>629</v>
      </c>
      <c r="E869" s="54" t="s">
        <v>1336</v>
      </c>
    </row>
    <row r="870" spans="1:5" hidden="1">
      <c r="A870" s="54" t="s">
        <v>631</v>
      </c>
      <c r="B870" s="54" t="s">
        <v>2514</v>
      </c>
      <c r="C870" s="54" t="s">
        <v>2515</v>
      </c>
      <c r="D870" s="54" t="s">
        <v>2516</v>
      </c>
      <c r="E870" s="54" t="s">
        <v>629</v>
      </c>
    </row>
    <row r="871" spans="1:5" hidden="1">
      <c r="A871" s="54" t="s">
        <v>631</v>
      </c>
      <c r="B871" s="54" t="s">
        <v>2517</v>
      </c>
      <c r="C871" s="54" t="s">
        <v>2518</v>
      </c>
      <c r="D871" s="54" t="s">
        <v>2519</v>
      </c>
      <c r="E871" s="54" t="s">
        <v>629</v>
      </c>
    </row>
    <row r="872" spans="1:5" hidden="1">
      <c r="A872" s="54" t="s">
        <v>563</v>
      </c>
      <c r="B872" s="54">
        <v>400271572</v>
      </c>
      <c r="C872" s="54" t="s">
        <v>2520</v>
      </c>
      <c r="D872" s="54" t="s">
        <v>2521</v>
      </c>
      <c r="E872" s="54" t="s">
        <v>561</v>
      </c>
    </row>
    <row r="873" spans="1:5" hidden="1">
      <c r="A873" s="54" t="s">
        <v>563</v>
      </c>
      <c r="B873" s="54">
        <v>401308900</v>
      </c>
      <c r="C873" s="54" t="s">
        <v>2522</v>
      </c>
      <c r="D873" s="54" t="s">
        <v>561</v>
      </c>
      <c r="E873" s="54" t="s">
        <v>1336</v>
      </c>
    </row>
    <row r="874" spans="1:5" hidden="1">
      <c r="A874" s="54" t="s">
        <v>563</v>
      </c>
      <c r="B874" s="54">
        <v>411170081</v>
      </c>
      <c r="C874" s="54" t="s">
        <v>2520</v>
      </c>
      <c r="D874" s="54" t="s">
        <v>2523</v>
      </c>
      <c r="E874" s="54" t="s">
        <v>561</v>
      </c>
    </row>
    <row r="875" spans="1:5" hidden="1">
      <c r="A875" s="54" t="s">
        <v>563</v>
      </c>
      <c r="B875" s="54" t="s">
        <v>2524</v>
      </c>
      <c r="C875" s="54" t="s">
        <v>2525</v>
      </c>
      <c r="D875" s="54" t="s">
        <v>2526</v>
      </c>
      <c r="E875" s="54" t="s">
        <v>561</v>
      </c>
    </row>
    <row r="876" spans="1:5" hidden="1">
      <c r="A876" s="54" t="s">
        <v>625</v>
      </c>
      <c r="B876" s="54">
        <v>400371666</v>
      </c>
      <c r="C876" s="54" t="s">
        <v>2527</v>
      </c>
      <c r="D876" s="54" t="s">
        <v>2528</v>
      </c>
      <c r="E876" s="54" t="s">
        <v>623</v>
      </c>
    </row>
    <row r="877" spans="1:5" hidden="1">
      <c r="A877" s="54" t="s">
        <v>625</v>
      </c>
      <c r="B877" s="54">
        <v>402515066</v>
      </c>
      <c r="C877" s="54" t="s">
        <v>2527</v>
      </c>
      <c r="D877" s="54" t="s">
        <v>623</v>
      </c>
      <c r="E877" s="54" t="s">
        <v>1336</v>
      </c>
    </row>
    <row r="878" spans="1:5" hidden="1">
      <c r="A878" s="54" t="s">
        <v>625</v>
      </c>
      <c r="B878" s="54" t="s">
        <v>2529</v>
      </c>
      <c r="C878" s="54" t="s">
        <v>2530</v>
      </c>
      <c r="D878" s="54" t="s">
        <v>2531</v>
      </c>
      <c r="E878" s="54" t="s">
        <v>623</v>
      </c>
    </row>
    <row r="879" spans="1:5" hidden="1">
      <c r="A879" s="54" t="s">
        <v>625</v>
      </c>
      <c r="B879" s="54" t="s">
        <v>2532</v>
      </c>
      <c r="C879" s="54" t="s">
        <v>2533</v>
      </c>
      <c r="D879" s="54" t="s">
        <v>2534</v>
      </c>
      <c r="E879" s="54" t="s">
        <v>623</v>
      </c>
    </row>
    <row r="880" spans="1:5" hidden="1">
      <c r="A880" s="54" t="s">
        <v>554</v>
      </c>
      <c r="B880" s="54">
        <v>400249781</v>
      </c>
      <c r="C880" s="54" t="s">
        <v>2535</v>
      </c>
      <c r="D880" s="54" t="s">
        <v>2536</v>
      </c>
      <c r="E880" s="54" t="s">
        <v>552</v>
      </c>
    </row>
    <row r="881" spans="1:5" hidden="1">
      <c r="A881" s="54" t="s">
        <v>554</v>
      </c>
      <c r="B881" s="54">
        <v>400656760</v>
      </c>
      <c r="C881" s="54" t="s">
        <v>553</v>
      </c>
      <c r="D881" s="54" t="s">
        <v>552</v>
      </c>
      <c r="E881" s="54" t="s">
        <v>1336</v>
      </c>
    </row>
    <row r="882" spans="1:5" hidden="1">
      <c r="A882" s="54" t="s">
        <v>554</v>
      </c>
      <c r="B882" s="54">
        <v>411170066</v>
      </c>
      <c r="C882" s="54" t="s">
        <v>2535</v>
      </c>
      <c r="D882" s="54" t="s">
        <v>2537</v>
      </c>
      <c r="E882" s="54" t="s">
        <v>552</v>
      </c>
    </row>
    <row r="883" spans="1:5" hidden="1">
      <c r="A883" s="54" t="s">
        <v>554</v>
      </c>
      <c r="B883" s="54" t="s">
        <v>2538</v>
      </c>
      <c r="C883" s="54" t="s">
        <v>2539</v>
      </c>
      <c r="D883" s="54" t="s">
        <v>2540</v>
      </c>
      <c r="E883" s="54" t="s">
        <v>552</v>
      </c>
    </row>
    <row r="884" spans="1:5" hidden="1">
      <c r="A884" s="54" t="s">
        <v>554</v>
      </c>
      <c r="B884" s="54" t="s">
        <v>2541</v>
      </c>
      <c r="C884" s="54" t="s">
        <v>2535</v>
      </c>
      <c r="D884" s="54" t="s">
        <v>2542</v>
      </c>
      <c r="E884" s="54" t="s">
        <v>552</v>
      </c>
    </row>
    <row r="885" spans="1:5" hidden="1">
      <c r="A885" s="54" t="s">
        <v>554</v>
      </c>
      <c r="B885" s="54" t="s">
        <v>2543</v>
      </c>
      <c r="C885" s="54" t="s">
        <v>2544</v>
      </c>
      <c r="D885" s="54" t="s">
        <v>2545</v>
      </c>
      <c r="E885" s="54" t="s">
        <v>552</v>
      </c>
    </row>
    <row r="886" spans="1:5" hidden="1">
      <c r="A886" s="54" t="s">
        <v>628</v>
      </c>
      <c r="B886" s="54">
        <v>400386911</v>
      </c>
      <c r="C886" s="54" t="s">
        <v>627</v>
      </c>
      <c r="D886" s="54" t="s">
        <v>2546</v>
      </c>
      <c r="E886" s="54" t="s">
        <v>626</v>
      </c>
    </row>
    <row r="887" spans="1:5" hidden="1">
      <c r="A887" s="54" t="s">
        <v>628</v>
      </c>
      <c r="B887" s="54">
        <v>411170195</v>
      </c>
      <c r="C887" s="54" t="s">
        <v>627</v>
      </c>
      <c r="D887" s="54" t="s">
        <v>2547</v>
      </c>
      <c r="E887" s="54" t="s">
        <v>626</v>
      </c>
    </row>
    <row r="888" spans="1:5" hidden="1">
      <c r="A888" s="54" t="s">
        <v>628</v>
      </c>
      <c r="B888" s="54">
        <v>414258417</v>
      </c>
      <c r="C888" s="54" t="s">
        <v>627</v>
      </c>
      <c r="D888" s="54" t="s">
        <v>626</v>
      </c>
      <c r="E888" s="54" t="s">
        <v>1336</v>
      </c>
    </row>
    <row r="889" spans="1:5" hidden="1">
      <c r="A889" s="54" t="s">
        <v>628</v>
      </c>
      <c r="B889" s="54" t="s">
        <v>2548</v>
      </c>
      <c r="C889" s="54" t="s">
        <v>2549</v>
      </c>
      <c r="D889" s="54" t="s">
        <v>2550</v>
      </c>
      <c r="E889" s="54" t="s">
        <v>626</v>
      </c>
    </row>
    <row r="890" spans="1:5" hidden="1">
      <c r="A890" s="54" t="s">
        <v>742</v>
      </c>
      <c r="B890" s="54">
        <v>400272380</v>
      </c>
      <c r="C890" s="54" t="s">
        <v>741</v>
      </c>
      <c r="D890" s="54" t="s">
        <v>2551</v>
      </c>
      <c r="E890" s="54" t="s">
        <v>740</v>
      </c>
    </row>
    <row r="891" spans="1:5" hidden="1">
      <c r="A891" s="54" t="s">
        <v>742</v>
      </c>
      <c r="B891" s="54">
        <v>401220833</v>
      </c>
      <c r="C891" s="54" t="s">
        <v>741</v>
      </c>
      <c r="D891" s="54" t="s">
        <v>740</v>
      </c>
      <c r="E891" s="54" t="s">
        <v>1336</v>
      </c>
    </row>
    <row r="892" spans="1:5" hidden="1">
      <c r="A892" s="54" t="s">
        <v>742</v>
      </c>
      <c r="B892" s="54">
        <v>411160648</v>
      </c>
      <c r="C892" s="54" t="s">
        <v>741</v>
      </c>
      <c r="D892" s="54" t="s">
        <v>2552</v>
      </c>
      <c r="E892" s="54" t="s">
        <v>740</v>
      </c>
    </row>
    <row r="893" spans="1:5" hidden="1">
      <c r="A893" s="54" t="s">
        <v>742</v>
      </c>
      <c r="B893" s="54" t="s">
        <v>2553</v>
      </c>
      <c r="C893" s="54" t="s">
        <v>2554</v>
      </c>
      <c r="D893" s="54" t="s">
        <v>2555</v>
      </c>
      <c r="E893" s="54" t="s">
        <v>740</v>
      </c>
    </row>
    <row r="894" spans="1:5" hidden="1">
      <c r="A894" s="54" t="s">
        <v>540</v>
      </c>
      <c r="B894" s="54">
        <v>400270178</v>
      </c>
      <c r="C894" s="54" t="s">
        <v>2556</v>
      </c>
      <c r="D894" s="54" t="s">
        <v>2557</v>
      </c>
      <c r="E894" s="54" t="s">
        <v>538</v>
      </c>
    </row>
    <row r="895" spans="1:5" hidden="1">
      <c r="A895" s="54" t="s">
        <v>540</v>
      </c>
      <c r="B895" s="54">
        <v>400656757</v>
      </c>
      <c r="C895" s="54" t="s">
        <v>539</v>
      </c>
      <c r="D895" s="54" t="s">
        <v>538</v>
      </c>
      <c r="E895" s="54" t="s">
        <v>1336</v>
      </c>
    </row>
    <row r="896" spans="1:5" hidden="1">
      <c r="A896" s="54" t="s">
        <v>540</v>
      </c>
      <c r="B896" s="54">
        <v>411170048</v>
      </c>
      <c r="C896" s="54" t="s">
        <v>2556</v>
      </c>
      <c r="D896" s="54" t="s">
        <v>2558</v>
      </c>
      <c r="E896" s="54" t="s">
        <v>538</v>
      </c>
    </row>
    <row r="897" spans="1:5" hidden="1">
      <c r="A897" s="54" t="s">
        <v>540</v>
      </c>
      <c r="B897" s="54">
        <v>414865979</v>
      </c>
      <c r="C897" s="54" t="s">
        <v>2559</v>
      </c>
      <c r="D897" s="54" t="s">
        <v>2560</v>
      </c>
      <c r="E897" s="54" t="s">
        <v>538</v>
      </c>
    </row>
    <row r="898" spans="1:5" hidden="1">
      <c r="A898" s="54" t="s">
        <v>540</v>
      </c>
      <c r="B898" s="54" t="s">
        <v>2561</v>
      </c>
      <c r="C898" s="54" t="s">
        <v>2562</v>
      </c>
      <c r="D898" s="54" t="s">
        <v>2563</v>
      </c>
      <c r="E898" s="54" t="s">
        <v>538</v>
      </c>
    </row>
    <row r="899" spans="1:5" hidden="1">
      <c r="A899" s="54" t="s">
        <v>537</v>
      </c>
      <c r="B899" s="54">
        <v>400249778</v>
      </c>
      <c r="C899" s="54" t="s">
        <v>2564</v>
      </c>
      <c r="D899" s="54" t="s">
        <v>2565</v>
      </c>
      <c r="E899" s="54" t="s">
        <v>535</v>
      </c>
    </row>
    <row r="900" spans="1:5" hidden="1">
      <c r="A900" s="54" t="s">
        <v>537</v>
      </c>
      <c r="B900" s="54">
        <v>400656755</v>
      </c>
      <c r="C900" s="54" t="s">
        <v>536</v>
      </c>
      <c r="D900" s="54" t="s">
        <v>535</v>
      </c>
      <c r="E900" s="54" t="s">
        <v>1336</v>
      </c>
    </row>
    <row r="901" spans="1:5" hidden="1">
      <c r="A901" s="54" t="s">
        <v>537</v>
      </c>
      <c r="B901" s="54">
        <v>411170047</v>
      </c>
      <c r="C901" s="54" t="s">
        <v>536</v>
      </c>
      <c r="D901" s="54" t="s">
        <v>2566</v>
      </c>
      <c r="E901" s="54" t="s">
        <v>535</v>
      </c>
    </row>
    <row r="902" spans="1:5" hidden="1">
      <c r="A902" s="54" t="s">
        <v>537</v>
      </c>
      <c r="B902" s="54" t="s">
        <v>2567</v>
      </c>
      <c r="C902" s="54" t="s">
        <v>2568</v>
      </c>
      <c r="D902" s="54" t="s">
        <v>2569</v>
      </c>
      <c r="E902" s="54" t="s">
        <v>535</v>
      </c>
    </row>
    <row r="903" spans="1:5" hidden="1">
      <c r="A903" s="54" t="s">
        <v>537</v>
      </c>
      <c r="B903" s="54" t="s">
        <v>2570</v>
      </c>
      <c r="C903" s="54" t="s">
        <v>2571</v>
      </c>
      <c r="D903" s="54" t="s">
        <v>2572</v>
      </c>
      <c r="E903" s="54" t="s">
        <v>535</v>
      </c>
    </row>
    <row r="904" spans="1:5" hidden="1">
      <c r="A904" s="54" t="s">
        <v>537</v>
      </c>
      <c r="B904" s="54" t="s">
        <v>2573</v>
      </c>
      <c r="C904" s="54" t="s">
        <v>2571</v>
      </c>
      <c r="D904" s="54" t="s">
        <v>2574</v>
      </c>
      <c r="E904" s="54" t="s">
        <v>535</v>
      </c>
    </row>
    <row r="905" spans="1:5" hidden="1">
      <c r="A905" s="54" t="s">
        <v>537</v>
      </c>
      <c r="B905" s="54" t="s">
        <v>2575</v>
      </c>
      <c r="C905" s="54" t="s">
        <v>2571</v>
      </c>
      <c r="D905" s="54" t="s">
        <v>2576</v>
      </c>
      <c r="E905" s="54" t="s">
        <v>535</v>
      </c>
    </row>
    <row r="906" spans="1:5" hidden="1">
      <c r="A906" s="54" t="s">
        <v>114</v>
      </c>
      <c r="B906" s="54">
        <v>400062976</v>
      </c>
      <c r="C906" s="54" t="s">
        <v>2577</v>
      </c>
      <c r="D906" s="54" t="s">
        <v>2578</v>
      </c>
      <c r="E906" s="54" t="s">
        <v>2579</v>
      </c>
    </row>
    <row r="907" spans="1:5" hidden="1">
      <c r="A907" s="54" t="s">
        <v>114</v>
      </c>
      <c r="B907" s="54">
        <v>400810453</v>
      </c>
      <c r="C907" s="54" t="s">
        <v>2577</v>
      </c>
      <c r="D907" s="54" t="s">
        <v>2580</v>
      </c>
      <c r="E907" s="54" t="s">
        <v>2579</v>
      </c>
    </row>
    <row r="908" spans="1:5" hidden="1">
      <c r="A908" s="54" t="s">
        <v>114</v>
      </c>
      <c r="B908" s="54">
        <v>411063838</v>
      </c>
      <c r="C908" s="54" t="s">
        <v>2581</v>
      </c>
      <c r="D908" s="54" t="s">
        <v>2579</v>
      </c>
      <c r="E908" s="54" t="s">
        <v>1336</v>
      </c>
    </row>
    <row r="909" spans="1:5" hidden="1">
      <c r="A909" s="54" t="s">
        <v>114</v>
      </c>
      <c r="B909" s="54">
        <v>424270751</v>
      </c>
      <c r="C909" s="54" t="s">
        <v>2577</v>
      </c>
      <c r="D909" s="54" t="s">
        <v>112</v>
      </c>
      <c r="E909" s="54" t="s">
        <v>2579</v>
      </c>
    </row>
    <row r="910" spans="1:5" hidden="1">
      <c r="A910" s="54" t="s">
        <v>114</v>
      </c>
      <c r="B910" s="54" t="s">
        <v>2582</v>
      </c>
      <c r="C910" s="54" t="s">
        <v>2583</v>
      </c>
      <c r="D910" s="54" t="s">
        <v>2584</v>
      </c>
      <c r="E910" s="54" t="s">
        <v>2579</v>
      </c>
    </row>
    <row r="911" spans="1:5" hidden="1">
      <c r="A911" s="54" t="s">
        <v>114</v>
      </c>
      <c r="B911" s="54" t="s">
        <v>2585</v>
      </c>
      <c r="C911" s="54" t="s">
        <v>2583</v>
      </c>
      <c r="D911" s="54" t="s">
        <v>2586</v>
      </c>
      <c r="E911" s="54" t="s">
        <v>2579</v>
      </c>
    </row>
    <row r="912" spans="1:5" hidden="1">
      <c r="A912" s="54" t="s">
        <v>430</v>
      </c>
      <c r="B912" s="54">
        <v>400085196</v>
      </c>
      <c r="C912" s="54" t="s">
        <v>2587</v>
      </c>
      <c r="D912" s="54" t="s">
        <v>2588</v>
      </c>
      <c r="E912" s="54" t="s">
        <v>428</v>
      </c>
    </row>
    <row r="913" spans="1:5" hidden="1">
      <c r="A913" s="54" t="s">
        <v>430</v>
      </c>
      <c r="B913" s="54">
        <v>400302891</v>
      </c>
      <c r="C913" s="54" t="s">
        <v>2587</v>
      </c>
      <c r="D913" s="54" t="s">
        <v>2589</v>
      </c>
      <c r="E913" s="54" t="s">
        <v>428</v>
      </c>
    </row>
    <row r="914" spans="1:5" hidden="1">
      <c r="A914" s="54" t="s">
        <v>430</v>
      </c>
      <c r="B914" s="54">
        <v>400539543</v>
      </c>
      <c r="C914" s="54" t="s">
        <v>2587</v>
      </c>
      <c r="D914" s="54" t="s">
        <v>2590</v>
      </c>
      <c r="E914" s="54" t="s">
        <v>428</v>
      </c>
    </row>
    <row r="915" spans="1:5" hidden="1">
      <c r="A915" s="54" t="s">
        <v>430</v>
      </c>
      <c r="B915" s="54">
        <v>400713753</v>
      </c>
      <c r="C915" s="54" t="s">
        <v>429</v>
      </c>
      <c r="D915" s="54" t="s">
        <v>428</v>
      </c>
      <c r="E915" s="54" t="s">
        <v>1336</v>
      </c>
    </row>
    <row r="916" spans="1:5" hidden="1">
      <c r="A916" s="54" t="s">
        <v>430</v>
      </c>
      <c r="B916" s="54">
        <v>400824957</v>
      </c>
      <c r="C916" s="54" t="s">
        <v>2587</v>
      </c>
      <c r="D916" s="54" t="s">
        <v>2591</v>
      </c>
      <c r="E916" s="54" t="s">
        <v>428</v>
      </c>
    </row>
    <row r="917" spans="1:5" hidden="1">
      <c r="A917" s="54" t="s">
        <v>430</v>
      </c>
      <c r="B917" s="54">
        <v>417103908</v>
      </c>
      <c r="C917" s="54" t="s">
        <v>429</v>
      </c>
      <c r="D917" s="54" t="s">
        <v>2592</v>
      </c>
      <c r="E917" s="54" t="s">
        <v>428</v>
      </c>
    </row>
    <row r="918" spans="1:5" hidden="1">
      <c r="A918" s="54" t="s">
        <v>430</v>
      </c>
      <c r="B918" s="54">
        <v>417350119</v>
      </c>
      <c r="C918" s="54" t="s">
        <v>429</v>
      </c>
      <c r="D918" s="54" t="s">
        <v>2593</v>
      </c>
      <c r="E918" s="54" t="s">
        <v>428</v>
      </c>
    </row>
    <row r="919" spans="1:5" hidden="1">
      <c r="A919" s="54" t="s">
        <v>430</v>
      </c>
      <c r="B919" s="54">
        <v>417350139</v>
      </c>
      <c r="C919" s="54" t="s">
        <v>429</v>
      </c>
      <c r="D919" s="54" t="s">
        <v>2594</v>
      </c>
      <c r="E919" s="54" t="s">
        <v>428</v>
      </c>
    </row>
    <row r="920" spans="1:5" hidden="1">
      <c r="A920" s="54" t="s">
        <v>430</v>
      </c>
      <c r="B920" s="54" t="s">
        <v>2595</v>
      </c>
      <c r="C920" s="54" t="s">
        <v>2596</v>
      </c>
      <c r="D920" s="54" t="s">
        <v>2597</v>
      </c>
      <c r="E920" s="54" t="s">
        <v>428</v>
      </c>
    </row>
    <row r="921" spans="1:5" hidden="1">
      <c r="A921" s="54" t="s">
        <v>430</v>
      </c>
      <c r="B921" s="54" t="s">
        <v>2598</v>
      </c>
      <c r="C921" s="54" t="s">
        <v>2596</v>
      </c>
      <c r="D921" s="54" t="s">
        <v>2599</v>
      </c>
      <c r="E921" s="54" t="s">
        <v>428</v>
      </c>
    </row>
    <row r="922" spans="1:5" hidden="1">
      <c r="A922" s="54" t="s">
        <v>543</v>
      </c>
      <c r="B922" s="54">
        <v>400302788</v>
      </c>
      <c r="C922" s="54" t="s">
        <v>542</v>
      </c>
      <c r="D922" s="54" t="s">
        <v>2600</v>
      </c>
      <c r="E922" s="54" t="s">
        <v>541</v>
      </c>
    </row>
    <row r="923" spans="1:5" hidden="1">
      <c r="A923" s="54" t="s">
        <v>543</v>
      </c>
      <c r="B923" s="54">
        <v>400539556</v>
      </c>
      <c r="C923" s="54" t="s">
        <v>542</v>
      </c>
      <c r="D923" s="54" t="s">
        <v>2601</v>
      </c>
      <c r="E923" s="54" t="s">
        <v>541</v>
      </c>
    </row>
    <row r="924" spans="1:5" hidden="1">
      <c r="A924" s="54" t="s">
        <v>543</v>
      </c>
      <c r="B924" s="54">
        <v>400612812</v>
      </c>
      <c r="C924" s="54" t="s">
        <v>542</v>
      </c>
      <c r="D924" s="54" t="s">
        <v>2602</v>
      </c>
      <c r="E924" s="54" t="s">
        <v>541</v>
      </c>
    </row>
    <row r="925" spans="1:5" hidden="1">
      <c r="A925" s="54" t="s">
        <v>543</v>
      </c>
      <c r="B925" s="54">
        <v>400734588</v>
      </c>
      <c r="C925" s="54" t="s">
        <v>542</v>
      </c>
      <c r="D925" s="54" t="s">
        <v>2603</v>
      </c>
      <c r="E925" s="54" t="s">
        <v>541</v>
      </c>
    </row>
    <row r="926" spans="1:5" hidden="1">
      <c r="A926" s="54" t="s">
        <v>543</v>
      </c>
      <c r="B926" s="54">
        <v>412788087</v>
      </c>
      <c r="C926" s="54" t="s">
        <v>542</v>
      </c>
      <c r="D926" s="54" t="s">
        <v>2604</v>
      </c>
      <c r="E926" s="54" t="s">
        <v>541</v>
      </c>
    </row>
    <row r="927" spans="1:5" hidden="1">
      <c r="A927" s="54" t="s">
        <v>543</v>
      </c>
      <c r="B927" s="54">
        <v>417221845</v>
      </c>
      <c r="C927" s="54" t="s">
        <v>542</v>
      </c>
      <c r="D927" s="54" t="s">
        <v>2605</v>
      </c>
      <c r="E927" s="54" t="s">
        <v>541</v>
      </c>
    </row>
    <row r="928" spans="1:5" hidden="1">
      <c r="A928" s="54" t="s">
        <v>543</v>
      </c>
      <c r="B928" s="54">
        <v>417983115</v>
      </c>
      <c r="C928" s="54" t="s">
        <v>542</v>
      </c>
      <c r="D928" s="54" t="s">
        <v>541</v>
      </c>
      <c r="E928" s="54" t="s">
        <v>1336</v>
      </c>
    </row>
    <row r="929" spans="1:5" hidden="1">
      <c r="A929" s="54" t="s">
        <v>543</v>
      </c>
      <c r="B929" s="54" t="s">
        <v>2606</v>
      </c>
      <c r="C929" s="54" t="s">
        <v>2607</v>
      </c>
      <c r="D929" s="54" t="s">
        <v>2608</v>
      </c>
      <c r="E929" s="54" t="s">
        <v>541</v>
      </c>
    </row>
    <row r="930" spans="1:5" hidden="1">
      <c r="A930" s="54" t="s">
        <v>543</v>
      </c>
      <c r="B930" s="54" t="s">
        <v>2609</v>
      </c>
      <c r="C930" s="54" t="s">
        <v>2607</v>
      </c>
      <c r="D930" s="54" t="s">
        <v>2610</v>
      </c>
      <c r="E930" s="54" t="s">
        <v>541</v>
      </c>
    </row>
    <row r="931" spans="1:5" hidden="1">
      <c r="A931" s="54" t="s">
        <v>530</v>
      </c>
      <c r="B931" s="54">
        <v>400326306</v>
      </c>
      <c r="C931" s="54" t="s">
        <v>1562</v>
      </c>
      <c r="D931" s="54" t="s">
        <v>2611</v>
      </c>
      <c r="E931" s="54" t="s">
        <v>528</v>
      </c>
    </row>
    <row r="932" spans="1:5" hidden="1">
      <c r="A932" s="54" t="s">
        <v>530</v>
      </c>
      <c r="B932" s="54">
        <v>400539541</v>
      </c>
      <c r="C932" s="54" t="s">
        <v>1562</v>
      </c>
      <c r="D932" s="54" t="s">
        <v>2612</v>
      </c>
      <c r="E932" s="54" t="s">
        <v>528</v>
      </c>
    </row>
    <row r="933" spans="1:5" hidden="1">
      <c r="A933" s="54" t="s">
        <v>530</v>
      </c>
      <c r="B933" s="54">
        <v>400604071</v>
      </c>
      <c r="C933" s="54" t="s">
        <v>1566</v>
      </c>
      <c r="D933" s="54" t="s">
        <v>2613</v>
      </c>
      <c r="E933" s="54" t="s">
        <v>528</v>
      </c>
    </row>
    <row r="934" spans="1:5" hidden="1">
      <c r="A934" s="54" t="s">
        <v>530</v>
      </c>
      <c r="B934" s="54">
        <v>400713752</v>
      </c>
      <c r="C934" s="54" t="s">
        <v>1562</v>
      </c>
      <c r="D934" s="54" t="s">
        <v>2614</v>
      </c>
      <c r="E934" s="54" t="s">
        <v>528</v>
      </c>
    </row>
    <row r="935" spans="1:5" hidden="1">
      <c r="A935" s="54" t="s">
        <v>530</v>
      </c>
      <c r="B935" s="54">
        <v>415652613</v>
      </c>
      <c r="C935" s="54" t="s">
        <v>1562</v>
      </c>
      <c r="D935" s="54" t="s">
        <v>2615</v>
      </c>
      <c r="E935" s="54" t="s">
        <v>528</v>
      </c>
    </row>
    <row r="936" spans="1:5" hidden="1">
      <c r="A936" s="54" t="s">
        <v>530</v>
      </c>
      <c r="B936" s="54">
        <v>417983118</v>
      </c>
      <c r="C936" s="54" t="s">
        <v>1562</v>
      </c>
      <c r="D936" s="54" t="s">
        <v>528</v>
      </c>
      <c r="E936" s="54" t="s">
        <v>1336</v>
      </c>
    </row>
    <row r="937" spans="1:5" hidden="1">
      <c r="A937" s="54" t="s">
        <v>530</v>
      </c>
      <c r="B937" s="54" t="s">
        <v>2616</v>
      </c>
      <c r="C937" s="54" t="s">
        <v>2617</v>
      </c>
      <c r="D937" s="54" t="s">
        <v>2618</v>
      </c>
      <c r="E937" s="54" t="s">
        <v>528</v>
      </c>
    </row>
    <row r="938" spans="1:5" hidden="1">
      <c r="A938" s="54" t="s">
        <v>530</v>
      </c>
      <c r="B938" s="54" t="s">
        <v>2619</v>
      </c>
      <c r="C938" s="54" t="s">
        <v>2617</v>
      </c>
      <c r="D938" s="54" t="s">
        <v>2620</v>
      </c>
      <c r="E938" s="54" t="s">
        <v>528</v>
      </c>
    </row>
    <row r="939" spans="1:5" hidden="1">
      <c r="A939" s="54" t="s">
        <v>457</v>
      </c>
      <c r="B939" s="54">
        <v>400306761</v>
      </c>
      <c r="C939" s="54" t="s">
        <v>2621</v>
      </c>
      <c r="D939" s="54" t="s">
        <v>2622</v>
      </c>
      <c r="E939" s="54" t="s">
        <v>455</v>
      </c>
    </row>
    <row r="940" spans="1:5" hidden="1">
      <c r="A940" s="54" t="s">
        <v>457</v>
      </c>
      <c r="B940" s="54">
        <v>400617087</v>
      </c>
      <c r="C940" s="54" t="s">
        <v>456</v>
      </c>
      <c r="D940" s="54" t="s">
        <v>455</v>
      </c>
      <c r="E940" s="54" t="s">
        <v>1336</v>
      </c>
    </row>
    <row r="941" spans="1:5" hidden="1">
      <c r="A941" s="54" t="s">
        <v>457</v>
      </c>
      <c r="B941" s="54">
        <v>400950889</v>
      </c>
      <c r="C941" s="54" t="s">
        <v>2623</v>
      </c>
      <c r="D941" s="54" t="s">
        <v>2624</v>
      </c>
      <c r="E941" s="54" t="s">
        <v>455</v>
      </c>
    </row>
    <row r="942" spans="1:5" hidden="1">
      <c r="A942" s="54" t="s">
        <v>457</v>
      </c>
      <c r="B942" s="54" t="s">
        <v>2625</v>
      </c>
      <c r="C942" s="54" t="s">
        <v>2626</v>
      </c>
      <c r="D942" s="54" t="s">
        <v>2627</v>
      </c>
      <c r="E942" s="54" t="s">
        <v>455</v>
      </c>
    </row>
    <row r="943" spans="1:5" hidden="1">
      <c r="A943" s="54" t="s">
        <v>457</v>
      </c>
      <c r="B943" s="54" t="s">
        <v>2628</v>
      </c>
      <c r="C943" s="54" t="s">
        <v>2626</v>
      </c>
      <c r="D943" s="54" t="s">
        <v>2629</v>
      </c>
      <c r="E943" s="54" t="s">
        <v>455</v>
      </c>
    </row>
    <row r="944" spans="1:5" hidden="1">
      <c r="A944" s="54" t="s">
        <v>479</v>
      </c>
      <c r="B944" s="54">
        <v>400302901</v>
      </c>
      <c r="C944" s="54" t="s">
        <v>478</v>
      </c>
      <c r="D944" s="54" t="s">
        <v>2630</v>
      </c>
      <c r="E944" s="54" t="s">
        <v>477</v>
      </c>
    </row>
    <row r="945" spans="1:5" hidden="1">
      <c r="A945" s="54" t="s">
        <v>479</v>
      </c>
      <c r="B945" s="54">
        <v>400539538</v>
      </c>
      <c r="C945" s="54" t="s">
        <v>478</v>
      </c>
      <c r="D945" s="54" t="s">
        <v>2631</v>
      </c>
      <c r="E945" s="54" t="s">
        <v>477</v>
      </c>
    </row>
    <row r="946" spans="1:5" hidden="1">
      <c r="A946" s="54" t="s">
        <v>479</v>
      </c>
      <c r="B946" s="54">
        <v>400607544</v>
      </c>
      <c r="C946" s="54" t="s">
        <v>478</v>
      </c>
      <c r="D946" s="54" t="s">
        <v>2632</v>
      </c>
      <c r="E946" s="54" t="s">
        <v>477</v>
      </c>
    </row>
    <row r="947" spans="1:5" hidden="1">
      <c r="A947" s="54" t="s">
        <v>479</v>
      </c>
      <c r="B947" s="54">
        <v>400624125</v>
      </c>
      <c r="C947" s="54" t="s">
        <v>478</v>
      </c>
      <c r="D947" s="54" t="s">
        <v>2633</v>
      </c>
      <c r="E947" s="54" t="s">
        <v>477</v>
      </c>
    </row>
    <row r="948" spans="1:5" hidden="1">
      <c r="A948" s="54" t="s">
        <v>479</v>
      </c>
      <c r="B948" s="54">
        <v>417357625</v>
      </c>
      <c r="C948" s="54" t="s">
        <v>2634</v>
      </c>
      <c r="D948" s="54" t="s">
        <v>2635</v>
      </c>
      <c r="E948" s="54" t="s">
        <v>477</v>
      </c>
    </row>
    <row r="949" spans="1:5" hidden="1">
      <c r="A949" s="54" t="s">
        <v>479</v>
      </c>
      <c r="B949" s="54">
        <v>417983120</v>
      </c>
      <c r="C949" s="54" t="s">
        <v>478</v>
      </c>
      <c r="D949" s="54" t="s">
        <v>477</v>
      </c>
      <c r="E949" s="54" t="s">
        <v>1336</v>
      </c>
    </row>
    <row r="950" spans="1:5" hidden="1">
      <c r="A950" s="54" t="s">
        <v>479</v>
      </c>
      <c r="B950" s="54" t="s">
        <v>2636</v>
      </c>
      <c r="C950" s="54" t="s">
        <v>2634</v>
      </c>
      <c r="D950" s="54" t="s">
        <v>2637</v>
      </c>
      <c r="E950" s="54" t="s">
        <v>477</v>
      </c>
    </row>
    <row r="951" spans="1:5" hidden="1">
      <c r="A951" s="54" t="s">
        <v>479</v>
      </c>
      <c r="B951" s="54" t="s">
        <v>2638</v>
      </c>
      <c r="C951" s="54" t="s">
        <v>2634</v>
      </c>
      <c r="D951" s="54" t="s">
        <v>2639</v>
      </c>
      <c r="E951" s="54" t="s">
        <v>477</v>
      </c>
    </row>
    <row r="952" spans="1:5" hidden="1">
      <c r="A952" s="54" t="s">
        <v>722</v>
      </c>
      <c r="B952" s="54">
        <v>400039251</v>
      </c>
      <c r="C952" s="54" t="s">
        <v>2640</v>
      </c>
      <c r="D952" s="54" t="s">
        <v>2641</v>
      </c>
      <c r="E952" s="54" t="s">
        <v>720</v>
      </c>
    </row>
    <row r="953" spans="1:5" hidden="1">
      <c r="A953" s="54" t="s">
        <v>722</v>
      </c>
      <c r="B953" s="54">
        <v>400266142</v>
      </c>
      <c r="C953" s="54" t="s">
        <v>721</v>
      </c>
      <c r="D953" s="54" t="s">
        <v>2642</v>
      </c>
      <c r="E953" s="54" t="s">
        <v>720</v>
      </c>
    </row>
    <row r="954" spans="1:5" hidden="1">
      <c r="A954" s="54" t="s">
        <v>722</v>
      </c>
      <c r="B954" s="54">
        <v>400700886</v>
      </c>
      <c r="C954" s="54" t="s">
        <v>721</v>
      </c>
      <c r="D954" s="54" t="s">
        <v>720</v>
      </c>
      <c r="E954" s="54" t="s">
        <v>1336</v>
      </c>
    </row>
    <row r="955" spans="1:5" hidden="1">
      <c r="A955" s="54" t="s">
        <v>722</v>
      </c>
      <c r="B955" s="54">
        <v>401042459</v>
      </c>
      <c r="C955" s="54" t="s">
        <v>721</v>
      </c>
      <c r="D955" s="54" t="s">
        <v>2643</v>
      </c>
      <c r="E955" s="54" t="s">
        <v>720</v>
      </c>
    </row>
    <row r="956" spans="1:5" hidden="1">
      <c r="A956" s="54" t="s">
        <v>722</v>
      </c>
      <c r="B956" s="54">
        <v>411160802</v>
      </c>
      <c r="C956" s="54" t="s">
        <v>721</v>
      </c>
      <c r="D956" s="54" t="s">
        <v>2644</v>
      </c>
      <c r="E956" s="54" t="s">
        <v>720</v>
      </c>
    </row>
    <row r="957" spans="1:5" hidden="1">
      <c r="A957" s="54" t="s">
        <v>722</v>
      </c>
      <c r="B957" s="54">
        <v>417221877</v>
      </c>
      <c r="C957" s="54" t="s">
        <v>600</v>
      </c>
      <c r="D957" s="54" t="s">
        <v>2645</v>
      </c>
      <c r="E957" s="54" t="s">
        <v>720</v>
      </c>
    </row>
    <row r="958" spans="1:5" hidden="1">
      <c r="A958" s="54" t="s">
        <v>722</v>
      </c>
      <c r="B958" s="54" t="s">
        <v>2646</v>
      </c>
      <c r="C958" s="54" t="s">
        <v>2647</v>
      </c>
      <c r="D958" s="54" t="s">
        <v>2648</v>
      </c>
      <c r="E958" s="54" t="s">
        <v>720</v>
      </c>
    </row>
    <row r="959" spans="1:5" hidden="1">
      <c r="A959" s="54" t="s">
        <v>722</v>
      </c>
      <c r="B959" s="54" t="s">
        <v>2649</v>
      </c>
      <c r="C959" s="54" t="s">
        <v>2650</v>
      </c>
      <c r="D959" s="54" t="s">
        <v>2651</v>
      </c>
      <c r="E959" s="54" t="s">
        <v>720</v>
      </c>
    </row>
    <row r="960" spans="1:5" hidden="1">
      <c r="A960" s="54" t="s">
        <v>722</v>
      </c>
      <c r="B960" s="54" t="s">
        <v>2652</v>
      </c>
      <c r="C960" s="54" t="s">
        <v>2653</v>
      </c>
      <c r="D960" s="54" t="s">
        <v>2654</v>
      </c>
      <c r="E960" s="54" t="s">
        <v>720</v>
      </c>
    </row>
    <row r="961" spans="1:5" hidden="1">
      <c r="A961" s="54" t="s">
        <v>722</v>
      </c>
      <c r="B961" s="54" t="s">
        <v>2655</v>
      </c>
      <c r="C961" s="54" t="s">
        <v>2653</v>
      </c>
      <c r="D961" s="54" t="s">
        <v>2656</v>
      </c>
      <c r="E961" s="54" t="s">
        <v>720</v>
      </c>
    </row>
    <row r="962" spans="1:5" hidden="1">
      <c r="A962" s="54" t="s">
        <v>722</v>
      </c>
      <c r="B962" s="54" t="s">
        <v>2657</v>
      </c>
      <c r="C962" s="54" t="s">
        <v>2658</v>
      </c>
      <c r="D962" s="54" t="s">
        <v>2659</v>
      </c>
      <c r="E962" s="54" t="s">
        <v>720</v>
      </c>
    </row>
    <row r="963" spans="1:5" hidden="1">
      <c r="A963" s="54" t="s">
        <v>722</v>
      </c>
      <c r="B963" s="54" t="s">
        <v>2660</v>
      </c>
      <c r="C963" s="54" t="s">
        <v>2650</v>
      </c>
      <c r="D963" s="54" t="s">
        <v>2661</v>
      </c>
      <c r="E963" s="54" t="s">
        <v>720</v>
      </c>
    </row>
    <row r="964" spans="1:5" hidden="1">
      <c r="A964" s="54" t="s">
        <v>722</v>
      </c>
      <c r="B964" s="54" t="s">
        <v>2662</v>
      </c>
      <c r="C964" s="54" t="s">
        <v>2650</v>
      </c>
      <c r="D964" s="54" t="s">
        <v>2663</v>
      </c>
      <c r="E964" s="54" t="s">
        <v>720</v>
      </c>
    </row>
    <row r="965" spans="1:5" hidden="1">
      <c r="A965" s="54" t="s">
        <v>722</v>
      </c>
      <c r="B965" s="54" t="s">
        <v>2664</v>
      </c>
      <c r="C965" s="54" t="s">
        <v>2665</v>
      </c>
      <c r="D965" s="54" t="s">
        <v>2666</v>
      </c>
      <c r="E965" s="54" t="s">
        <v>720</v>
      </c>
    </row>
    <row r="966" spans="1:5" hidden="1">
      <c r="A966" s="54" t="s">
        <v>601</v>
      </c>
      <c r="B966" s="54">
        <v>400012861</v>
      </c>
      <c r="C966" s="54" t="s">
        <v>2667</v>
      </c>
      <c r="D966" s="54" t="s">
        <v>2668</v>
      </c>
      <c r="E966" s="54" t="s">
        <v>599</v>
      </c>
    </row>
    <row r="967" spans="1:5" hidden="1">
      <c r="A967" s="54" t="s">
        <v>601</v>
      </c>
      <c r="B967" s="54">
        <v>400264013</v>
      </c>
      <c r="C967" s="54" t="s">
        <v>2667</v>
      </c>
      <c r="D967" s="54" t="s">
        <v>2669</v>
      </c>
      <c r="E967" s="54" t="s">
        <v>599</v>
      </c>
    </row>
    <row r="968" spans="1:5" hidden="1">
      <c r="A968" s="54" t="s">
        <v>601</v>
      </c>
      <c r="B968" s="54">
        <v>400679613</v>
      </c>
      <c r="C968" s="54" t="s">
        <v>2670</v>
      </c>
      <c r="D968" s="54" t="s">
        <v>599</v>
      </c>
      <c r="E968" s="54" t="s">
        <v>1336</v>
      </c>
    </row>
    <row r="969" spans="1:5" hidden="1">
      <c r="A969" s="54" t="s">
        <v>601</v>
      </c>
      <c r="B969" s="54">
        <v>411170156</v>
      </c>
      <c r="C969" s="54" t="s">
        <v>600</v>
      </c>
      <c r="D969" s="54" t="s">
        <v>2671</v>
      </c>
      <c r="E969" s="54" t="s">
        <v>599</v>
      </c>
    </row>
    <row r="970" spans="1:5" hidden="1">
      <c r="A970" s="54" t="s">
        <v>601</v>
      </c>
      <c r="B970" s="54">
        <v>414700143</v>
      </c>
      <c r="C970" s="54" t="s">
        <v>2672</v>
      </c>
      <c r="D970" s="54" t="s">
        <v>2673</v>
      </c>
      <c r="E970" s="54" t="s">
        <v>599</v>
      </c>
    </row>
    <row r="971" spans="1:5" hidden="1">
      <c r="A971" s="54" t="s">
        <v>601</v>
      </c>
      <c r="B971" s="54" t="s">
        <v>2674</v>
      </c>
      <c r="C971" s="54" t="s">
        <v>2675</v>
      </c>
      <c r="D971" s="54" t="s">
        <v>2676</v>
      </c>
      <c r="E971" s="54" t="s">
        <v>599</v>
      </c>
    </row>
    <row r="972" spans="1:5" hidden="1">
      <c r="A972" s="54" t="s">
        <v>601</v>
      </c>
      <c r="B972" s="54" t="s">
        <v>2677</v>
      </c>
      <c r="C972" s="54" t="s">
        <v>2678</v>
      </c>
      <c r="D972" s="54" t="s">
        <v>2679</v>
      </c>
      <c r="E972" s="54" t="s">
        <v>599</v>
      </c>
    </row>
    <row r="973" spans="1:5" hidden="1">
      <c r="A973" s="54" t="s">
        <v>601</v>
      </c>
      <c r="B973" s="54" t="s">
        <v>2680</v>
      </c>
      <c r="C973" s="54" t="s">
        <v>2681</v>
      </c>
      <c r="D973" s="54" t="s">
        <v>2682</v>
      </c>
      <c r="E973" s="54" t="s">
        <v>599</v>
      </c>
    </row>
    <row r="974" spans="1:5" hidden="1">
      <c r="A974" s="54" t="s">
        <v>601</v>
      </c>
      <c r="B974" s="54" t="s">
        <v>2683</v>
      </c>
      <c r="C974" s="54" t="s">
        <v>2681</v>
      </c>
      <c r="D974" s="54" t="s">
        <v>2684</v>
      </c>
      <c r="E974" s="54" t="s">
        <v>599</v>
      </c>
    </row>
    <row r="975" spans="1:5" hidden="1">
      <c r="A975" s="54" t="s">
        <v>601</v>
      </c>
      <c r="B975" s="54" t="s">
        <v>2685</v>
      </c>
      <c r="C975" s="54" t="s">
        <v>2686</v>
      </c>
      <c r="D975" s="54" t="s">
        <v>2687</v>
      </c>
      <c r="E975" s="54" t="s">
        <v>599</v>
      </c>
    </row>
    <row r="976" spans="1:5" hidden="1">
      <c r="A976" s="54" t="s">
        <v>601</v>
      </c>
      <c r="B976" s="54" t="s">
        <v>2688</v>
      </c>
      <c r="C976" s="54" t="s">
        <v>2667</v>
      </c>
      <c r="D976" s="54" t="s">
        <v>2689</v>
      </c>
      <c r="E976" s="54" t="s">
        <v>599</v>
      </c>
    </row>
    <row r="977" spans="1:5" hidden="1">
      <c r="A977" s="54" t="s">
        <v>89</v>
      </c>
      <c r="B977" s="54" t="s">
        <v>87</v>
      </c>
      <c r="C977" s="54" t="s">
        <v>88</v>
      </c>
      <c r="D977" s="54" t="s">
        <v>86</v>
      </c>
      <c r="E977" s="54" t="s">
        <v>1336</v>
      </c>
    </row>
    <row r="978" spans="1:5" hidden="1">
      <c r="A978" s="54" t="s">
        <v>89</v>
      </c>
      <c r="B978" s="54" t="s">
        <v>2690</v>
      </c>
      <c r="C978" s="54" t="s">
        <v>2691</v>
      </c>
      <c r="D978" s="54" t="s">
        <v>2692</v>
      </c>
      <c r="E978" s="54" t="s">
        <v>86</v>
      </c>
    </row>
    <row r="979" spans="1:5" hidden="1">
      <c r="A979" s="54" t="s">
        <v>269</v>
      </c>
      <c r="B979" s="54" t="s">
        <v>2693</v>
      </c>
      <c r="C979" s="54" t="s">
        <v>268</v>
      </c>
      <c r="D979" s="54" t="s">
        <v>2694</v>
      </c>
      <c r="E979" s="54">
        <v>298</v>
      </c>
    </row>
    <row r="980" spans="1:5" hidden="1">
      <c r="A980" s="54" t="s">
        <v>269</v>
      </c>
      <c r="B980" s="54" t="s">
        <v>267</v>
      </c>
      <c r="C980" s="54" t="s">
        <v>268</v>
      </c>
      <c r="D980" s="54">
        <v>298</v>
      </c>
      <c r="E980" s="54" t="s">
        <v>1336</v>
      </c>
    </row>
    <row r="981" spans="1:5" hidden="1">
      <c r="A981" s="54" t="s">
        <v>269</v>
      </c>
      <c r="B981" s="54" t="s">
        <v>2695</v>
      </c>
      <c r="C981" s="54" t="s">
        <v>268</v>
      </c>
      <c r="D981" s="54" t="s">
        <v>2696</v>
      </c>
      <c r="E981" s="54">
        <v>298</v>
      </c>
    </row>
    <row r="982" spans="1:5" hidden="1">
      <c r="A982" s="54" t="s">
        <v>269</v>
      </c>
      <c r="B982" s="54" t="s">
        <v>2697</v>
      </c>
      <c r="C982" s="54" t="s">
        <v>268</v>
      </c>
      <c r="D982" s="54" t="s">
        <v>2698</v>
      </c>
      <c r="E982" s="54">
        <v>298</v>
      </c>
    </row>
    <row r="983" spans="1:5" hidden="1">
      <c r="A983" s="54" t="s">
        <v>269</v>
      </c>
      <c r="B983" s="54" t="s">
        <v>2699</v>
      </c>
      <c r="C983" s="54" t="s">
        <v>268</v>
      </c>
      <c r="D983" s="54">
        <v>1434</v>
      </c>
      <c r="E983" s="54">
        <v>298</v>
      </c>
    </row>
    <row r="984" spans="1:5" hidden="1">
      <c r="A984" s="54" t="s">
        <v>269</v>
      </c>
      <c r="B984" s="54" t="s">
        <v>2700</v>
      </c>
      <c r="C984" s="54" t="s">
        <v>268</v>
      </c>
      <c r="D984" s="54" t="s">
        <v>2701</v>
      </c>
      <c r="E984" s="54">
        <v>298</v>
      </c>
    </row>
    <row r="985" spans="1:5" hidden="1">
      <c r="A985" s="54" t="s">
        <v>163</v>
      </c>
      <c r="B985" s="54">
        <v>732009568</v>
      </c>
      <c r="C985" s="54" t="s">
        <v>162</v>
      </c>
      <c r="D985" s="54" t="s">
        <v>2702</v>
      </c>
      <c r="E985" s="54" t="s">
        <v>1336</v>
      </c>
    </row>
    <row r="986" spans="1:5" hidden="1">
      <c r="A986" s="54" t="s">
        <v>163</v>
      </c>
      <c r="B986" s="54">
        <v>732063755</v>
      </c>
      <c r="C986" s="54" t="s">
        <v>162</v>
      </c>
      <c r="D986" s="54" t="s">
        <v>2703</v>
      </c>
      <c r="E986" s="54" t="s">
        <v>2702</v>
      </c>
    </row>
    <row r="987" spans="1:5" hidden="1">
      <c r="A987" s="54" t="s">
        <v>163</v>
      </c>
      <c r="B987" s="54">
        <v>732077813</v>
      </c>
      <c r="C987" s="54" t="s">
        <v>162</v>
      </c>
      <c r="D987" s="54" t="s">
        <v>2704</v>
      </c>
      <c r="E987" s="54" t="s">
        <v>2702</v>
      </c>
    </row>
    <row r="988" spans="1:5" hidden="1">
      <c r="A988" s="54" t="s">
        <v>1161</v>
      </c>
      <c r="B988" s="54">
        <v>732601562</v>
      </c>
      <c r="C988" s="54" t="s">
        <v>2705</v>
      </c>
      <c r="D988" s="54">
        <v>24231</v>
      </c>
      <c r="E988" s="54" t="s">
        <v>2706</v>
      </c>
    </row>
    <row r="989" spans="1:5" hidden="1">
      <c r="A989" s="54" t="s">
        <v>1161</v>
      </c>
      <c r="B989" s="54">
        <v>732602347</v>
      </c>
      <c r="C989" s="54" t="s">
        <v>1160</v>
      </c>
      <c r="D989" s="54" t="s">
        <v>2706</v>
      </c>
      <c r="E989" s="54" t="s">
        <v>1336</v>
      </c>
    </row>
    <row r="990" spans="1:5" hidden="1">
      <c r="A990" s="54" t="s">
        <v>1161</v>
      </c>
      <c r="B990" s="54">
        <v>732680665</v>
      </c>
      <c r="C990" s="54" t="s">
        <v>2705</v>
      </c>
      <c r="D990" s="54" t="s">
        <v>2707</v>
      </c>
      <c r="E990" s="54" t="s">
        <v>2706</v>
      </c>
    </row>
    <row r="991" spans="1:5" hidden="1">
      <c r="A991" s="54" t="s">
        <v>178</v>
      </c>
      <c r="B991" s="54">
        <v>400021899</v>
      </c>
      <c r="C991" s="54" t="s">
        <v>2708</v>
      </c>
      <c r="D991" s="54" t="s">
        <v>2708</v>
      </c>
      <c r="E991" s="54" t="s">
        <v>2709</v>
      </c>
    </row>
    <row r="992" spans="1:5" hidden="1">
      <c r="A992" s="54" t="s">
        <v>178</v>
      </c>
      <c r="B992" s="54">
        <v>402855098</v>
      </c>
      <c r="C992" s="54" t="s">
        <v>177</v>
      </c>
      <c r="D992" s="54" t="s">
        <v>2710</v>
      </c>
      <c r="E992" s="54" t="s">
        <v>2709</v>
      </c>
    </row>
    <row r="993" spans="1:5" hidden="1">
      <c r="A993" s="54" t="s">
        <v>178</v>
      </c>
      <c r="B993" s="54">
        <v>732609516</v>
      </c>
      <c r="C993" s="54" t="s">
        <v>2711</v>
      </c>
      <c r="D993" s="54">
        <v>22231</v>
      </c>
      <c r="E993" s="54" t="s">
        <v>2709</v>
      </c>
    </row>
    <row r="994" spans="1:5" hidden="1">
      <c r="A994" s="54" t="s">
        <v>178</v>
      </c>
      <c r="B994" s="54">
        <v>732609557</v>
      </c>
      <c r="C994" s="54" t="s">
        <v>177</v>
      </c>
      <c r="D994" s="54" t="s">
        <v>2712</v>
      </c>
      <c r="E994" s="54" t="s">
        <v>2709</v>
      </c>
    </row>
    <row r="995" spans="1:5" hidden="1">
      <c r="A995" s="54" t="s">
        <v>178</v>
      </c>
      <c r="B995" s="54">
        <v>732684436</v>
      </c>
      <c r="C995" s="54" t="s">
        <v>177</v>
      </c>
      <c r="D995" s="54" t="s">
        <v>2709</v>
      </c>
      <c r="E995" s="54" t="s">
        <v>1336</v>
      </c>
    </row>
    <row r="996" spans="1:5" hidden="1">
      <c r="A996" s="54" t="s">
        <v>1066</v>
      </c>
      <c r="B996" s="54">
        <v>400253610</v>
      </c>
      <c r="C996" s="54" t="s">
        <v>1065</v>
      </c>
      <c r="D996" s="54" t="s">
        <v>1064</v>
      </c>
      <c r="E996" s="54" t="s">
        <v>1336</v>
      </c>
    </row>
    <row r="997" spans="1:5" hidden="1">
      <c r="A997" s="54" t="s">
        <v>1066</v>
      </c>
      <c r="B997" s="54">
        <v>400284317</v>
      </c>
      <c r="C997" s="54" t="s">
        <v>1065</v>
      </c>
      <c r="D997" s="54" t="s">
        <v>2713</v>
      </c>
      <c r="E997" s="54" t="s">
        <v>1064</v>
      </c>
    </row>
    <row r="998" spans="1:5" hidden="1">
      <c r="A998" s="54" t="s">
        <v>1066</v>
      </c>
      <c r="B998" s="54">
        <v>400312244</v>
      </c>
      <c r="C998" s="54" t="s">
        <v>1065</v>
      </c>
      <c r="D998" s="54" t="s">
        <v>2714</v>
      </c>
      <c r="E998" s="54" t="s">
        <v>1064</v>
      </c>
    </row>
    <row r="999" spans="1:5" hidden="1">
      <c r="A999" s="54" t="s">
        <v>1066</v>
      </c>
      <c r="B999" s="54" t="s">
        <v>2715</v>
      </c>
      <c r="C999" s="54" t="s">
        <v>2716</v>
      </c>
      <c r="D999" s="54" t="s">
        <v>2717</v>
      </c>
      <c r="E999" s="54" t="s">
        <v>1064</v>
      </c>
    </row>
    <row r="1000" spans="1:5" hidden="1">
      <c r="A1000" s="54" t="s">
        <v>1066</v>
      </c>
      <c r="B1000" s="54" t="s">
        <v>2718</v>
      </c>
      <c r="C1000" s="54" t="s">
        <v>2716</v>
      </c>
      <c r="D1000" s="54" t="s">
        <v>2719</v>
      </c>
      <c r="E1000" s="54" t="s">
        <v>1064</v>
      </c>
    </row>
  </sheetData>
  <autoFilter ref="A1:E1000" xr:uid="{656F4CF8-C39E-4E8F-8A76-C279F21D4B4B}">
    <filterColumn colId="0">
      <filters>
        <filter val="416023177"/>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F3257-3636-439A-9AB4-E78190E0410E}">
  <dimension ref="A1:O660"/>
  <sheetViews>
    <sheetView topLeftCell="B1" workbookViewId="0">
      <selection activeCell="E46" sqref="E46"/>
    </sheetView>
  </sheetViews>
  <sheetFormatPr defaultColWidth="8.25" defaultRowHeight="12.75"/>
  <cols>
    <col min="1" max="1" width="8" style="54" hidden="1" customWidth="1"/>
    <col min="2" max="2" width="6.75" style="54" customWidth="1"/>
    <col min="3" max="5" width="15.25" style="54" customWidth="1"/>
    <col min="6" max="6" width="30.25" style="54" customWidth="1"/>
    <col min="7" max="8" width="6" style="54" customWidth="1"/>
    <col min="9" max="9" width="15.25" style="54" customWidth="1"/>
    <col min="10" max="10" width="28.75" style="54" customWidth="1"/>
    <col min="11" max="13" width="8" style="54" hidden="1" customWidth="1"/>
    <col min="14" max="15" width="9" style="54" bestFit="1" customWidth="1"/>
    <col min="16" max="16384" width="8.25" style="54"/>
  </cols>
  <sheetData>
    <row r="1" spans="1:15" ht="15.95" customHeight="1">
      <c r="A1" s="61"/>
      <c r="B1" s="62" t="s">
        <v>2720</v>
      </c>
      <c r="C1" s="62" t="s">
        <v>2721</v>
      </c>
      <c r="D1" s="62" t="s">
        <v>2722</v>
      </c>
      <c r="E1" s="62"/>
      <c r="F1" s="62" t="s">
        <v>2723</v>
      </c>
      <c r="G1" s="62" t="s">
        <v>2724</v>
      </c>
      <c r="H1" s="62" t="s">
        <v>19</v>
      </c>
      <c r="I1" s="62" t="s">
        <v>2725</v>
      </c>
      <c r="J1" s="62" t="s">
        <v>2726</v>
      </c>
      <c r="K1" s="61"/>
      <c r="L1" s="61"/>
    </row>
    <row r="2" spans="1:15" ht="15.95" customHeight="1">
      <c r="A2" s="61"/>
      <c r="B2" s="61" t="s">
        <v>2727</v>
      </c>
      <c r="C2" s="61" t="s">
        <v>308</v>
      </c>
      <c r="D2" s="61" t="s">
        <v>2728</v>
      </c>
      <c r="E2" s="61" t="str">
        <f>LEFT(D2,9)</f>
        <v>402548266</v>
      </c>
      <c r="F2" s="61" t="s">
        <v>309</v>
      </c>
      <c r="G2" s="61" t="s">
        <v>2727</v>
      </c>
      <c r="H2" s="61" t="s">
        <v>42</v>
      </c>
      <c r="I2" s="61" t="s">
        <v>2729</v>
      </c>
      <c r="J2" s="61" t="s">
        <v>1332</v>
      </c>
      <c r="K2" s="61"/>
      <c r="L2" s="61"/>
      <c r="O2" s="54" t="str">
        <f>RIGHT(E2,9)</f>
        <v>402548266</v>
      </c>
    </row>
    <row r="3" spans="1:15" ht="62.1" customHeight="1">
      <c r="A3" s="61"/>
      <c r="B3" s="61" t="s">
        <v>2730</v>
      </c>
      <c r="C3" s="61" t="s">
        <v>1268</v>
      </c>
      <c r="D3" s="61" t="s">
        <v>2731</v>
      </c>
      <c r="E3" s="61" t="str">
        <f t="shared" ref="E3:E66" si="0">LEFT(D3,9)</f>
        <v>410928732</v>
      </c>
      <c r="F3" s="61" t="s">
        <v>2732</v>
      </c>
      <c r="G3" s="61" t="s">
        <v>2727</v>
      </c>
      <c r="H3" s="61" t="s">
        <v>42</v>
      </c>
      <c r="I3" s="61" t="s">
        <v>2733</v>
      </c>
      <c r="J3" s="61" t="s">
        <v>1332</v>
      </c>
      <c r="K3" s="61"/>
      <c r="L3" s="61"/>
    </row>
    <row r="4" spans="1:15" ht="38.1" customHeight="1">
      <c r="A4" s="61"/>
      <c r="B4" s="61" t="s">
        <v>2734</v>
      </c>
      <c r="C4" s="61" t="s">
        <v>2735</v>
      </c>
      <c r="D4" s="61" t="s">
        <v>2736</v>
      </c>
      <c r="E4" s="61" t="str">
        <f t="shared" si="0"/>
        <v>405532683</v>
      </c>
      <c r="F4" s="61" t="s">
        <v>2737</v>
      </c>
      <c r="G4" s="61" t="s">
        <v>2727</v>
      </c>
      <c r="H4" s="61" t="s">
        <v>164</v>
      </c>
      <c r="I4" s="61" t="s">
        <v>2733</v>
      </c>
      <c r="J4" s="61" t="s">
        <v>1332</v>
      </c>
      <c r="K4" s="61"/>
      <c r="L4" s="61"/>
    </row>
    <row r="5" spans="1:15" ht="27" customHeight="1">
      <c r="A5" s="61"/>
      <c r="B5" s="61" t="s">
        <v>2734</v>
      </c>
      <c r="C5" s="61" t="s">
        <v>2738</v>
      </c>
      <c r="D5" s="61" t="s">
        <v>2739</v>
      </c>
      <c r="E5" s="61" t="str">
        <f t="shared" si="0"/>
        <v>827490699</v>
      </c>
      <c r="F5" s="61" t="s">
        <v>2740</v>
      </c>
      <c r="G5" s="61" t="s">
        <v>2727</v>
      </c>
      <c r="H5" s="61" t="s">
        <v>42</v>
      </c>
      <c r="I5" s="61" t="s">
        <v>2733</v>
      </c>
      <c r="J5" s="61" t="s">
        <v>1332</v>
      </c>
      <c r="K5" s="61"/>
      <c r="L5" s="61"/>
    </row>
    <row r="6" spans="1:15" ht="27" customHeight="1">
      <c r="A6" s="61"/>
      <c r="B6" s="61" t="s">
        <v>2734</v>
      </c>
      <c r="C6" s="61" t="s">
        <v>2741</v>
      </c>
      <c r="D6" s="61" t="s">
        <v>2742</v>
      </c>
      <c r="E6" s="61" t="str">
        <f t="shared" si="0"/>
        <v>400019832</v>
      </c>
      <c r="F6" s="61" t="s">
        <v>2743</v>
      </c>
      <c r="G6" s="61" t="s">
        <v>2727</v>
      </c>
      <c r="H6" s="61" t="s">
        <v>42</v>
      </c>
      <c r="I6" s="61" t="s">
        <v>2733</v>
      </c>
      <c r="J6" s="61" t="s">
        <v>1332</v>
      </c>
      <c r="K6" s="61"/>
      <c r="L6" s="61"/>
    </row>
    <row r="7" spans="1:15" ht="15.95" customHeight="1">
      <c r="A7" s="61"/>
      <c r="B7" s="61" t="s">
        <v>2744</v>
      </c>
      <c r="C7" s="61" t="s">
        <v>1289</v>
      </c>
      <c r="D7" s="61" t="s">
        <v>2745</v>
      </c>
      <c r="E7" s="61" t="str">
        <f t="shared" si="0"/>
        <v>400909746</v>
      </c>
      <c r="F7" s="61" t="s">
        <v>1290</v>
      </c>
      <c r="G7" s="61" t="s">
        <v>2730</v>
      </c>
      <c r="H7" s="61" t="s">
        <v>42</v>
      </c>
      <c r="I7" s="61" t="s">
        <v>2729</v>
      </c>
      <c r="J7" s="61" t="s">
        <v>1332</v>
      </c>
      <c r="K7" s="61"/>
      <c r="L7" s="61"/>
    </row>
    <row r="8" spans="1:15" ht="15.95" customHeight="1">
      <c r="A8" s="61"/>
      <c r="B8" s="61" t="s">
        <v>2746</v>
      </c>
      <c r="C8" s="61" t="s">
        <v>1295</v>
      </c>
      <c r="D8" s="61" t="s">
        <v>2747</v>
      </c>
      <c r="E8" s="61" t="str">
        <f t="shared" si="0"/>
        <v>403933229</v>
      </c>
      <c r="F8" s="61" t="s">
        <v>1296</v>
      </c>
      <c r="G8" s="61" t="s">
        <v>2730</v>
      </c>
      <c r="H8" s="61" t="s">
        <v>42</v>
      </c>
      <c r="I8" s="61" t="s">
        <v>2729</v>
      </c>
      <c r="J8" s="61" t="s">
        <v>1332</v>
      </c>
      <c r="K8" s="61"/>
      <c r="L8" s="61"/>
    </row>
    <row r="9" spans="1:15" ht="96.95" customHeight="1">
      <c r="A9" s="61"/>
      <c r="B9" s="61" t="s">
        <v>2748</v>
      </c>
      <c r="C9" s="61" t="s">
        <v>1055</v>
      </c>
      <c r="D9" s="61" t="s">
        <v>2749</v>
      </c>
      <c r="E9" s="61" t="str">
        <f t="shared" si="0"/>
        <v>512304791</v>
      </c>
      <c r="F9" s="61" t="s">
        <v>2750</v>
      </c>
      <c r="G9" s="61" t="s">
        <v>2730</v>
      </c>
      <c r="H9" s="61" t="s">
        <v>42</v>
      </c>
      <c r="I9" s="61" t="s">
        <v>2733</v>
      </c>
      <c r="J9" s="61" t="s">
        <v>1332</v>
      </c>
      <c r="K9" s="61"/>
      <c r="L9" s="61"/>
    </row>
    <row r="10" spans="1:15" ht="62.1" customHeight="1">
      <c r="A10" s="61"/>
      <c r="B10" s="61" t="s">
        <v>2751</v>
      </c>
      <c r="C10" s="61" t="s">
        <v>1078</v>
      </c>
      <c r="D10" s="61" t="s">
        <v>2752</v>
      </c>
      <c r="E10" s="61" t="str">
        <f t="shared" si="0"/>
        <v>514200799</v>
      </c>
      <c r="F10" s="61" t="s">
        <v>2753</v>
      </c>
      <c r="G10" s="61" t="s">
        <v>2730</v>
      </c>
      <c r="H10" s="61" t="s">
        <v>42</v>
      </c>
      <c r="I10" s="61" t="s">
        <v>2733</v>
      </c>
      <c r="J10" s="61" t="s">
        <v>1332</v>
      </c>
      <c r="K10" s="61"/>
      <c r="L10" s="61"/>
    </row>
    <row r="11" spans="1:15" ht="62.1" customHeight="1">
      <c r="A11" s="61"/>
      <c r="B11" s="61" t="s">
        <v>2754</v>
      </c>
      <c r="C11" s="61" t="s">
        <v>1054</v>
      </c>
      <c r="D11" s="61" t="s">
        <v>2755</v>
      </c>
      <c r="E11" s="61" t="str">
        <f t="shared" si="0"/>
        <v>514301316</v>
      </c>
      <c r="F11" s="61" t="s">
        <v>2756</v>
      </c>
      <c r="G11" s="61" t="s">
        <v>2730</v>
      </c>
      <c r="H11" s="61" t="s">
        <v>42</v>
      </c>
      <c r="I11" s="61" t="s">
        <v>2733</v>
      </c>
      <c r="J11" s="61" t="s">
        <v>1332</v>
      </c>
      <c r="K11" s="61"/>
      <c r="L11" s="61"/>
    </row>
    <row r="12" spans="1:15" ht="72.95" customHeight="1">
      <c r="A12" s="61"/>
      <c r="B12" s="61" t="s">
        <v>2757</v>
      </c>
      <c r="C12" s="61" t="s">
        <v>1081</v>
      </c>
      <c r="D12" s="61" t="s">
        <v>2758</v>
      </c>
      <c r="E12" s="61" t="str">
        <f t="shared" si="0"/>
        <v>513206524</v>
      </c>
      <c r="F12" s="61" t="s">
        <v>2759</v>
      </c>
      <c r="G12" s="61" t="s">
        <v>2730</v>
      </c>
      <c r="H12" s="61" t="s">
        <v>42</v>
      </c>
      <c r="I12" s="61" t="s">
        <v>2733</v>
      </c>
      <c r="J12" s="61" t="s">
        <v>1332</v>
      </c>
      <c r="K12" s="61"/>
      <c r="L12" s="61"/>
    </row>
    <row r="13" spans="1:15" ht="27" customHeight="1">
      <c r="A13" s="61"/>
      <c r="B13" s="61" t="s">
        <v>2760</v>
      </c>
      <c r="C13" s="61" t="s">
        <v>310</v>
      </c>
      <c r="D13" s="61" t="s">
        <v>311</v>
      </c>
      <c r="E13" s="61" t="str">
        <f t="shared" si="0"/>
        <v>N65789877</v>
      </c>
      <c r="F13" s="61" t="s">
        <v>2761</v>
      </c>
      <c r="G13" s="61" t="s">
        <v>2727</v>
      </c>
      <c r="H13" s="61" t="s">
        <v>42</v>
      </c>
      <c r="I13" s="61" t="s">
        <v>2733</v>
      </c>
      <c r="J13" s="61" t="s">
        <v>2762</v>
      </c>
      <c r="K13" s="61"/>
      <c r="L13" s="61"/>
    </row>
    <row r="14" spans="1:15" ht="15.95" customHeight="1">
      <c r="A14" s="61"/>
      <c r="B14" s="61" t="s">
        <v>2734</v>
      </c>
      <c r="C14" s="61" t="s">
        <v>1922</v>
      </c>
      <c r="D14" s="61" t="s">
        <v>1921</v>
      </c>
      <c r="E14" s="61" t="str">
        <f t="shared" si="0"/>
        <v>N65409773</v>
      </c>
      <c r="F14" s="61" t="s">
        <v>2763</v>
      </c>
      <c r="G14" s="61" t="s">
        <v>2727</v>
      </c>
      <c r="H14" s="61" t="s">
        <v>42</v>
      </c>
      <c r="I14" s="61" t="s">
        <v>2733</v>
      </c>
      <c r="J14" s="61" t="s">
        <v>1332</v>
      </c>
      <c r="K14" s="61"/>
      <c r="L14" s="61"/>
    </row>
    <row r="15" spans="1:15" ht="38.1" customHeight="1">
      <c r="A15" s="61"/>
      <c r="B15" s="61" t="s">
        <v>2764</v>
      </c>
      <c r="C15" s="61" t="s">
        <v>1169</v>
      </c>
      <c r="D15" s="61" t="s">
        <v>2765</v>
      </c>
      <c r="E15" s="61" t="str">
        <f t="shared" si="0"/>
        <v>418126610</v>
      </c>
      <c r="F15" s="61" t="s">
        <v>2766</v>
      </c>
      <c r="G15" s="61" t="s">
        <v>2727</v>
      </c>
      <c r="H15" s="61" t="s">
        <v>42</v>
      </c>
      <c r="I15" s="61" t="s">
        <v>2733</v>
      </c>
      <c r="J15" s="61" t="s">
        <v>2767</v>
      </c>
      <c r="K15" s="61"/>
      <c r="L15" s="61"/>
    </row>
    <row r="16" spans="1:15" ht="50.1" customHeight="1">
      <c r="A16" s="61"/>
      <c r="B16" s="61" t="s">
        <v>2734</v>
      </c>
      <c r="C16" s="61" t="s">
        <v>2768</v>
      </c>
      <c r="D16" s="61" t="s">
        <v>2769</v>
      </c>
      <c r="E16" s="61" t="str">
        <f t="shared" si="0"/>
        <v>400574457</v>
      </c>
      <c r="F16" s="61" t="s">
        <v>2770</v>
      </c>
      <c r="G16" s="61" t="s">
        <v>2727</v>
      </c>
      <c r="H16" s="61" t="s">
        <v>42</v>
      </c>
      <c r="I16" s="61" t="s">
        <v>2733</v>
      </c>
      <c r="J16" s="61" t="s">
        <v>1332</v>
      </c>
      <c r="K16" s="61"/>
      <c r="L16" s="61"/>
    </row>
    <row r="17" spans="1:12" ht="62.1" customHeight="1">
      <c r="A17" s="61"/>
      <c r="B17" s="61" t="s">
        <v>2771</v>
      </c>
      <c r="C17" s="61" t="s">
        <v>959</v>
      </c>
      <c r="D17" s="61" t="s">
        <v>2772</v>
      </c>
      <c r="E17" s="61" t="str">
        <f t="shared" si="0"/>
        <v>400991029</v>
      </c>
      <c r="F17" s="61" t="s">
        <v>2773</v>
      </c>
      <c r="G17" s="61" t="s">
        <v>2727</v>
      </c>
      <c r="H17" s="61" t="s">
        <v>42</v>
      </c>
      <c r="I17" s="61" t="s">
        <v>2733</v>
      </c>
      <c r="J17" s="61" t="s">
        <v>2774</v>
      </c>
      <c r="K17" s="61"/>
      <c r="L17" s="61"/>
    </row>
    <row r="18" spans="1:12" ht="15.95" customHeight="1">
      <c r="A18" s="61"/>
      <c r="B18" s="61" t="s">
        <v>2734</v>
      </c>
      <c r="C18" s="61" t="s">
        <v>1920</v>
      </c>
      <c r="D18" s="61" t="s">
        <v>1918</v>
      </c>
      <c r="E18" s="61" t="str">
        <f t="shared" si="0"/>
        <v>N64207038</v>
      </c>
      <c r="F18" s="61" t="s">
        <v>2775</v>
      </c>
      <c r="G18" s="61" t="s">
        <v>2727</v>
      </c>
      <c r="H18" s="61" t="s">
        <v>42</v>
      </c>
      <c r="I18" s="61" t="s">
        <v>2733</v>
      </c>
      <c r="J18" s="61" t="s">
        <v>1332</v>
      </c>
      <c r="K18" s="61"/>
      <c r="L18" s="61"/>
    </row>
    <row r="19" spans="1:12" ht="62.1" customHeight="1">
      <c r="A19" s="61"/>
      <c r="B19" s="61" t="s">
        <v>2776</v>
      </c>
      <c r="C19" s="61" t="s">
        <v>261</v>
      </c>
      <c r="D19" s="61" t="s">
        <v>2777</v>
      </c>
      <c r="E19" s="61" t="str">
        <f t="shared" si="0"/>
        <v>405935860</v>
      </c>
      <c r="F19" s="61" t="s">
        <v>2778</v>
      </c>
      <c r="G19" s="61" t="s">
        <v>2727</v>
      </c>
      <c r="H19" s="61" t="s">
        <v>42</v>
      </c>
      <c r="I19" s="61" t="s">
        <v>2733</v>
      </c>
      <c r="J19" s="61" t="s">
        <v>2779</v>
      </c>
      <c r="K19" s="61"/>
      <c r="L19" s="61"/>
    </row>
    <row r="20" spans="1:12" ht="62.1" customHeight="1">
      <c r="A20" s="61"/>
      <c r="B20" s="61" t="s">
        <v>2734</v>
      </c>
      <c r="C20" s="61" t="s">
        <v>2780</v>
      </c>
      <c r="D20" s="61" t="s">
        <v>2781</v>
      </c>
      <c r="E20" s="61" t="str">
        <f t="shared" si="0"/>
        <v>400607462</v>
      </c>
      <c r="F20" s="61" t="s">
        <v>2782</v>
      </c>
      <c r="G20" s="61" t="s">
        <v>2727</v>
      </c>
      <c r="H20" s="61" t="s">
        <v>42</v>
      </c>
      <c r="I20" s="61" t="s">
        <v>2733</v>
      </c>
      <c r="J20" s="61" t="s">
        <v>1332</v>
      </c>
      <c r="K20" s="61"/>
      <c r="L20" s="61"/>
    </row>
    <row r="21" spans="1:12" ht="38.1" customHeight="1">
      <c r="A21" s="61"/>
      <c r="B21" s="61" t="s">
        <v>2783</v>
      </c>
      <c r="C21" s="61" t="s">
        <v>503</v>
      </c>
      <c r="D21" s="61" t="s">
        <v>2784</v>
      </c>
      <c r="E21" s="61" t="str">
        <f t="shared" si="0"/>
        <v>400048631</v>
      </c>
      <c r="F21" s="61" t="s">
        <v>2785</v>
      </c>
      <c r="G21" s="61" t="s">
        <v>2727</v>
      </c>
      <c r="H21" s="61" t="s">
        <v>42</v>
      </c>
      <c r="I21" s="61" t="s">
        <v>2733</v>
      </c>
      <c r="J21" s="61" t="s">
        <v>2786</v>
      </c>
      <c r="K21" s="61"/>
      <c r="L21" s="61"/>
    </row>
    <row r="22" spans="1:12" ht="62.1" customHeight="1">
      <c r="A22" s="61"/>
      <c r="B22" s="61" t="s">
        <v>2787</v>
      </c>
      <c r="C22" s="61" t="s">
        <v>1324</v>
      </c>
      <c r="D22" s="61" t="s">
        <v>1325</v>
      </c>
      <c r="E22" s="61" t="str">
        <f t="shared" si="0"/>
        <v>N70385471</v>
      </c>
      <c r="F22" s="61" t="s">
        <v>2788</v>
      </c>
      <c r="G22" s="61" t="s">
        <v>2727</v>
      </c>
      <c r="H22" s="61" t="s">
        <v>42</v>
      </c>
      <c r="I22" s="61" t="s">
        <v>2733</v>
      </c>
      <c r="J22" s="61" t="s">
        <v>2789</v>
      </c>
      <c r="K22" s="61"/>
      <c r="L22" s="61"/>
    </row>
    <row r="23" spans="1:12" ht="62.1" customHeight="1">
      <c r="A23" s="61"/>
      <c r="B23" s="61" t="s">
        <v>2790</v>
      </c>
      <c r="C23" s="61" t="s">
        <v>757</v>
      </c>
      <c r="D23" s="61" t="s">
        <v>2791</v>
      </c>
      <c r="E23" s="61" t="str">
        <f t="shared" si="0"/>
        <v>400722122</v>
      </c>
      <c r="F23" s="61" t="s">
        <v>2792</v>
      </c>
      <c r="G23" s="61" t="s">
        <v>2746</v>
      </c>
      <c r="H23" s="61" t="s">
        <v>42</v>
      </c>
      <c r="I23" s="61" t="s">
        <v>2733</v>
      </c>
      <c r="J23" s="61" t="s">
        <v>2793</v>
      </c>
      <c r="K23" s="61"/>
      <c r="L23" s="61"/>
    </row>
    <row r="24" spans="1:12" ht="15.95" customHeight="1">
      <c r="A24" s="61"/>
      <c r="B24" s="61" t="s">
        <v>2794</v>
      </c>
      <c r="C24" s="61" t="s">
        <v>1206</v>
      </c>
      <c r="D24" s="61" t="s">
        <v>1207</v>
      </c>
      <c r="E24" s="61" t="str">
        <f t="shared" si="0"/>
        <v>N64515422</v>
      </c>
      <c r="F24" s="61" t="s">
        <v>2795</v>
      </c>
      <c r="G24" s="61" t="s">
        <v>2727</v>
      </c>
      <c r="H24" s="61" t="s">
        <v>42</v>
      </c>
      <c r="I24" s="61" t="s">
        <v>2733</v>
      </c>
      <c r="J24" s="61" t="s">
        <v>2796</v>
      </c>
      <c r="K24" s="61"/>
      <c r="L24" s="61"/>
    </row>
    <row r="25" spans="1:12" ht="84.95" customHeight="1">
      <c r="A25" s="61"/>
      <c r="B25" s="61" t="s">
        <v>2734</v>
      </c>
      <c r="C25" s="61" t="s">
        <v>2797</v>
      </c>
      <c r="D25" s="61" t="s">
        <v>2798</v>
      </c>
      <c r="E25" s="61" t="str">
        <f t="shared" si="0"/>
        <v>N64514813</v>
      </c>
      <c r="F25" s="61" t="s">
        <v>2799</v>
      </c>
      <c r="G25" s="61" t="s">
        <v>2727</v>
      </c>
      <c r="H25" s="61" t="s">
        <v>42</v>
      </c>
      <c r="I25" s="61" t="s">
        <v>2733</v>
      </c>
      <c r="J25" s="61" t="s">
        <v>1332</v>
      </c>
      <c r="K25" s="61"/>
      <c r="L25" s="61"/>
    </row>
    <row r="26" spans="1:12" ht="27" customHeight="1">
      <c r="A26" s="61"/>
      <c r="B26" s="61" t="s">
        <v>2800</v>
      </c>
      <c r="C26" s="61" t="s">
        <v>931</v>
      </c>
      <c r="D26" s="61" t="s">
        <v>2801</v>
      </c>
      <c r="E26" s="61" t="str">
        <f t="shared" si="0"/>
        <v>403558537</v>
      </c>
      <c r="F26" s="61" t="s">
        <v>932</v>
      </c>
      <c r="G26" s="61" t="s">
        <v>2783</v>
      </c>
      <c r="H26" s="61" t="s">
        <v>42</v>
      </c>
      <c r="I26" s="61" t="s">
        <v>2733</v>
      </c>
      <c r="J26" s="61" t="s">
        <v>2802</v>
      </c>
      <c r="K26" s="61"/>
      <c r="L26" s="61"/>
    </row>
    <row r="27" spans="1:12" ht="15.95" customHeight="1">
      <c r="A27" s="61"/>
      <c r="B27" s="61" t="s">
        <v>2734</v>
      </c>
      <c r="C27" s="61" t="s">
        <v>2803</v>
      </c>
      <c r="D27" s="61" t="s">
        <v>2804</v>
      </c>
      <c r="E27" s="61" t="str">
        <f t="shared" si="0"/>
        <v>401459773</v>
      </c>
      <c r="F27" s="61" t="s">
        <v>2805</v>
      </c>
      <c r="G27" s="61" t="s">
        <v>2783</v>
      </c>
      <c r="H27" s="61" t="s">
        <v>42</v>
      </c>
      <c r="I27" s="61" t="s">
        <v>2733</v>
      </c>
      <c r="J27" s="61" t="s">
        <v>1332</v>
      </c>
      <c r="K27" s="61"/>
      <c r="L27" s="61"/>
    </row>
    <row r="28" spans="1:12" ht="38.1" customHeight="1">
      <c r="A28" s="61"/>
      <c r="B28" s="61" t="s">
        <v>2806</v>
      </c>
      <c r="C28" s="61" t="s">
        <v>1287</v>
      </c>
      <c r="D28" s="61" t="s">
        <v>2807</v>
      </c>
      <c r="E28" s="61" t="str">
        <f t="shared" si="0"/>
        <v>400752821</v>
      </c>
      <c r="F28" s="61" t="s">
        <v>2808</v>
      </c>
      <c r="G28" s="61" t="s">
        <v>2727</v>
      </c>
      <c r="H28" s="61" t="s">
        <v>42</v>
      </c>
      <c r="I28" s="61" t="s">
        <v>2733</v>
      </c>
      <c r="J28" s="61" t="s">
        <v>2809</v>
      </c>
      <c r="K28" s="61"/>
      <c r="L28" s="61"/>
    </row>
    <row r="29" spans="1:12" ht="62.1" customHeight="1">
      <c r="A29" s="61"/>
      <c r="B29" s="61" t="s">
        <v>2810</v>
      </c>
      <c r="C29" s="61" t="s">
        <v>349</v>
      </c>
      <c r="D29" s="61" t="s">
        <v>2811</v>
      </c>
      <c r="E29" s="61" t="str">
        <f t="shared" si="0"/>
        <v>404495499</v>
      </c>
      <c r="F29" s="61" t="s">
        <v>2812</v>
      </c>
      <c r="G29" s="61" t="s">
        <v>2800</v>
      </c>
      <c r="H29" s="61" t="s">
        <v>42</v>
      </c>
      <c r="I29" s="61" t="s">
        <v>2733</v>
      </c>
      <c r="J29" s="61" t="s">
        <v>2813</v>
      </c>
      <c r="K29" s="61"/>
      <c r="L29" s="61"/>
    </row>
    <row r="30" spans="1:12" ht="62.1" customHeight="1">
      <c r="A30" s="61"/>
      <c r="B30" s="61" t="s">
        <v>2734</v>
      </c>
      <c r="C30" s="61" t="s">
        <v>2814</v>
      </c>
      <c r="D30" s="61" t="s">
        <v>2815</v>
      </c>
      <c r="E30" s="61" t="str">
        <f t="shared" si="0"/>
        <v>400236250</v>
      </c>
      <c r="F30" s="61" t="s">
        <v>2816</v>
      </c>
      <c r="G30" s="61" t="s">
        <v>2800</v>
      </c>
      <c r="H30" s="61" t="s">
        <v>42</v>
      </c>
      <c r="I30" s="61" t="s">
        <v>2733</v>
      </c>
      <c r="J30" s="61" t="s">
        <v>1332</v>
      </c>
      <c r="K30" s="61"/>
      <c r="L30" s="61"/>
    </row>
    <row r="31" spans="1:12" ht="15.95" customHeight="1">
      <c r="A31" s="61"/>
      <c r="B31" s="61" t="s">
        <v>2734</v>
      </c>
      <c r="C31" s="61" t="s">
        <v>2091</v>
      </c>
      <c r="D31" s="61" t="s">
        <v>2817</v>
      </c>
      <c r="E31" s="61" t="str">
        <f t="shared" si="0"/>
        <v>400601404</v>
      </c>
      <c r="F31" s="61" t="s">
        <v>2090</v>
      </c>
      <c r="G31" s="61" t="s">
        <v>2800</v>
      </c>
      <c r="H31" s="61" t="s">
        <v>42</v>
      </c>
      <c r="I31" s="61" t="s">
        <v>2733</v>
      </c>
      <c r="J31" s="61" t="s">
        <v>1332</v>
      </c>
      <c r="K31" s="61"/>
      <c r="L31" s="61"/>
    </row>
    <row r="32" spans="1:12" ht="62.1" customHeight="1">
      <c r="A32" s="61"/>
      <c r="B32" s="61" t="s">
        <v>2818</v>
      </c>
      <c r="C32" s="61" t="s">
        <v>773</v>
      </c>
      <c r="D32" s="61" t="s">
        <v>2819</v>
      </c>
      <c r="E32" s="61" t="str">
        <f t="shared" si="0"/>
        <v>411760384</v>
      </c>
      <c r="F32" s="61" t="s">
        <v>2820</v>
      </c>
      <c r="G32" s="61" t="s">
        <v>2730</v>
      </c>
      <c r="H32" s="61" t="s">
        <v>42</v>
      </c>
      <c r="I32" s="61" t="s">
        <v>2733</v>
      </c>
      <c r="J32" s="61" t="s">
        <v>2821</v>
      </c>
      <c r="K32" s="61"/>
      <c r="L32" s="61"/>
    </row>
    <row r="33" spans="1:12" ht="15.95" customHeight="1">
      <c r="A33" s="61"/>
      <c r="B33" s="61" t="s">
        <v>2734</v>
      </c>
      <c r="C33" s="61" t="s">
        <v>2089</v>
      </c>
      <c r="D33" s="61" t="s">
        <v>2822</v>
      </c>
      <c r="E33" s="61" t="str">
        <f t="shared" si="0"/>
        <v>400601401</v>
      </c>
      <c r="F33" s="61" t="s">
        <v>2823</v>
      </c>
      <c r="G33" s="61" t="s">
        <v>2730</v>
      </c>
      <c r="H33" s="61" t="s">
        <v>42</v>
      </c>
      <c r="I33" s="61" t="s">
        <v>2733</v>
      </c>
      <c r="J33" s="61" t="s">
        <v>1332</v>
      </c>
      <c r="K33" s="61"/>
      <c r="L33" s="61"/>
    </row>
    <row r="34" spans="1:12" ht="96.95" customHeight="1">
      <c r="A34" s="61"/>
      <c r="B34" s="61" t="s">
        <v>2824</v>
      </c>
      <c r="C34" s="61" t="s">
        <v>1110</v>
      </c>
      <c r="D34" s="61" t="s">
        <v>1111</v>
      </c>
      <c r="E34" s="61" t="str">
        <f t="shared" si="0"/>
        <v>N64529977</v>
      </c>
      <c r="F34" s="61" t="s">
        <v>2825</v>
      </c>
      <c r="G34" s="61" t="s">
        <v>2727</v>
      </c>
      <c r="H34" s="61" t="s">
        <v>42</v>
      </c>
      <c r="I34" s="61" t="s">
        <v>2733</v>
      </c>
      <c r="J34" s="61" t="s">
        <v>2826</v>
      </c>
      <c r="K34" s="61"/>
      <c r="L34" s="61"/>
    </row>
    <row r="35" spans="1:12" ht="38.1" customHeight="1">
      <c r="A35" s="61"/>
      <c r="B35" s="61" t="s">
        <v>2827</v>
      </c>
      <c r="C35" s="61" t="s">
        <v>2706</v>
      </c>
      <c r="D35" s="61" t="s">
        <v>2828</v>
      </c>
      <c r="E35" s="61" t="str">
        <f t="shared" si="0"/>
        <v>732602347</v>
      </c>
      <c r="F35" s="61" t="s">
        <v>2829</v>
      </c>
      <c r="G35" s="61" t="s">
        <v>165</v>
      </c>
      <c r="H35" s="61" t="s">
        <v>164</v>
      </c>
      <c r="I35" s="61" t="s">
        <v>2733</v>
      </c>
      <c r="J35" s="61" t="s">
        <v>1332</v>
      </c>
      <c r="K35" s="61"/>
      <c r="L35" s="61"/>
    </row>
    <row r="36" spans="1:12" ht="38.1" customHeight="1">
      <c r="A36" s="61"/>
      <c r="B36" s="61" t="s">
        <v>2734</v>
      </c>
      <c r="C36" s="61" t="s">
        <v>2707</v>
      </c>
      <c r="D36" s="61" t="s">
        <v>2830</v>
      </c>
      <c r="E36" s="61" t="str">
        <f t="shared" si="0"/>
        <v>732680665</v>
      </c>
      <c r="F36" s="61" t="s">
        <v>2831</v>
      </c>
      <c r="G36" s="61" t="s">
        <v>165</v>
      </c>
      <c r="H36" s="61" t="s">
        <v>164</v>
      </c>
      <c r="I36" s="61" t="s">
        <v>2733</v>
      </c>
      <c r="J36" s="61" t="s">
        <v>1332</v>
      </c>
      <c r="K36" s="61"/>
      <c r="L36" s="61"/>
    </row>
    <row r="37" spans="1:12" ht="62.1" customHeight="1">
      <c r="A37" s="61"/>
      <c r="B37" s="61" t="s">
        <v>2832</v>
      </c>
      <c r="C37" s="61" t="s">
        <v>1076</v>
      </c>
      <c r="D37" s="61" t="s">
        <v>2833</v>
      </c>
      <c r="E37" s="61" t="str">
        <f t="shared" si="0"/>
        <v>514201177</v>
      </c>
      <c r="F37" s="61" t="s">
        <v>2834</v>
      </c>
      <c r="G37" s="61" t="s">
        <v>2746</v>
      </c>
      <c r="H37" s="61" t="s">
        <v>42</v>
      </c>
      <c r="I37" s="61" t="s">
        <v>2733</v>
      </c>
      <c r="J37" s="61" t="s">
        <v>1332</v>
      </c>
      <c r="K37" s="61"/>
      <c r="L37" s="61"/>
    </row>
    <row r="38" spans="1:12" ht="62.1" customHeight="1">
      <c r="A38" s="61"/>
      <c r="B38" s="61" t="s">
        <v>2835</v>
      </c>
      <c r="C38" s="61" t="s">
        <v>1052</v>
      </c>
      <c r="D38" s="61" t="s">
        <v>2836</v>
      </c>
      <c r="E38" s="61" t="str">
        <f t="shared" si="0"/>
        <v>514301548</v>
      </c>
      <c r="F38" s="61" t="s">
        <v>2837</v>
      </c>
      <c r="G38" s="61" t="s">
        <v>2746</v>
      </c>
      <c r="H38" s="61" t="s">
        <v>42</v>
      </c>
      <c r="I38" s="61" t="s">
        <v>2733</v>
      </c>
      <c r="J38" s="61" t="s">
        <v>1332</v>
      </c>
      <c r="K38" s="61"/>
      <c r="L38" s="61"/>
    </row>
    <row r="39" spans="1:12" ht="96.95" customHeight="1">
      <c r="A39" s="61"/>
      <c r="B39" s="61" t="s">
        <v>2838</v>
      </c>
      <c r="C39" s="61" t="s">
        <v>1060</v>
      </c>
      <c r="D39" s="61" t="s">
        <v>2839</v>
      </c>
      <c r="E39" s="61" t="str">
        <f t="shared" si="0"/>
        <v>512308677</v>
      </c>
      <c r="F39" s="61" t="s">
        <v>2840</v>
      </c>
      <c r="G39" s="61" t="s">
        <v>2730</v>
      </c>
      <c r="H39" s="61" t="s">
        <v>42</v>
      </c>
      <c r="I39" s="61" t="s">
        <v>2733</v>
      </c>
      <c r="J39" s="61" t="s">
        <v>1332</v>
      </c>
      <c r="K39" s="61"/>
      <c r="L39" s="61"/>
    </row>
    <row r="40" spans="1:12" ht="27" customHeight="1">
      <c r="A40" s="61"/>
      <c r="B40" s="61" t="s">
        <v>2841</v>
      </c>
      <c r="C40" s="61" t="s">
        <v>256</v>
      </c>
      <c r="D40" s="61" t="s">
        <v>257</v>
      </c>
      <c r="E40" s="61" t="str">
        <f t="shared" si="0"/>
        <v>N64854987</v>
      </c>
      <c r="F40" s="61" t="s">
        <v>2842</v>
      </c>
      <c r="G40" s="61" t="s">
        <v>2843</v>
      </c>
      <c r="H40" s="61" t="s">
        <v>42</v>
      </c>
      <c r="I40" s="61" t="s">
        <v>2733</v>
      </c>
      <c r="J40" s="61" t="s">
        <v>1332</v>
      </c>
      <c r="K40" s="61"/>
      <c r="L40" s="61"/>
    </row>
    <row r="41" spans="1:12" ht="27" customHeight="1">
      <c r="A41" s="61"/>
      <c r="B41" s="61" t="s">
        <v>2734</v>
      </c>
      <c r="C41" s="61" t="s">
        <v>1742</v>
      </c>
      <c r="D41" s="61" t="s">
        <v>1740</v>
      </c>
      <c r="E41" s="61" t="str">
        <f t="shared" si="0"/>
        <v>N64832827</v>
      </c>
      <c r="F41" s="61" t="s">
        <v>2844</v>
      </c>
      <c r="G41" s="61" t="s">
        <v>2843</v>
      </c>
      <c r="H41" s="61" t="s">
        <v>42</v>
      </c>
      <c r="I41" s="61" t="s">
        <v>2733</v>
      </c>
      <c r="J41" s="61" t="s">
        <v>1332</v>
      </c>
      <c r="K41" s="61"/>
      <c r="L41" s="61"/>
    </row>
    <row r="42" spans="1:12" ht="15.95" customHeight="1">
      <c r="A42" s="61"/>
      <c r="B42" s="61" t="s">
        <v>2845</v>
      </c>
      <c r="C42" s="61" t="s">
        <v>289</v>
      </c>
      <c r="D42" s="61" t="s">
        <v>2846</v>
      </c>
      <c r="E42" s="61" t="str">
        <f t="shared" si="0"/>
        <v>407632533</v>
      </c>
      <c r="F42" s="61" t="s">
        <v>290</v>
      </c>
      <c r="G42" s="61" t="s">
        <v>2727</v>
      </c>
      <c r="H42" s="61" t="s">
        <v>42</v>
      </c>
      <c r="I42" s="61" t="s">
        <v>2733</v>
      </c>
      <c r="J42" s="61" t="s">
        <v>2847</v>
      </c>
      <c r="K42" s="61"/>
      <c r="L42" s="61"/>
    </row>
    <row r="43" spans="1:12" ht="15.95" customHeight="1">
      <c r="A43" s="61"/>
      <c r="B43" s="61" t="s">
        <v>2734</v>
      </c>
      <c r="C43" s="61" t="s">
        <v>1927</v>
      </c>
      <c r="D43" s="61" t="s">
        <v>1925</v>
      </c>
      <c r="E43" s="61" t="str">
        <f t="shared" si="0"/>
        <v>N60508348</v>
      </c>
      <c r="F43" s="61" t="s">
        <v>1926</v>
      </c>
      <c r="G43" s="61" t="s">
        <v>2727</v>
      </c>
      <c r="H43" s="61" t="s">
        <v>42</v>
      </c>
      <c r="I43" s="61" t="s">
        <v>2733</v>
      </c>
      <c r="J43" s="61" t="s">
        <v>1332</v>
      </c>
      <c r="K43" s="61"/>
      <c r="L43" s="61"/>
    </row>
    <row r="44" spans="1:12" ht="15.95" customHeight="1">
      <c r="A44" s="61"/>
      <c r="B44" s="61" t="s">
        <v>2734</v>
      </c>
      <c r="C44" s="61" t="s">
        <v>1924</v>
      </c>
      <c r="D44" s="61" t="s">
        <v>2848</v>
      </c>
      <c r="E44" s="61" t="str">
        <f t="shared" si="0"/>
        <v>404312486</v>
      </c>
      <c r="F44" s="61" t="s">
        <v>290</v>
      </c>
      <c r="G44" s="61" t="s">
        <v>2727</v>
      </c>
      <c r="H44" s="61" t="s">
        <v>42</v>
      </c>
      <c r="I44" s="61" t="s">
        <v>2733</v>
      </c>
      <c r="J44" s="61" t="s">
        <v>1332</v>
      </c>
      <c r="K44" s="61"/>
      <c r="L44" s="61"/>
    </row>
    <row r="45" spans="1:12" ht="27" customHeight="1">
      <c r="A45" s="61"/>
      <c r="B45" s="61" t="s">
        <v>2849</v>
      </c>
      <c r="C45" s="61" t="s">
        <v>313</v>
      </c>
      <c r="D45" s="61" t="s">
        <v>2850</v>
      </c>
      <c r="E45" s="61" t="str">
        <f t="shared" si="0"/>
        <v>425167977</v>
      </c>
      <c r="F45" s="61" t="s">
        <v>314</v>
      </c>
      <c r="G45" s="61" t="s">
        <v>2727</v>
      </c>
      <c r="H45" s="61" t="s">
        <v>42</v>
      </c>
      <c r="I45" s="61" t="s">
        <v>2733</v>
      </c>
      <c r="J45" s="61" t="s">
        <v>2851</v>
      </c>
      <c r="K45" s="61"/>
      <c r="L45" s="61"/>
    </row>
    <row r="46" spans="1:12" ht="50.1" customHeight="1">
      <c r="A46" s="61"/>
      <c r="B46" s="61" t="s">
        <v>2852</v>
      </c>
      <c r="C46" s="61" t="s">
        <v>321</v>
      </c>
      <c r="D46" s="61" t="s">
        <v>2853</v>
      </c>
      <c r="E46" s="61" t="str">
        <f t="shared" si="0"/>
        <v>400637607</v>
      </c>
      <c r="F46" s="61" t="s">
        <v>322</v>
      </c>
      <c r="G46" s="61" t="s">
        <v>2790</v>
      </c>
      <c r="H46" s="61" t="s">
        <v>42</v>
      </c>
      <c r="I46" s="61" t="s">
        <v>2733</v>
      </c>
      <c r="J46" s="61" t="s">
        <v>2854</v>
      </c>
      <c r="K46" s="61"/>
      <c r="L46" s="61"/>
    </row>
    <row r="47" spans="1:12" ht="27" customHeight="1">
      <c r="A47" s="61"/>
      <c r="B47" s="61" t="s">
        <v>2734</v>
      </c>
      <c r="C47" s="61" t="s">
        <v>1876</v>
      </c>
      <c r="D47" s="61" t="s">
        <v>2855</v>
      </c>
      <c r="E47" s="61" t="str">
        <f t="shared" si="0"/>
        <v>400610118</v>
      </c>
      <c r="F47" s="61" t="s">
        <v>1875</v>
      </c>
      <c r="G47" s="61" t="s">
        <v>2790</v>
      </c>
      <c r="H47" s="61" t="s">
        <v>42</v>
      </c>
      <c r="I47" s="61" t="s">
        <v>2733</v>
      </c>
      <c r="J47" s="61" t="s">
        <v>1332</v>
      </c>
      <c r="K47" s="61"/>
      <c r="L47" s="61"/>
    </row>
    <row r="48" spans="1:12" ht="15.95" customHeight="1">
      <c r="A48" s="61"/>
      <c r="B48" s="61" t="s">
        <v>2856</v>
      </c>
      <c r="C48" s="61" t="s">
        <v>1186</v>
      </c>
      <c r="D48" s="61" t="s">
        <v>2857</v>
      </c>
      <c r="E48" s="61" t="str">
        <f t="shared" si="0"/>
        <v>400637608</v>
      </c>
      <c r="F48" s="61" t="s">
        <v>1187</v>
      </c>
      <c r="G48" s="61" t="s">
        <v>2730</v>
      </c>
      <c r="H48" s="61" t="s">
        <v>42</v>
      </c>
      <c r="I48" s="61" t="s">
        <v>2733</v>
      </c>
      <c r="J48" s="61" t="s">
        <v>2858</v>
      </c>
      <c r="K48" s="61"/>
      <c r="L48" s="61"/>
    </row>
    <row r="49" spans="1:12" ht="27" customHeight="1">
      <c r="A49" s="61"/>
      <c r="B49" s="61" t="s">
        <v>2734</v>
      </c>
      <c r="C49" s="61" t="s">
        <v>1878</v>
      </c>
      <c r="D49" s="61" t="s">
        <v>2859</v>
      </c>
      <c r="E49" s="61" t="str">
        <f t="shared" si="0"/>
        <v>400590933</v>
      </c>
      <c r="F49" s="61" t="s">
        <v>1877</v>
      </c>
      <c r="G49" s="61" t="s">
        <v>2730</v>
      </c>
      <c r="H49" s="61" t="s">
        <v>42</v>
      </c>
      <c r="I49" s="61" t="s">
        <v>2733</v>
      </c>
      <c r="J49" s="61" t="s">
        <v>1332</v>
      </c>
      <c r="K49" s="61"/>
      <c r="L49" s="61"/>
    </row>
    <row r="50" spans="1:12" ht="27" customHeight="1">
      <c r="A50" s="61"/>
      <c r="B50" s="61" t="s">
        <v>2860</v>
      </c>
      <c r="C50" s="61" t="s">
        <v>328</v>
      </c>
      <c r="D50" s="61" t="s">
        <v>2861</v>
      </c>
      <c r="E50" s="61" t="str">
        <f t="shared" si="0"/>
        <v>402415463</v>
      </c>
      <c r="F50" s="61" t="s">
        <v>329</v>
      </c>
      <c r="G50" s="61" t="s">
        <v>2727</v>
      </c>
      <c r="H50" s="61" t="s">
        <v>42</v>
      </c>
      <c r="I50" s="61" t="s">
        <v>2733</v>
      </c>
      <c r="J50" s="61" t="s">
        <v>2862</v>
      </c>
      <c r="K50" s="61"/>
      <c r="L50" s="61"/>
    </row>
    <row r="51" spans="1:12" ht="27" customHeight="1">
      <c r="A51" s="61"/>
      <c r="B51" s="61" t="s">
        <v>2734</v>
      </c>
      <c r="C51" s="61" t="s">
        <v>1745</v>
      </c>
      <c r="D51" s="61" t="s">
        <v>1743</v>
      </c>
      <c r="E51" s="61" t="str">
        <f t="shared" si="0"/>
        <v>N58619156</v>
      </c>
      <c r="F51" s="61" t="s">
        <v>1744</v>
      </c>
      <c r="G51" s="61" t="s">
        <v>2727</v>
      </c>
      <c r="H51" s="61" t="s">
        <v>42</v>
      </c>
      <c r="I51" s="61" t="s">
        <v>2733</v>
      </c>
      <c r="J51" s="61" t="s">
        <v>1332</v>
      </c>
      <c r="K51" s="61"/>
      <c r="L51" s="61"/>
    </row>
    <row r="52" spans="1:12" ht="27" customHeight="1">
      <c r="A52" s="61"/>
      <c r="B52" s="61" t="s">
        <v>2863</v>
      </c>
      <c r="C52" s="61" t="s">
        <v>331</v>
      </c>
      <c r="D52" s="61" t="s">
        <v>2864</v>
      </c>
      <c r="E52" s="61" t="str">
        <f t="shared" si="0"/>
        <v>401349548</v>
      </c>
      <c r="F52" s="61" t="s">
        <v>332</v>
      </c>
      <c r="G52" s="61" t="s">
        <v>2744</v>
      </c>
      <c r="H52" s="61" t="s">
        <v>42</v>
      </c>
      <c r="I52" s="61" t="s">
        <v>2733</v>
      </c>
      <c r="J52" s="61" t="s">
        <v>2865</v>
      </c>
      <c r="K52" s="61"/>
      <c r="L52" s="61"/>
    </row>
    <row r="53" spans="1:12" ht="15.95" customHeight="1">
      <c r="A53" s="61"/>
      <c r="B53" s="61" t="s">
        <v>2734</v>
      </c>
      <c r="C53" s="61" t="s">
        <v>2866</v>
      </c>
      <c r="D53" s="61" t="s">
        <v>2867</v>
      </c>
      <c r="E53" s="61" t="str">
        <f t="shared" si="0"/>
        <v>400151688</v>
      </c>
      <c r="F53" s="61" t="s">
        <v>2107</v>
      </c>
      <c r="G53" s="61" t="s">
        <v>2744</v>
      </c>
      <c r="H53" s="61" t="s">
        <v>42</v>
      </c>
      <c r="I53" s="61" t="s">
        <v>2733</v>
      </c>
      <c r="J53" s="61" t="s">
        <v>1332</v>
      </c>
      <c r="K53" s="61"/>
      <c r="L53" s="61"/>
    </row>
    <row r="54" spans="1:12" ht="15.95" customHeight="1">
      <c r="A54" s="61"/>
      <c r="B54" s="61" t="s">
        <v>2734</v>
      </c>
      <c r="C54" s="61" t="s">
        <v>2106</v>
      </c>
      <c r="D54" s="61" t="s">
        <v>2868</v>
      </c>
      <c r="E54" s="61" t="str">
        <f t="shared" si="0"/>
        <v>402415464</v>
      </c>
      <c r="F54" s="61" t="s">
        <v>332</v>
      </c>
      <c r="G54" s="61" t="s">
        <v>2744</v>
      </c>
      <c r="H54" s="61" t="s">
        <v>42</v>
      </c>
      <c r="I54" s="61" t="s">
        <v>2733</v>
      </c>
      <c r="J54" s="61" t="s">
        <v>1332</v>
      </c>
      <c r="K54" s="61"/>
      <c r="L54" s="61"/>
    </row>
    <row r="55" spans="1:12" ht="27" customHeight="1">
      <c r="A55" s="61"/>
      <c r="B55" s="61" t="s">
        <v>2869</v>
      </c>
      <c r="C55" s="61" t="s">
        <v>333</v>
      </c>
      <c r="D55" s="61" t="s">
        <v>2870</v>
      </c>
      <c r="E55" s="61" t="str">
        <f t="shared" si="0"/>
        <v>401039812</v>
      </c>
      <c r="F55" s="61" t="s">
        <v>334</v>
      </c>
      <c r="G55" s="61" t="s">
        <v>2790</v>
      </c>
      <c r="H55" s="61" t="s">
        <v>42</v>
      </c>
      <c r="I55" s="61" t="s">
        <v>2733</v>
      </c>
      <c r="J55" s="61" t="s">
        <v>2871</v>
      </c>
      <c r="K55" s="61"/>
      <c r="L55" s="61"/>
    </row>
    <row r="56" spans="1:12" ht="15.95" customHeight="1">
      <c r="A56" s="61"/>
      <c r="B56" s="61" t="s">
        <v>2734</v>
      </c>
      <c r="C56" s="61" t="s">
        <v>2872</v>
      </c>
      <c r="D56" s="61" t="s">
        <v>2873</v>
      </c>
      <c r="E56" s="61" t="str">
        <f t="shared" si="0"/>
        <v>N58130519</v>
      </c>
      <c r="F56" s="61" t="s">
        <v>1831</v>
      </c>
      <c r="G56" s="61" t="s">
        <v>2790</v>
      </c>
      <c r="H56" s="61" t="s">
        <v>42</v>
      </c>
      <c r="I56" s="61" t="s">
        <v>2733</v>
      </c>
      <c r="J56" s="61" t="s">
        <v>1332</v>
      </c>
      <c r="K56" s="61"/>
      <c r="L56" s="61"/>
    </row>
    <row r="57" spans="1:12" ht="15.95" customHeight="1">
      <c r="A57" s="61"/>
      <c r="B57" s="61" t="s">
        <v>2734</v>
      </c>
      <c r="C57" s="61" t="s">
        <v>1832</v>
      </c>
      <c r="D57" s="61" t="s">
        <v>2874</v>
      </c>
      <c r="E57" s="61" t="str">
        <f t="shared" si="0"/>
        <v>400687676</v>
      </c>
      <c r="F57" s="61" t="s">
        <v>2875</v>
      </c>
      <c r="G57" s="61" t="s">
        <v>2790</v>
      </c>
      <c r="H57" s="61" t="s">
        <v>42</v>
      </c>
      <c r="I57" s="61" t="s">
        <v>2733</v>
      </c>
      <c r="J57" s="61" t="s">
        <v>1332</v>
      </c>
      <c r="K57" s="61"/>
      <c r="L57" s="61"/>
    </row>
    <row r="58" spans="1:12" ht="15.95" customHeight="1">
      <c r="A58" s="61"/>
      <c r="B58" s="61" t="s">
        <v>2876</v>
      </c>
      <c r="C58" s="61" t="s">
        <v>335</v>
      </c>
      <c r="D58" s="61" t="s">
        <v>2877</v>
      </c>
      <c r="E58" s="61" t="str">
        <f t="shared" si="0"/>
        <v>405802980</v>
      </c>
      <c r="F58" s="61" t="s">
        <v>336</v>
      </c>
      <c r="G58" s="61" t="s">
        <v>2730</v>
      </c>
      <c r="H58" s="61" t="s">
        <v>42</v>
      </c>
      <c r="I58" s="61" t="s">
        <v>2733</v>
      </c>
      <c r="J58" s="61" t="s">
        <v>2878</v>
      </c>
      <c r="K58" s="61"/>
      <c r="L58" s="61"/>
    </row>
    <row r="59" spans="1:12" ht="15.95" customHeight="1">
      <c r="A59" s="61"/>
      <c r="B59" s="61" t="s">
        <v>2734</v>
      </c>
      <c r="C59" s="61" t="s">
        <v>2879</v>
      </c>
      <c r="D59" s="61" t="s">
        <v>2880</v>
      </c>
      <c r="E59" s="61" t="str">
        <f t="shared" si="0"/>
        <v>N58599523</v>
      </c>
      <c r="F59" s="61" t="s">
        <v>336</v>
      </c>
      <c r="G59" s="61" t="s">
        <v>2730</v>
      </c>
      <c r="H59" s="61" t="s">
        <v>42</v>
      </c>
      <c r="I59" s="61" t="s">
        <v>2733</v>
      </c>
      <c r="J59" s="61" t="s">
        <v>1332</v>
      </c>
      <c r="K59" s="61"/>
      <c r="L59" s="61"/>
    </row>
    <row r="60" spans="1:12" ht="27" customHeight="1">
      <c r="A60" s="61"/>
      <c r="B60" s="61" t="s">
        <v>2881</v>
      </c>
      <c r="C60" s="61" t="s">
        <v>337</v>
      </c>
      <c r="D60" s="61" t="s">
        <v>2882</v>
      </c>
      <c r="E60" s="61" t="str">
        <f t="shared" si="0"/>
        <v>400565164</v>
      </c>
      <c r="F60" s="61" t="s">
        <v>338</v>
      </c>
      <c r="G60" s="61" t="s">
        <v>2727</v>
      </c>
      <c r="H60" s="61" t="s">
        <v>42</v>
      </c>
      <c r="I60" s="61" t="s">
        <v>2733</v>
      </c>
      <c r="J60" s="61" t="s">
        <v>2883</v>
      </c>
      <c r="K60" s="61"/>
      <c r="L60" s="61"/>
    </row>
    <row r="61" spans="1:12" ht="50.1" customHeight="1">
      <c r="A61" s="61"/>
      <c r="B61" s="61" t="s">
        <v>2884</v>
      </c>
      <c r="C61" s="61" t="s">
        <v>1188</v>
      </c>
      <c r="D61" s="61" t="s">
        <v>2885</v>
      </c>
      <c r="E61" s="61" t="str">
        <f t="shared" si="0"/>
        <v>403218030</v>
      </c>
      <c r="F61" s="61" t="s">
        <v>1189</v>
      </c>
      <c r="G61" s="61" t="s">
        <v>2790</v>
      </c>
      <c r="H61" s="61" t="s">
        <v>42</v>
      </c>
      <c r="I61" s="61" t="s">
        <v>2733</v>
      </c>
      <c r="J61" s="61" t="s">
        <v>2886</v>
      </c>
      <c r="K61" s="61"/>
      <c r="L61" s="61"/>
    </row>
    <row r="62" spans="1:12" ht="15.95" customHeight="1">
      <c r="A62" s="61"/>
      <c r="B62" s="61" t="s">
        <v>2734</v>
      </c>
      <c r="C62" s="61" t="s">
        <v>1881</v>
      </c>
      <c r="D62" s="61" t="s">
        <v>2887</v>
      </c>
      <c r="E62" s="61" t="str">
        <f t="shared" si="0"/>
        <v>400607940</v>
      </c>
      <c r="F62" s="61" t="s">
        <v>1880</v>
      </c>
      <c r="G62" s="61" t="s">
        <v>2790</v>
      </c>
      <c r="H62" s="61" t="s">
        <v>42</v>
      </c>
      <c r="I62" s="61" t="s">
        <v>2733</v>
      </c>
      <c r="J62" s="61" t="s">
        <v>1332</v>
      </c>
      <c r="K62" s="61"/>
      <c r="L62" s="61"/>
    </row>
    <row r="63" spans="1:12" ht="15.95" customHeight="1">
      <c r="A63" s="61"/>
      <c r="B63" s="61" t="s">
        <v>2734</v>
      </c>
      <c r="C63" s="61" t="s">
        <v>1883</v>
      </c>
      <c r="D63" s="61" t="s">
        <v>2888</v>
      </c>
      <c r="E63" s="61" t="str">
        <f t="shared" si="0"/>
        <v>401038470</v>
      </c>
      <c r="F63" s="61" t="s">
        <v>1880</v>
      </c>
      <c r="G63" s="61" t="s">
        <v>2790</v>
      </c>
      <c r="H63" s="61" t="s">
        <v>42</v>
      </c>
      <c r="I63" s="61" t="s">
        <v>2733</v>
      </c>
      <c r="J63" s="61" t="s">
        <v>1332</v>
      </c>
      <c r="K63" s="61"/>
      <c r="L63" s="61"/>
    </row>
    <row r="64" spans="1:12" ht="15.95" customHeight="1">
      <c r="A64" s="61"/>
      <c r="B64" s="61" t="s">
        <v>2889</v>
      </c>
      <c r="C64" s="61" t="s">
        <v>1190</v>
      </c>
      <c r="D64" s="61" t="s">
        <v>2890</v>
      </c>
      <c r="E64" s="61" t="str">
        <f t="shared" si="0"/>
        <v>400975919</v>
      </c>
      <c r="F64" s="61" t="s">
        <v>1191</v>
      </c>
      <c r="G64" s="61" t="s">
        <v>2746</v>
      </c>
      <c r="H64" s="61" t="s">
        <v>42</v>
      </c>
      <c r="I64" s="61" t="s">
        <v>2733</v>
      </c>
      <c r="J64" s="61" t="s">
        <v>2891</v>
      </c>
      <c r="K64" s="61"/>
      <c r="L64" s="61"/>
    </row>
    <row r="65" spans="1:12" ht="15.95" customHeight="1">
      <c r="A65" s="61"/>
      <c r="B65" s="61" t="s">
        <v>2734</v>
      </c>
      <c r="C65" s="61" t="s">
        <v>2892</v>
      </c>
      <c r="D65" s="61" t="s">
        <v>2893</v>
      </c>
      <c r="E65" s="61" t="str">
        <f t="shared" si="0"/>
        <v>400615162</v>
      </c>
      <c r="F65" s="61" t="s">
        <v>1191</v>
      </c>
      <c r="G65" s="61" t="s">
        <v>2746</v>
      </c>
      <c r="H65" s="61" t="s">
        <v>42</v>
      </c>
      <c r="I65" s="61" t="s">
        <v>2733</v>
      </c>
      <c r="J65" s="61" t="s">
        <v>1332</v>
      </c>
      <c r="K65" s="61"/>
      <c r="L65" s="61"/>
    </row>
    <row r="66" spans="1:12" ht="27" customHeight="1">
      <c r="A66" s="61"/>
      <c r="B66" s="61" t="s">
        <v>2734</v>
      </c>
      <c r="C66" s="61" t="s">
        <v>2894</v>
      </c>
      <c r="D66" s="61" t="s">
        <v>2895</v>
      </c>
      <c r="E66" s="61" t="str">
        <f t="shared" si="0"/>
        <v>400601124</v>
      </c>
      <c r="F66" s="61" t="s">
        <v>2896</v>
      </c>
      <c r="G66" s="61" t="s">
        <v>2746</v>
      </c>
      <c r="H66" s="61" t="s">
        <v>42</v>
      </c>
      <c r="I66" s="61" t="s">
        <v>2733</v>
      </c>
      <c r="J66" s="61" t="s">
        <v>1332</v>
      </c>
      <c r="K66" s="61"/>
      <c r="L66" s="61"/>
    </row>
    <row r="67" spans="1:12" ht="27" customHeight="1">
      <c r="A67" s="61"/>
      <c r="B67" s="61" t="s">
        <v>2897</v>
      </c>
      <c r="C67" s="61" t="s">
        <v>1194</v>
      </c>
      <c r="D67" s="61" t="s">
        <v>2898</v>
      </c>
      <c r="E67" s="61" t="str">
        <f t="shared" ref="E67:E130" si="1">LEFT(D67,9)</f>
        <v>400975918</v>
      </c>
      <c r="F67" s="61" t="s">
        <v>1195</v>
      </c>
      <c r="G67" s="61" t="s">
        <v>2727</v>
      </c>
      <c r="H67" s="61" t="s">
        <v>42</v>
      </c>
      <c r="I67" s="61" t="s">
        <v>2733</v>
      </c>
      <c r="J67" s="61" t="s">
        <v>2899</v>
      </c>
      <c r="K67" s="61"/>
      <c r="L67" s="61"/>
    </row>
    <row r="68" spans="1:12" ht="27" customHeight="1">
      <c r="A68" s="61"/>
      <c r="B68" s="61" t="s">
        <v>2734</v>
      </c>
      <c r="C68" s="61" t="s">
        <v>2900</v>
      </c>
      <c r="D68" s="61" t="s">
        <v>2901</v>
      </c>
      <c r="E68" s="61" t="str">
        <f t="shared" si="1"/>
        <v>400637029</v>
      </c>
      <c r="F68" s="61" t="s">
        <v>1195</v>
      </c>
      <c r="G68" s="61" t="s">
        <v>2727</v>
      </c>
      <c r="H68" s="61" t="s">
        <v>42</v>
      </c>
      <c r="I68" s="61" t="s">
        <v>2733</v>
      </c>
      <c r="J68" s="61" t="s">
        <v>1332</v>
      </c>
      <c r="K68" s="61"/>
      <c r="L68" s="61"/>
    </row>
    <row r="69" spans="1:12" ht="15.95" customHeight="1">
      <c r="A69" s="61"/>
      <c r="B69" s="61" t="s">
        <v>2902</v>
      </c>
      <c r="C69" s="61" t="s">
        <v>1196</v>
      </c>
      <c r="D69" s="61" t="s">
        <v>2903</v>
      </c>
      <c r="E69" s="61" t="str">
        <f t="shared" si="1"/>
        <v>400637612</v>
      </c>
      <c r="F69" s="61" t="s">
        <v>1197</v>
      </c>
      <c r="G69" s="61" t="s">
        <v>2730</v>
      </c>
      <c r="H69" s="61" t="s">
        <v>42</v>
      </c>
      <c r="I69" s="61" t="s">
        <v>2733</v>
      </c>
      <c r="J69" s="61" t="s">
        <v>2904</v>
      </c>
      <c r="K69" s="61"/>
      <c r="L69" s="61"/>
    </row>
    <row r="70" spans="1:12" ht="15.95" customHeight="1">
      <c r="A70" s="61"/>
      <c r="B70" s="61" t="s">
        <v>2734</v>
      </c>
      <c r="C70" s="61" t="s">
        <v>1885</v>
      </c>
      <c r="D70" s="61" t="s">
        <v>2905</v>
      </c>
      <c r="E70" s="61" t="str">
        <f t="shared" si="1"/>
        <v>400610116</v>
      </c>
      <c r="F70" s="61" t="s">
        <v>1884</v>
      </c>
      <c r="G70" s="61" t="s">
        <v>2730</v>
      </c>
      <c r="H70" s="61" t="s">
        <v>42</v>
      </c>
      <c r="I70" s="61" t="s">
        <v>2733</v>
      </c>
      <c r="J70" s="61" t="s">
        <v>1332</v>
      </c>
      <c r="K70" s="61"/>
      <c r="L70" s="61"/>
    </row>
    <row r="71" spans="1:12" ht="27" customHeight="1">
      <c r="A71" s="61"/>
      <c r="B71" s="61" t="s">
        <v>2906</v>
      </c>
      <c r="C71" s="61" t="s">
        <v>339</v>
      </c>
      <c r="D71" s="61" t="s">
        <v>2907</v>
      </c>
      <c r="E71" s="61" t="str">
        <f t="shared" si="1"/>
        <v>400625557</v>
      </c>
      <c r="F71" s="61" t="s">
        <v>340</v>
      </c>
      <c r="G71" s="61" t="s">
        <v>2727</v>
      </c>
      <c r="H71" s="61" t="s">
        <v>42</v>
      </c>
      <c r="I71" s="61" t="s">
        <v>2733</v>
      </c>
      <c r="J71" s="61" t="s">
        <v>2908</v>
      </c>
      <c r="K71" s="61"/>
      <c r="L71" s="61"/>
    </row>
    <row r="72" spans="1:12" ht="15.95" customHeight="1">
      <c r="A72" s="61"/>
      <c r="B72" s="61" t="s">
        <v>2909</v>
      </c>
      <c r="C72" s="61" t="s">
        <v>343</v>
      </c>
      <c r="D72" s="61" t="s">
        <v>2910</v>
      </c>
      <c r="E72" s="61" t="str">
        <f t="shared" si="1"/>
        <v>400522453</v>
      </c>
      <c r="F72" s="61" t="s">
        <v>344</v>
      </c>
      <c r="G72" s="61" t="s">
        <v>2727</v>
      </c>
      <c r="H72" s="61" t="s">
        <v>42</v>
      </c>
      <c r="I72" s="61" t="s">
        <v>2733</v>
      </c>
      <c r="J72" s="61" t="s">
        <v>2911</v>
      </c>
      <c r="K72" s="61"/>
      <c r="L72" s="61"/>
    </row>
    <row r="73" spans="1:12" ht="27" customHeight="1">
      <c r="A73" s="61"/>
      <c r="B73" s="61" t="s">
        <v>2912</v>
      </c>
      <c r="C73" s="61" t="s">
        <v>345</v>
      </c>
      <c r="D73" s="61" t="s">
        <v>2913</v>
      </c>
      <c r="E73" s="61" t="str">
        <f t="shared" si="1"/>
        <v>400637606</v>
      </c>
      <c r="F73" s="61" t="s">
        <v>346</v>
      </c>
      <c r="G73" s="61" t="s">
        <v>2727</v>
      </c>
      <c r="H73" s="61" t="s">
        <v>42</v>
      </c>
      <c r="I73" s="61" t="s">
        <v>2733</v>
      </c>
      <c r="J73" s="61" t="s">
        <v>2914</v>
      </c>
      <c r="K73" s="61"/>
      <c r="L73" s="61"/>
    </row>
    <row r="74" spans="1:12" ht="27" customHeight="1">
      <c r="A74" s="61"/>
      <c r="B74" s="61" t="s">
        <v>2915</v>
      </c>
      <c r="C74" s="61" t="s">
        <v>347</v>
      </c>
      <c r="D74" s="61" t="s">
        <v>2916</v>
      </c>
      <c r="E74" s="61" t="str">
        <f t="shared" si="1"/>
        <v>401340657</v>
      </c>
      <c r="F74" s="61" t="s">
        <v>348</v>
      </c>
      <c r="G74" s="61" t="s">
        <v>2730</v>
      </c>
      <c r="H74" s="61" t="s">
        <v>42</v>
      </c>
      <c r="I74" s="61" t="s">
        <v>2733</v>
      </c>
      <c r="J74" s="61" t="s">
        <v>2917</v>
      </c>
      <c r="K74" s="61"/>
      <c r="L74" s="61"/>
    </row>
    <row r="75" spans="1:12" ht="38.1" customHeight="1">
      <c r="A75" s="61"/>
      <c r="B75" s="61" t="s">
        <v>2734</v>
      </c>
      <c r="C75" s="61" t="s">
        <v>2918</v>
      </c>
      <c r="D75" s="61" t="s">
        <v>2919</v>
      </c>
      <c r="E75" s="61" t="str">
        <f t="shared" si="1"/>
        <v>N59823674</v>
      </c>
      <c r="F75" s="61" t="s">
        <v>2920</v>
      </c>
      <c r="G75" s="61" t="s">
        <v>2730</v>
      </c>
      <c r="H75" s="61" t="s">
        <v>42</v>
      </c>
      <c r="I75" s="61" t="s">
        <v>2733</v>
      </c>
      <c r="J75" s="61" t="s">
        <v>1332</v>
      </c>
      <c r="K75" s="61"/>
      <c r="L75" s="61"/>
    </row>
    <row r="76" spans="1:12" ht="15.95" customHeight="1">
      <c r="A76" s="61"/>
      <c r="B76" s="61" t="s">
        <v>2921</v>
      </c>
      <c r="C76" s="61" t="s">
        <v>341</v>
      </c>
      <c r="D76" s="61" t="s">
        <v>2922</v>
      </c>
      <c r="E76" s="61" t="str">
        <f t="shared" si="1"/>
        <v>400292371</v>
      </c>
      <c r="F76" s="61" t="s">
        <v>342</v>
      </c>
      <c r="G76" s="61" t="s">
        <v>2746</v>
      </c>
      <c r="H76" s="61" t="s">
        <v>42</v>
      </c>
      <c r="I76" s="61" t="s">
        <v>2733</v>
      </c>
      <c r="J76" s="61" t="s">
        <v>2923</v>
      </c>
      <c r="K76" s="61"/>
      <c r="L76" s="61"/>
    </row>
    <row r="77" spans="1:12" ht="27" customHeight="1">
      <c r="A77" s="61"/>
      <c r="B77" s="61" t="s">
        <v>2924</v>
      </c>
      <c r="C77" s="61" t="s">
        <v>366</v>
      </c>
      <c r="D77" s="61" t="s">
        <v>2925</v>
      </c>
      <c r="E77" s="61" t="str">
        <f t="shared" si="1"/>
        <v>404360478</v>
      </c>
      <c r="F77" s="61" t="s">
        <v>367</v>
      </c>
      <c r="G77" s="61" t="s">
        <v>2727</v>
      </c>
      <c r="H77" s="61" t="s">
        <v>42</v>
      </c>
      <c r="I77" s="61" t="s">
        <v>2733</v>
      </c>
      <c r="J77" s="61" t="s">
        <v>2926</v>
      </c>
      <c r="K77" s="61"/>
      <c r="L77" s="61"/>
    </row>
    <row r="78" spans="1:12" ht="15.95" customHeight="1">
      <c r="A78" s="61"/>
      <c r="B78" s="61" t="s">
        <v>2734</v>
      </c>
      <c r="C78" s="61" t="s">
        <v>2927</v>
      </c>
      <c r="D78" s="61" t="s">
        <v>2928</v>
      </c>
      <c r="E78" s="61" t="str">
        <f t="shared" si="1"/>
        <v>404360479</v>
      </c>
      <c r="F78" s="61" t="s">
        <v>2929</v>
      </c>
      <c r="G78" s="61" t="s">
        <v>2727</v>
      </c>
      <c r="H78" s="61" t="s">
        <v>42</v>
      </c>
      <c r="I78" s="61" t="s">
        <v>2733</v>
      </c>
      <c r="J78" s="61" t="s">
        <v>1332</v>
      </c>
      <c r="K78" s="61"/>
      <c r="L78" s="61"/>
    </row>
    <row r="79" spans="1:12" ht="15.95" customHeight="1">
      <c r="A79" s="61"/>
      <c r="B79" s="61" t="s">
        <v>2734</v>
      </c>
      <c r="C79" s="61" t="s">
        <v>2930</v>
      </c>
      <c r="D79" s="61" t="s">
        <v>2931</v>
      </c>
      <c r="E79" s="61" t="str">
        <f t="shared" si="1"/>
        <v>401523104</v>
      </c>
      <c r="F79" s="61" t="s">
        <v>2929</v>
      </c>
      <c r="G79" s="61" t="s">
        <v>2727</v>
      </c>
      <c r="H79" s="61" t="s">
        <v>42</v>
      </c>
      <c r="I79" s="61" t="s">
        <v>2733</v>
      </c>
      <c r="J79" s="61" t="s">
        <v>1332</v>
      </c>
      <c r="K79" s="61"/>
      <c r="L79" s="61"/>
    </row>
    <row r="80" spans="1:12" ht="27" customHeight="1">
      <c r="A80" s="61"/>
      <c r="B80" s="61" t="s">
        <v>2734</v>
      </c>
      <c r="C80" s="61" t="s">
        <v>2932</v>
      </c>
      <c r="D80" s="61" t="s">
        <v>2933</v>
      </c>
      <c r="E80" s="61" t="str">
        <f t="shared" si="1"/>
        <v>400726317</v>
      </c>
      <c r="F80" s="61" t="s">
        <v>2934</v>
      </c>
      <c r="G80" s="61" t="s">
        <v>2727</v>
      </c>
      <c r="H80" s="61" t="s">
        <v>42</v>
      </c>
      <c r="I80" s="61" t="s">
        <v>2733</v>
      </c>
      <c r="J80" s="61" t="s">
        <v>1332</v>
      </c>
      <c r="K80" s="61"/>
      <c r="L80" s="61"/>
    </row>
    <row r="81" spans="1:12" ht="27" customHeight="1">
      <c r="A81" s="61"/>
      <c r="B81" s="61" t="s">
        <v>2734</v>
      </c>
      <c r="C81" s="61" t="s">
        <v>2935</v>
      </c>
      <c r="D81" s="61" t="s">
        <v>2936</v>
      </c>
      <c r="E81" s="61" t="str">
        <f t="shared" si="1"/>
        <v>400649507</v>
      </c>
      <c r="F81" s="61" t="s">
        <v>367</v>
      </c>
      <c r="G81" s="61" t="s">
        <v>2727</v>
      </c>
      <c r="H81" s="61" t="s">
        <v>42</v>
      </c>
      <c r="I81" s="61" t="s">
        <v>2733</v>
      </c>
      <c r="J81" s="61" t="s">
        <v>1332</v>
      </c>
      <c r="K81" s="61"/>
      <c r="L81" s="61"/>
    </row>
    <row r="82" spans="1:12" ht="27" customHeight="1">
      <c r="A82" s="61"/>
      <c r="B82" s="61" t="s">
        <v>2734</v>
      </c>
      <c r="C82" s="61" t="s">
        <v>2937</v>
      </c>
      <c r="D82" s="61" t="s">
        <v>2938</v>
      </c>
      <c r="E82" s="61" t="str">
        <f t="shared" si="1"/>
        <v>401523105</v>
      </c>
      <c r="F82" s="61" t="s">
        <v>367</v>
      </c>
      <c r="G82" s="61" t="s">
        <v>2727</v>
      </c>
      <c r="H82" s="61" t="s">
        <v>42</v>
      </c>
      <c r="I82" s="61" t="s">
        <v>2733</v>
      </c>
      <c r="J82" s="61" t="s">
        <v>1332</v>
      </c>
      <c r="K82" s="61"/>
      <c r="L82" s="61"/>
    </row>
    <row r="83" spans="1:12" ht="15.95" customHeight="1">
      <c r="A83" s="61"/>
      <c r="B83" s="61" t="s">
        <v>2939</v>
      </c>
      <c r="C83" s="61" t="s">
        <v>373</v>
      </c>
      <c r="D83" s="61" t="s">
        <v>2940</v>
      </c>
      <c r="E83" s="61" t="str">
        <f t="shared" si="1"/>
        <v>400606332</v>
      </c>
      <c r="F83" s="61" t="s">
        <v>374</v>
      </c>
      <c r="G83" s="61" t="s">
        <v>2727</v>
      </c>
      <c r="H83" s="61" t="s">
        <v>42</v>
      </c>
      <c r="I83" s="61" t="s">
        <v>2733</v>
      </c>
      <c r="J83" s="61" t="s">
        <v>2941</v>
      </c>
      <c r="K83" s="61"/>
      <c r="L83" s="61"/>
    </row>
    <row r="84" spans="1:12" ht="15.95" customHeight="1">
      <c r="A84" s="61"/>
      <c r="B84" s="61" t="s">
        <v>2734</v>
      </c>
      <c r="C84" s="61" t="s">
        <v>2085</v>
      </c>
      <c r="D84" s="61" t="s">
        <v>2942</v>
      </c>
      <c r="E84" s="61" t="str">
        <f t="shared" si="1"/>
        <v>401551272</v>
      </c>
      <c r="F84" s="61" t="s">
        <v>2084</v>
      </c>
      <c r="G84" s="61" t="s">
        <v>2727</v>
      </c>
      <c r="H84" s="61" t="s">
        <v>42</v>
      </c>
      <c r="I84" s="61" t="s">
        <v>2733</v>
      </c>
      <c r="J84" s="61" t="s">
        <v>1332</v>
      </c>
      <c r="K84" s="61"/>
      <c r="L84" s="61"/>
    </row>
    <row r="85" spans="1:12" ht="27" customHeight="1">
      <c r="A85" s="61"/>
      <c r="B85" s="61" t="s">
        <v>2943</v>
      </c>
      <c r="C85" s="61" t="s">
        <v>509</v>
      </c>
      <c r="D85" s="61" t="s">
        <v>510</v>
      </c>
      <c r="E85" s="61" t="str">
        <f t="shared" si="1"/>
        <v>N62717863</v>
      </c>
      <c r="F85" s="61" t="s">
        <v>2944</v>
      </c>
      <c r="G85" s="61" t="s">
        <v>2727</v>
      </c>
      <c r="H85" s="61" t="s">
        <v>42</v>
      </c>
      <c r="I85" s="61" t="s">
        <v>2733</v>
      </c>
      <c r="J85" s="61" t="s">
        <v>2945</v>
      </c>
      <c r="K85" s="61"/>
      <c r="L85" s="61"/>
    </row>
    <row r="86" spans="1:12" ht="15.95" customHeight="1">
      <c r="A86" s="61"/>
      <c r="B86" s="61" t="s">
        <v>2946</v>
      </c>
      <c r="C86" s="61" t="s">
        <v>245</v>
      </c>
      <c r="D86" s="61" t="s">
        <v>2947</v>
      </c>
      <c r="E86" s="61" t="str">
        <f t="shared" si="1"/>
        <v>400467749</v>
      </c>
      <c r="F86" s="61" t="s">
        <v>246</v>
      </c>
      <c r="G86" s="61" t="s">
        <v>2727</v>
      </c>
      <c r="H86" s="61" t="s">
        <v>42</v>
      </c>
      <c r="I86" s="61" t="s">
        <v>2733</v>
      </c>
      <c r="J86" s="61" t="s">
        <v>2948</v>
      </c>
      <c r="K86" s="61"/>
      <c r="L86" s="61"/>
    </row>
    <row r="87" spans="1:12" ht="27" customHeight="1">
      <c r="A87" s="61"/>
      <c r="B87" s="61" t="s">
        <v>2734</v>
      </c>
      <c r="C87" s="61" t="s">
        <v>2949</v>
      </c>
      <c r="D87" s="61" t="s">
        <v>2950</v>
      </c>
      <c r="E87" s="61" t="str">
        <f t="shared" si="1"/>
        <v>N79871737</v>
      </c>
      <c r="F87" s="61" t="s">
        <v>2951</v>
      </c>
      <c r="G87" s="61" t="s">
        <v>2727</v>
      </c>
      <c r="H87" s="61" t="s">
        <v>42</v>
      </c>
      <c r="I87" s="61" t="s">
        <v>2733</v>
      </c>
      <c r="J87" s="61" t="s">
        <v>1332</v>
      </c>
      <c r="K87" s="61"/>
      <c r="L87" s="61"/>
    </row>
    <row r="88" spans="1:12" ht="15.95" customHeight="1">
      <c r="A88" s="61"/>
      <c r="B88" s="61" t="s">
        <v>2952</v>
      </c>
      <c r="C88" s="61" t="s">
        <v>729</v>
      </c>
      <c r="D88" s="61" t="s">
        <v>2953</v>
      </c>
      <c r="E88" s="61" t="str">
        <f t="shared" si="1"/>
        <v>412611005</v>
      </c>
      <c r="F88" s="61" t="s">
        <v>730</v>
      </c>
      <c r="G88" s="61" t="s">
        <v>2790</v>
      </c>
      <c r="H88" s="61" t="s">
        <v>42</v>
      </c>
      <c r="I88" s="61" t="s">
        <v>2733</v>
      </c>
      <c r="J88" s="61" t="s">
        <v>2954</v>
      </c>
      <c r="K88" s="61"/>
      <c r="L88" s="61"/>
    </row>
    <row r="89" spans="1:12" ht="15.95" customHeight="1">
      <c r="A89" s="61"/>
      <c r="B89" s="61" t="s">
        <v>2734</v>
      </c>
      <c r="C89" s="61" t="s">
        <v>2955</v>
      </c>
      <c r="D89" s="61" t="s">
        <v>2956</v>
      </c>
      <c r="E89" s="61" t="str">
        <f t="shared" si="1"/>
        <v>401184468</v>
      </c>
      <c r="F89" s="61" t="s">
        <v>2957</v>
      </c>
      <c r="G89" s="61" t="s">
        <v>2790</v>
      </c>
      <c r="H89" s="61" t="s">
        <v>42</v>
      </c>
      <c r="I89" s="61" t="s">
        <v>2733</v>
      </c>
      <c r="J89" s="61" t="s">
        <v>1332</v>
      </c>
      <c r="K89" s="61"/>
      <c r="L89" s="61"/>
    </row>
    <row r="90" spans="1:12" ht="15.95" customHeight="1">
      <c r="A90" s="61"/>
      <c r="B90" s="61" t="s">
        <v>2734</v>
      </c>
      <c r="C90" s="61" t="s">
        <v>2958</v>
      </c>
      <c r="D90" s="61" t="s">
        <v>2959</v>
      </c>
      <c r="E90" s="61" t="str">
        <f t="shared" si="1"/>
        <v>401209055</v>
      </c>
      <c r="F90" s="61" t="s">
        <v>730</v>
      </c>
      <c r="G90" s="61" t="s">
        <v>2790</v>
      </c>
      <c r="H90" s="61" t="s">
        <v>42</v>
      </c>
      <c r="I90" s="61" t="s">
        <v>2733</v>
      </c>
      <c r="J90" s="61" t="s">
        <v>1332</v>
      </c>
      <c r="K90" s="61"/>
      <c r="L90" s="61"/>
    </row>
    <row r="91" spans="1:12" ht="15.95" customHeight="1">
      <c r="A91" s="61"/>
      <c r="B91" s="61" t="s">
        <v>2960</v>
      </c>
      <c r="C91" s="61" t="s">
        <v>743</v>
      </c>
      <c r="D91" s="61" t="s">
        <v>2961</v>
      </c>
      <c r="E91" s="61" t="str">
        <f t="shared" si="1"/>
        <v>401455786</v>
      </c>
      <c r="F91" s="61" t="s">
        <v>744</v>
      </c>
      <c r="G91" s="61" t="s">
        <v>2727</v>
      </c>
      <c r="H91" s="61" t="s">
        <v>42</v>
      </c>
      <c r="I91" s="61" t="s">
        <v>2733</v>
      </c>
      <c r="J91" s="61" t="s">
        <v>2962</v>
      </c>
      <c r="K91" s="61"/>
      <c r="L91" s="61"/>
    </row>
    <row r="92" spans="1:12" ht="15.95" customHeight="1">
      <c r="A92" s="61"/>
      <c r="B92" s="61" t="s">
        <v>2963</v>
      </c>
      <c r="C92" s="61" t="s">
        <v>356</v>
      </c>
      <c r="D92" s="61" t="s">
        <v>2964</v>
      </c>
      <c r="E92" s="61" t="str">
        <f t="shared" si="1"/>
        <v>401499257</v>
      </c>
      <c r="F92" s="61" t="s">
        <v>357</v>
      </c>
      <c r="G92" s="61" t="s">
        <v>2744</v>
      </c>
      <c r="H92" s="61" t="s">
        <v>42</v>
      </c>
      <c r="I92" s="61" t="s">
        <v>2733</v>
      </c>
      <c r="J92" s="61" t="s">
        <v>2965</v>
      </c>
      <c r="K92" s="61"/>
      <c r="L92" s="61"/>
    </row>
    <row r="93" spans="1:12" ht="15.95" customHeight="1">
      <c r="A93" s="61"/>
      <c r="B93" s="61" t="s">
        <v>2734</v>
      </c>
      <c r="C93" s="61" t="s">
        <v>1835</v>
      </c>
      <c r="D93" s="61" t="s">
        <v>2966</v>
      </c>
      <c r="E93" s="61" t="str">
        <f t="shared" si="1"/>
        <v>400175303</v>
      </c>
      <c r="F93" s="61" t="s">
        <v>1834</v>
      </c>
      <c r="G93" s="61" t="s">
        <v>2744</v>
      </c>
      <c r="H93" s="61" t="s">
        <v>42</v>
      </c>
      <c r="I93" s="61" t="s">
        <v>2733</v>
      </c>
      <c r="J93" s="61" t="s">
        <v>1332</v>
      </c>
      <c r="K93" s="61"/>
      <c r="L93" s="61"/>
    </row>
    <row r="94" spans="1:12" ht="27" customHeight="1">
      <c r="A94" s="61"/>
      <c r="B94" s="61" t="s">
        <v>2734</v>
      </c>
      <c r="C94" s="61" t="s">
        <v>1836</v>
      </c>
      <c r="D94" s="61" t="s">
        <v>2967</v>
      </c>
      <c r="E94" s="61" t="str">
        <f t="shared" si="1"/>
        <v>401274354</v>
      </c>
      <c r="F94" s="61" t="s">
        <v>1834</v>
      </c>
      <c r="G94" s="61" t="s">
        <v>2744</v>
      </c>
      <c r="H94" s="61" t="s">
        <v>42</v>
      </c>
      <c r="I94" s="61" t="s">
        <v>2733</v>
      </c>
      <c r="J94" s="61" t="s">
        <v>1332</v>
      </c>
      <c r="K94" s="61"/>
      <c r="L94" s="61"/>
    </row>
    <row r="95" spans="1:12" ht="27" customHeight="1">
      <c r="A95" s="61"/>
      <c r="B95" s="61" t="s">
        <v>2968</v>
      </c>
      <c r="C95" s="61" t="s">
        <v>364</v>
      </c>
      <c r="D95" s="61" t="s">
        <v>2969</v>
      </c>
      <c r="E95" s="61" t="str">
        <f t="shared" si="1"/>
        <v>401499258</v>
      </c>
      <c r="F95" s="61" t="s">
        <v>365</v>
      </c>
      <c r="G95" s="61" t="s">
        <v>2744</v>
      </c>
      <c r="H95" s="61" t="s">
        <v>42</v>
      </c>
      <c r="I95" s="61" t="s">
        <v>2733</v>
      </c>
      <c r="J95" s="61" t="s">
        <v>2970</v>
      </c>
      <c r="K95" s="61"/>
      <c r="L95" s="61"/>
    </row>
    <row r="96" spans="1:12" ht="27" customHeight="1">
      <c r="A96" s="61"/>
      <c r="B96" s="61" t="s">
        <v>2734</v>
      </c>
      <c r="C96" s="61" t="s">
        <v>1847</v>
      </c>
      <c r="D96" s="61" t="s">
        <v>2971</v>
      </c>
      <c r="E96" s="61" t="str">
        <f t="shared" si="1"/>
        <v>401533602</v>
      </c>
      <c r="F96" s="61" t="s">
        <v>1843</v>
      </c>
      <c r="G96" s="61" t="s">
        <v>2744</v>
      </c>
      <c r="H96" s="61" t="s">
        <v>42</v>
      </c>
      <c r="I96" s="61" t="s">
        <v>2733</v>
      </c>
      <c r="J96" s="61" t="s">
        <v>1332</v>
      </c>
      <c r="K96" s="61"/>
      <c r="L96" s="61"/>
    </row>
    <row r="97" spans="1:12" ht="27" customHeight="1">
      <c r="A97" s="61"/>
      <c r="B97" s="61" t="s">
        <v>2734</v>
      </c>
      <c r="C97" s="61" t="s">
        <v>1846</v>
      </c>
      <c r="D97" s="61" t="s">
        <v>2972</v>
      </c>
      <c r="E97" s="61" t="str">
        <f t="shared" si="1"/>
        <v>401361571</v>
      </c>
      <c r="F97" s="61" t="s">
        <v>2973</v>
      </c>
      <c r="G97" s="61" t="s">
        <v>2744</v>
      </c>
      <c r="H97" s="61" t="s">
        <v>42</v>
      </c>
      <c r="I97" s="61" t="s">
        <v>2733</v>
      </c>
      <c r="J97" s="61" t="s">
        <v>1332</v>
      </c>
      <c r="K97" s="61"/>
      <c r="L97" s="61"/>
    </row>
    <row r="98" spans="1:12" ht="15.95" customHeight="1">
      <c r="A98" s="61"/>
      <c r="B98" s="61" t="s">
        <v>2734</v>
      </c>
      <c r="C98" s="61" t="s">
        <v>1844</v>
      </c>
      <c r="D98" s="61" t="s">
        <v>2974</v>
      </c>
      <c r="E98" s="61" t="str">
        <f t="shared" si="1"/>
        <v>400175306</v>
      </c>
      <c r="F98" s="61" t="s">
        <v>1843</v>
      </c>
      <c r="G98" s="61" t="s">
        <v>2744</v>
      </c>
      <c r="H98" s="61" t="s">
        <v>42</v>
      </c>
      <c r="I98" s="61" t="s">
        <v>2733</v>
      </c>
      <c r="J98" s="61" t="s">
        <v>1332</v>
      </c>
      <c r="K98" s="61"/>
      <c r="L98" s="61"/>
    </row>
    <row r="99" spans="1:12" ht="15.95" customHeight="1">
      <c r="A99" s="61"/>
      <c r="B99" s="61" t="s">
        <v>2975</v>
      </c>
      <c r="C99" s="61" t="s">
        <v>746</v>
      </c>
      <c r="D99" s="61" t="s">
        <v>2976</v>
      </c>
      <c r="E99" s="61" t="str">
        <f t="shared" si="1"/>
        <v>400929924</v>
      </c>
      <c r="F99" s="61" t="s">
        <v>747</v>
      </c>
      <c r="G99" s="61" t="s">
        <v>2727</v>
      </c>
      <c r="H99" s="61" t="s">
        <v>42</v>
      </c>
      <c r="I99" s="61" t="s">
        <v>2733</v>
      </c>
      <c r="J99" s="61" t="s">
        <v>2977</v>
      </c>
      <c r="K99" s="61"/>
      <c r="L99" s="61"/>
    </row>
    <row r="100" spans="1:12" ht="15.95" customHeight="1">
      <c r="A100" s="61"/>
      <c r="B100" s="61" t="s">
        <v>2734</v>
      </c>
      <c r="C100" s="61" t="s">
        <v>1915</v>
      </c>
      <c r="D100" s="61" t="s">
        <v>2978</v>
      </c>
      <c r="E100" s="61" t="str">
        <f t="shared" si="1"/>
        <v>400828412</v>
      </c>
      <c r="F100" s="61" t="s">
        <v>747</v>
      </c>
      <c r="G100" s="61" t="s">
        <v>2727</v>
      </c>
      <c r="H100" s="61" t="s">
        <v>42</v>
      </c>
      <c r="I100" s="61" t="s">
        <v>2733</v>
      </c>
      <c r="J100" s="61" t="s">
        <v>1332</v>
      </c>
      <c r="K100" s="61"/>
      <c r="L100" s="61"/>
    </row>
    <row r="101" spans="1:12" ht="27" customHeight="1">
      <c r="A101" s="61"/>
      <c r="B101" s="61" t="s">
        <v>2979</v>
      </c>
      <c r="C101" s="61" t="s">
        <v>750</v>
      </c>
      <c r="D101" s="61" t="s">
        <v>2980</v>
      </c>
      <c r="E101" s="61" t="str">
        <f t="shared" si="1"/>
        <v>400290778</v>
      </c>
      <c r="F101" s="61" t="s">
        <v>751</v>
      </c>
      <c r="G101" s="61" t="s">
        <v>2730</v>
      </c>
      <c r="H101" s="61" t="s">
        <v>42</v>
      </c>
      <c r="I101" s="61" t="s">
        <v>2733</v>
      </c>
      <c r="J101" s="61" t="s">
        <v>2981</v>
      </c>
      <c r="K101" s="61"/>
      <c r="L101" s="61"/>
    </row>
    <row r="102" spans="1:12" ht="27" customHeight="1">
      <c r="A102" s="61"/>
      <c r="B102" s="61" t="s">
        <v>2982</v>
      </c>
      <c r="C102" s="61" t="s">
        <v>752</v>
      </c>
      <c r="D102" s="61" t="s">
        <v>2983</v>
      </c>
      <c r="E102" s="61" t="str">
        <f t="shared" si="1"/>
        <v>400706781</v>
      </c>
      <c r="F102" s="61" t="s">
        <v>753</v>
      </c>
      <c r="G102" s="61" t="s">
        <v>2730</v>
      </c>
      <c r="H102" s="61" t="s">
        <v>42</v>
      </c>
      <c r="I102" s="61" t="s">
        <v>2733</v>
      </c>
      <c r="J102" s="61" t="s">
        <v>2984</v>
      </c>
      <c r="K102" s="61"/>
      <c r="L102" s="61"/>
    </row>
    <row r="103" spans="1:12" ht="27" customHeight="1">
      <c r="A103" s="61"/>
      <c r="B103" s="61" t="s">
        <v>2734</v>
      </c>
      <c r="C103" s="61" t="s">
        <v>1851</v>
      </c>
      <c r="D103" s="61" t="s">
        <v>2985</v>
      </c>
      <c r="E103" s="61" t="str">
        <f t="shared" si="1"/>
        <v>400146253</v>
      </c>
      <c r="F103" s="61" t="s">
        <v>1850</v>
      </c>
      <c r="G103" s="61" t="s">
        <v>2730</v>
      </c>
      <c r="H103" s="61" t="s">
        <v>42</v>
      </c>
      <c r="I103" s="61" t="s">
        <v>2733</v>
      </c>
      <c r="J103" s="61" t="s">
        <v>1332</v>
      </c>
      <c r="K103" s="61"/>
      <c r="L103" s="61"/>
    </row>
    <row r="104" spans="1:12" ht="15.95" customHeight="1">
      <c r="A104" s="61"/>
      <c r="B104" s="61" t="s">
        <v>2986</v>
      </c>
      <c r="C104" s="61" t="s">
        <v>229</v>
      </c>
      <c r="D104" s="61" t="s">
        <v>2987</v>
      </c>
      <c r="E104" s="61" t="str">
        <f t="shared" si="1"/>
        <v>401004976</v>
      </c>
      <c r="F104" s="61" t="s">
        <v>230</v>
      </c>
      <c r="G104" s="61" t="s">
        <v>2727</v>
      </c>
      <c r="H104" s="61" t="s">
        <v>42</v>
      </c>
      <c r="I104" s="61" t="s">
        <v>2733</v>
      </c>
      <c r="J104" s="61" t="s">
        <v>2988</v>
      </c>
      <c r="K104" s="61"/>
      <c r="L104" s="61"/>
    </row>
    <row r="105" spans="1:12" ht="15.95" customHeight="1">
      <c r="A105" s="61"/>
      <c r="B105" s="61" t="s">
        <v>2989</v>
      </c>
      <c r="C105" s="61" t="s">
        <v>1214</v>
      </c>
      <c r="D105" s="61" t="s">
        <v>2990</v>
      </c>
      <c r="E105" s="61" t="str">
        <f t="shared" si="1"/>
        <v>401264192</v>
      </c>
      <c r="F105" s="61" t="s">
        <v>1215</v>
      </c>
      <c r="G105" s="61" t="s">
        <v>2727</v>
      </c>
      <c r="H105" s="61" t="s">
        <v>42</v>
      </c>
      <c r="I105" s="61" t="s">
        <v>2733</v>
      </c>
      <c r="J105" s="61" t="s">
        <v>2991</v>
      </c>
      <c r="K105" s="61"/>
      <c r="L105" s="61"/>
    </row>
    <row r="106" spans="1:12" ht="15.95" customHeight="1">
      <c r="A106" s="61"/>
      <c r="B106" s="61" t="s">
        <v>2992</v>
      </c>
      <c r="C106" s="61" t="s">
        <v>2993</v>
      </c>
      <c r="D106" s="61" t="s">
        <v>2994</v>
      </c>
      <c r="E106" s="61" t="str">
        <f t="shared" si="1"/>
        <v>424287909</v>
      </c>
      <c r="F106" s="61" t="s">
        <v>2995</v>
      </c>
      <c r="G106" s="61" t="s">
        <v>2727</v>
      </c>
      <c r="H106" s="61" t="s">
        <v>42</v>
      </c>
      <c r="I106" s="61" t="s">
        <v>2729</v>
      </c>
      <c r="J106" s="61" t="s">
        <v>2996</v>
      </c>
      <c r="K106" s="61"/>
      <c r="L106" s="61"/>
    </row>
    <row r="107" spans="1:12" ht="15.95" customHeight="1">
      <c r="A107" s="61"/>
      <c r="B107" s="61" t="s">
        <v>2734</v>
      </c>
      <c r="C107" s="61" t="s">
        <v>2073</v>
      </c>
      <c r="D107" s="61" t="s">
        <v>2997</v>
      </c>
      <c r="E107" s="61" t="str">
        <f t="shared" si="1"/>
        <v>401216522</v>
      </c>
      <c r="F107" s="61" t="s">
        <v>250</v>
      </c>
      <c r="G107" s="61" t="s">
        <v>2727</v>
      </c>
      <c r="H107" s="61" t="s">
        <v>42</v>
      </c>
      <c r="I107" s="61" t="s">
        <v>2733</v>
      </c>
      <c r="J107" s="61" t="s">
        <v>1332</v>
      </c>
      <c r="K107" s="61"/>
      <c r="L107" s="61"/>
    </row>
    <row r="108" spans="1:12" ht="27" customHeight="1">
      <c r="A108" s="61"/>
      <c r="B108" s="61" t="s">
        <v>2998</v>
      </c>
      <c r="C108" s="61" t="s">
        <v>942</v>
      </c>
      <c r="D108" s="61" t="s">
        <v>2999</v>
      </c>
      <c r="E108" s="61" t="str">
        <f t="shared" si="1"/>
        <v>414347058</v>
      </c>
      <c r="F108" s="61" t="s">
        <v>943</v>
      </c>
      <c r="G108" s="61" t="s">
        <v>2727</v>
      </c>
      <c r="H108" s="61" t="s">
        <v>42</v>
      </c>
      <c r="I108" s="61" t="s">
        <v>2733</v>
      </c>
      <c r="J108" s="61" t="s">
        <v>3000</v>
      </c>
      <c r="K108" s="61"/>
      <c r="L108" s="61"/>
    </row>
    <row r="109" spans="1:12" ht="15.95" customHeight="1">
      <c r="A109" s="61"/>
      <c r="B109" s="61" t="s">
        <v>2734</v>
      </c>
      <c r="C109" s="61" t="s">
        <v>3001</v>
      </c>
      <c r="D109" s="61" t="s">
        <v>3002</v>
      </c>
      <c r="E109" s="61" t="str">
        <f t="shared" si="1"/>
        <v>400564001</v>
      </c>
      <c r="F109" s="61" t="s">
        <v>3003</v>
      </c>
      <c r="G109" s="61" t="s">
        <v>2727</v>
      </c>
      <c r="H109" s="61" t="s">
        <v>42</v>
      </c>
      <c r="I109" s="61" t="s">
        <v>2733</v>
      </c>
      <c r="J109" s="61" t="s">
        <v>1332</v>
      </c>
      <c r="K109" s="61"/>
      <c r="L109" s="61"/>
    </row>
    <row r="110" spans="1:12" ht="27" customHeight="1">
      <c r="A110" s="61"/>
      <c r="B110" s="61" t="s">
        <v>3004</v>
      </c>
      <c r="C110" s="61" t="s">
        <v>781</v>
      </c>
      <c r="D110" s="61" t="s">
        <v>3005</v>
      </c>
      <c r="E110" s="61" t="str">
        <f t="shared" si="1"/>
        <v>400028226</v>
      </c>
      <c r="F110" s="61" t="s">
        <v>782</v>
      </c>
      <c r="G110" s="61" t="s">
        <v>2727</v>
      </c>
      <c r="H110" s="61" t="s">
        <v>42</v>
      </c>
      <c r="I110" s="61" t="s">
        <v>2733</v>
      </c>
      <c r="J110" s="61" t="s">
        <v>3006</v>
      </c>
      <c r="K110" s="61"/>
      <c r="L110" s="61"/>
    </row>
    <row r="111" spans="1:12" ht="15.95" customHeight="1">
      <c r="A111" s="61"/>
      <c r="B111" s="61" t="s">
        <v>3007</v>
      </c>
      <c r="C111" s="61" t="s">
        <v>790</v>
      </c>
      <c r="D111" s="61" t="s">
        <v>3008</v>
      </c>
      <c r="E111" s="61" t="str">
        <f t="shared" si="1"/>
        <v>406156690</v>
      </c>
      <c r="F111" s="61" t="s">
        <v>791</v>
      </c>
      <c r="G111" s="61" t="s">
        <v>2730</v>
      </c>
      <c r="H111" s="61" t="s">
        <v>42</v>
      </c>
      <c r="I111" s="61" t="s">
        <v>2733</v>
      </c>
      <c r="J111" s="61" t="s">
        <v>3009</v>
      </c>
      <c r="K111" s="61"/>
      <c r="L111" s="61"/>
    </row>
    <row r="112" spans="1:12" ht="27" customHeight="1">
      <c r="A112" s="61"/>
      <c r="B112" s="61" t="s">
        <v>2734</v>
      </c>
      <c r="C112" s="61" t="s">
        <v>3010</v>
      </c>
      <c r="D112" s="61" t="s">
        <v>3011</v>
      </c>
      <c r="E112" s="61" t="str">
        <f t="shared" si="1"/>
        <v>400043499</v>
      </c>
      <c r="F112" s="61" t="s">
        <v>3012</v>
      </c>
      <c r="G112" s="61" t="s">
        <v>2730</v>
      </c>
      <c r="H112" s="61" t="s">
        <v>42</v>
      </c>
      <c r="I112" s="61" t="s">
        <v>2733</v>
      </c>
      <c r="J112" s="61" t="s">
        <v>1332</v>
      </c>
      <c r="K112" s="61"/>
      <c r="L112" s="61"/>
    </row>
    <row r="113" spans="1:12" ht="15.95" customHeight="1">
      <c r="A113" s="61"/>
      <c r="B113" s="61" t="s">
        <v>2734</v>
      </c>
      <c r="C113" s="61" t="s">
        <v>3013</v>
      </c>
      <c r="D113" s="61" t="s">
        <v>3014</v>
      </c>
      <c r="E113" s="61" t="str">
        <f t="shared" si="1"/>
        <v>401201105</v>
      </c>
      <c r="F113" s="61" t="s">
        <v>791</v>
      </c>
      <c r="G113" s="61" t="s">
        <v>2730</v>
      </c>
      <c r="H113" s="61" t="s">
        <v>42</v>
      </c>
      <c r="I113" s="61" t="s">
        <v>2733</v>
      </c>
      <c r="J113" s="61" t="s">
        <v>1332</v>
      </c>
      <c r="K113" s="61"/>
      <c r="L113" s="61"/>
    </row>
    <row r="114" spans="1:12" ht="15.95" customHeight="1">
      <c r="A114" s="61"/>
      <c r="B114" s="61" t="s">
        <v>2734</v>
      </c>
      <c r="C114" s="61" t="s">
        <v>3015</v>
      </c>
      <c r="D114" s="61" t="s">
        <v>3016</v>
      </c>
      <c r="E114" s="61" t="str">
        <f t="shared" si="1"/>
        <v>408601118</v>
      </c>
      <c r="F114" s="61" t="s">
        <v>791</v>
      </c>
      <c r="G114" s="61" t="s">
        <v>2730</v>
      </c>
      <c r="H114" s="61" t="s">
        <v>42</v>
      </c>
      <c r="I114" s="61" t="s">
        <v>2733</v>
      </c>
      <c r="J114" s="61" t="s">
        <v>1332</v>
      </c>
      <c r="K114" s="61"/>
      <c r="L114" s="61"/>
    </row>
    <row r="115" spans="1:12" ht="15.95" customHeight="1">
      <c r="A115" s="61"/>
      <c r="B115" s="61" t="s">
        <v>3017</v>
      </c>
      <c r="C115" s="61" t="s">
        <v>1228</v>
      </c>
      <c r="D115" s="61" t="s">
        <v>3018</v>
      </c>
      <c r="E115" s="61" t="str">
        <f t="shared" si="1"/>
        <v>414274376</v>
      </c>
      <c r="F115" s="61" t="s">
        <v>1229</v>
      </c>
      <c r="G115" s="61" t="s">
        <v>2727</v>
      </c>
      <c r="H115" s="61" t="s">
        <v>42</v>
      </c>
      <c r="I115" s="61" t="s">
        <v>2733</v>
      </c>
      <c r="J115" s="61" t="s">
        <v>3019</v>
      </c>
      <c r="K115" s="61"/>
      <c r="L115" s="61"/>
    </row>
    <row r="116" spans="1:12" ht="27" customHeight="1">
      <c r="A116" s="61"/>
      <c r="B116" s="61" t="s">
        <v>3020</v>
      </c>
      <c r="C116" s="61" t="s">
        <v>1232</v>
      </c>
      <c r="D116" s="61" t="s">
        <v>3021</v>
      </c>
      <c r="E116" s="61" t="str">
        <f t="shared" si="1"/>
        <v>400026812</v>
      </c>
      <c r="F116" s="61" t="s">
        <v>1233</v>
      </c>
      <c r="G116" s="61" t="s">
        <v>2730</v>
      </c>
      <c r="H116" s="61" t="s">
        <v>42</v>
      </c>
      <c r="I116" s="61" t="s">
        <v>2733</v>
      </c>
      <c r="J116" s="61" t="s">
        <v>3022</v>
      </c>
      <c r="K116" s="61"/>
      <c r="L116" s="61"/>
    </row>
    <row r="117" spans="1:12" ht="15.95" customHeight="1">
      <c r="A117" s="61"/>
      <c r="B117" s="61" t="s">
        <v>3023</v>
      </c>
      <c r="C117" s="61" t="s">
        <v>213</v>
      </c>
      <c r="D117" s="61" t="s">
        <v>3024</v>
      </c>
      <c r="E117" s="61" t="str">
        <f t="shared" si="1"/>
        <v>425125210</v>
      </c>
      <c r="F117" s="61" t="s">
        <v>214</v>
      </c>
      <c r="G117" s="61" t="s">
        <v>2727</v>
      </c>
      <c r="H117" s="61" t="s">
        <v>42</v>
      </c>
      <c r="I117" s="61" t="s">
        <v>2733</v>
      </c>
      <c r="J117" s="61" t="s">
        <v>3025</v>
      </c>
      <c r="K117" s="61"/>
      <c r="L117" s="61"/>
    </row>
    <row r="118" spans="1:12" ht="27" customHeight="1">
      <c r="A118" s="61"/>
      <c r="B118" s="61" t="s">
        <v>3026</v>
      </c>
      <c r="C118" s="61" t="s">
        <v>792</v>
      </c>
      <c r="D118" s="61" t="s">
        <v>3027</v>
      </c>
      <c r="E118" s="61" t="str">
        <f t="shared" si="1"/>
        <v>405802973</v>
      </c>
      <c r="F118" s="61" t="s">
        <v>793</v>
      </c>
      <c r="G118" s="61" t="s">
        <v>2727</v>
      </c>
      <c r="H118" s="61" t="s">
        <v>42</v>
      </c>
      <c r="I118" s="61" t="s">
        <v>2733</v>
      </c>
      <c r="J118" s="61" t="s">
        <v>3028</v>
      </c>
      <c r="K118" s="61"/>
      <c r="L118" s="61"/>
    </row>
    <row r="119" spans="1:12" ht="15.95" customHeight="1">
      <c r="A119" s="61"/>
      <c r="B119" s="61" t="s">
        <v>3029</v>
      </c>
      <c r="C119" s="61" t="s">
        <v>795</v>
      </c>
      <c r="D119" s="61" t="s">
        <v>3030</v>
      </c>
      <c r="E119" s="61" t="str">
        <f t="shared" si="1"/>
        <v>400490584</v>
      </c>
      <c r="F119" s="61" t="s">
        <v>796</v>
      </c>
      <c r="G119" s="61" t="s">
        <v>2727</v>
      </c>
      <c r="H119" s="61" t="s">
        <v>42</v>
      </c>
      <c r="I119" s="61" t="s">
        <v>2733</v>
      </c>
      <c r="J119" s="61" t="s">
        <v>3031</v>
      </c>
      <c r="K119" s="61"/>
      <c r="L119" s="61"/>
    </row>
    <row r="120" spans="1:12" ht="15.95" customHeight="1">
      <c r="A120" s="61"/>
      <c r="B120" s="61" t="s">
        <v>2734</v>
      </c>
      <c r="C120" s="61" t="s">
        <v>3032</v>
      </c>
      <c r="D120" s="61" t="s">
        <v>3033</v>
      </c>
      <c r="E120" s="61" t="str">
        <f t="shared" si="1"/>
        <v>400028983</v>
      </c>
      <c r="F120" s="61" t="s">
        <v>796</v>
      </c>
      <c r="G120" s="61" t="s">
        <v>2727</v>
      </c>
      <c r="H120" s="61" t="s">
        <v>42</v>
      </c>
      <c r="I120" s="61" t="s">
        <v>2733</v>
      </c>
      <c r="J120" s="61" t="s">
        <v>1332</v>
      </c>
      <c r="K120" s="61"/>
      <c r="L120" s="61"/>
    </row>
    <row r="121" spans="1:12" ht="15.95" customHeight="1">
      <c r="A121" s="61"/>
      <c r="B121" s="61" t="s">
        <v>3034</v>
      </c>
      <c r="C121" s="61" t="s">
        <v>1234</v>
      </c>
      <c r="D121" s="61" t="s">
        <v>3035</v>
      </c>
      <c r="E121" s="61" t="str">
        <f t="shared" si="1"/>
        <v>401375255</v>
      </c>
      <c r="F121" s="61" t="s">
        <v>1235</v>
      </c>
      <c r="G121" s="61" t="s">
        <v>2727</v>
      </c>
      <c r="H121" s="61" t="s">
        <v>42</v>
      </c>
      <c r="I121" s="61" t="s">
        <v>2733</v>
      </c>
      <c r="J121" s="61" t="s">
        <v>3036</v>
      </c>
      <c r="K121" s="61"/>
      <c r="L121" s="61"/>
    </row>
    <row r="122" spans="1:12" ht="15.95" customHeight="1">
      <c r="A122" s="61"/>
      <c r="B122" s="61" t="s">
        <v>2734</v>
      </c>
      <c r="C122" s="61" t="s">
        <v>3037</v>
      </c>
      <c r="D122" s="61" t="s">
        <v>3038</v>
      </c>
      <c r="E122" s="61" t="str">
        <f t="shared" si="1"/>
        <v>400018379</v>
      </c>
      <c r="F122" s="61" t="s">
        <v>1235</v>
      </c>
      <c r="G122" s="61" t="s">
        <v>2727</v>
      </c>
      <c r="H122" s="61" t="s">
        <v>42</v>
      </c>
      <c r="I122" s="61" t="s">
        <v>2733</v>
      </c>
      <c r="J122" s="61" t="s">
        <v>1332</v>
      </c>
      <c r="K122" s="61"/>
      <c r="L122" s="61"/>
    </row>
    <row r="123" spans="1:12" ht="15.95" customHeight="1">
      <c r="A123" s="61"/>
      <c r="B123" s="61" t="s">
        <v>3039</v>
      </c>
      <c r="C123" s="61" t="s">
        <v>1236</v>
      </c>
      <c r="D123" s="61" t="s">
        <v>3040</v>
      </c>
      <c r="E123" s="61" t="str">
        <f t="shared" si="1"/>
        <v>400624662</v>
      </c>
      <c r="F123" s="61" t="s">
        <v>1237</v>
      </c>
      <c r="G123" s="61" t="s">
        <v>2764</v>
      </c>
      <c r="H123" s="61" t="s">
        <v>42</v>
      </c>
      <c r="I123" s="61" t="s">
        <v>2733</v>
      </c>
      <c r="J123" s="61" t="s">
        <v>3041</v>
      </c>
      <c r="K123" s="61"/>
      <c r="L123" s="61"/>
    </row>
    <row r="124" spans="1:12" ht="15.95" customHeight="1">
      <c r="A124" s="61"/>
      <c r="B124" s="61" t="s">
        <v>2734</v>
      </c>
      <c r="C124" s="61" t="s">
        <v>2031</v>
      </c>
      <c r="D124" s="61" t="s">
        <v>3042</v>
      </c>
      <c r="E124" s="61" t="str">
        <f t="shared" si="1"/>
        <v>400046452</v>
      </c>
      <c r="F124" s="61" t="s">
        <v>2030</v>
      </c>
      <c r="G124" s="61" t="s">
        <v>2764</v>
      </c>
      <c r="H124" s="61" t="s">
        <v>42</v>
      </c>
      <c r="I124" s="61" t="s">
        <v>2733</v>
      </c>
      <c r="J124" s="61" t="s">
        <v>1332</v>
      </c>
      <c r="K124" s="61"/>
      <c r="L124" s="61"/>
    </row>
    <row r="125" spans="1:12" ht="15.95" customHeight="1">
      <c r="A125" s="61"/>
      <c r="B125" s="61" t="s">
        <v>3043</v>
      </c>
      <c r="C125" s="61" t="s">
        <v>1238</v>
      </c>
      <c r="D125" s="61" t="s">
        <v>3044</v>
      </c>
      <c r="E125" s="61" t="str">
        <f t="shared" si="1"/>
        <v>400596419</v>
      </c>
      <c r="F125" s="61" t="s">
        <v>3045</v>
      </c>
      <c r="G125" s="61" t="s">
        <v>2730</v>
      </c>
      <c r="H125" s="61" t="s">
        <v>42</v>
      </c>
      <c r="I125" s="61" t="s">
        <v>2733</v>
      </c>
      <c r="J125" s="61" t="s">
        <v>3046</v>
      </c>
      <c r="K125" s="61"/>
      <c r="L125" s="61"/>
    </row>
    <row r="126" spans="1:12" ht="15.95" customHeight="1">
      <c r="A126" s="61"/>
      <c r="B126" s="61" t="s">
        <v>2734</v>
      </c>
      <c r="C126" s="61" t="s">
        <v>2095</v>
      </c>
      <c r="D126" s="61" t="s">
        <v>3047</v>
      </c>
      <c r="E126" s="61" t="str">
        <f t="shared" si="1"/>
        <v>400596422</v>
      </c>
      <c r="F126" s="61" t="s">
        <v>2094</v>
      </c>
      <c r="G126" s="61" t="s">
        <v>2730</v>
      </c>
      <c r="H126" s="61" t="s">
        <v>42</v>
      </c>
      <c r="I126" s="61" t="s">
        <v>2733</v>
      </c>
      <c r="J126" s="61" t="s">
        <v>1332</v>
      </c>
      <c r="K126" s="61"/>
      <c r="L126" s="61"/>
    </row>
    <row r="127" spans="1:12" ht="50.1" customHeight="1">
      <c r="A127" s="61"/>
      <c r="B127" s="61" t="s">
        <v>3048</v>
      </c>
      <c r="C127" s="61" t="s">
        <v>1240</v>
      </c>
      <c r="D127" s="61" t="s">
        <v>3049</v>
      </c>
      <c r="E127" s="61" t="str">
        <f t="shared" si="1"/>
        <v>408193709</v>
      </c>
      <c r="F127" s="61" t="s">
        <v>1241</v>
      </c>
      <c r="G127" s="61" t="s">
        <v>2790</v>
      </c>
      <c r="H127" s="61" t="s">
        <v>42</v>
      </c>
      <c r="I127" s="61" t="s">
        <v>2733</v>
      </c>
      <c r="J127" s="61" t="s">
        <v>3050</v>
      </c>
      <c r="K127" s="61"/>
      <c r="L127" s="61"/>
    </row>
    <row r="128" spans="1:12" ht="50.1" customHeight="1">
      <c r="A128" s="61"/>
      <c r="B128" s="61" t="s">
        <v>3051</v>
      </c>
      <c r="C128" s="61" t="s">
        <v>1242</v>
      </c>
      <c r="D128" s="61" t="s">
        <v>3052</v>
      </c>
      <c r="E128" s="61" t="str">
        <f t="shared" si="1"/>
        <v>421316474</v>
      </c>
      <c r="F128" s="61" t="s">
        <v>1243</v>
      </c>
      <c r="G128" s="61" t="s">
        <v>2794</v>
      </c>
      <c r="H128" s="61" t="s">
        <v>42</v>
      </c>
      <c r="I128" s="61" t="s">
        <v>2733</v>
      </c>
      <c r="J128" s="61" t="s">
        <v>3053</v>
      </c>
      <c r="K128" s="61"/>
      <c r="L128" s="61"/>
    </row>
    <row r="129" spans="1:12" ht="27" customHeight="1">
      <c r="A129" s="61"/>
      <c r="B129" s="61" t="s">
        <v>2734</v>
      </c>
      <c r="C129" s="61" t="s">
        <v>2009</v>
      </c>
      <c r="D129" s="61" t="s">
        <v>3054</v>
      </c>
      <c r="E129" s="61" t="str">
        <f t="shared" si="1"/>
        <v>400273877</v>
      </c>
      <c r="F129" s="61" t="s">
        <v>2008</v>
      </c>
      <c r="G129" s="61" t="s">
        <v>2794</v>
      </c>
      <c r="H129" s="61" t="s">
        <v>42</v>
      </c>
      <c r="I129" s="61" t="s">
        <v>2733</v>
      </c>
      <c r="J129" s="61" t="s">
        <v>1332</v>
      </c>
      <c r="K129" s="61"/>
      <c r="L129" s="61"/>
    </row>
    <row r="130" spans="1:12" ht="72.95" customHeight="1">
      <c r="A130" s="61"/>
      <c r="B130" s="61" t="s">
        <v>3055</v>
      </c>
      <c r="C130" s="61" t="s">
        <v>1244</v>
      </c>
      <c r="D130" s="61" t="s">
        <v>3056</v>
      </c>
      <c r="E130" s="61" t="str">
        <f t="shared" si="1"/>
        <v>400564048</v>
      </c>
      <c r="F130" s="61" t="s">
        <v>1245</v>
      </c>
      <c r="G130" s="61" t="s">
        <v>2952</v>
      </c>
      <c r="H130" s="61" t="s">
        <v>42</v>
      </c>
      <c r="I130" s="61" t="s">
        <v>2733</v>
      </c>
      <c r="J130" s="61" t="s">
        <v>3057</v>
      </c>
      <c r="K130" s="61"/>
      <c r="L130" s="61"/>
    </row>
    <row r="131" spans="1:12" ht="27" customHeight="1">
      <c r="A131" s="61"/>
      <c r="B131" s="61" t="s">
        <v>3058</v>
      </c>
      <c r="C131" s="61" t="s">
        <v>1246</v>
      </c>
      <c r="D131" s="61" t="s">
        <v>1247</v>
      </c>
      <c r="E131" s="61" t="str">
        <f t="shared" ref="E131:E194" si="2">LEFT(D131,9)</f>
        <v>N56337397</v>
      </c>
      <c r="F131" s="61" t="s">
        <v>3059</v>
      </c>
      <c r="G131" s="61" t="s">
        <v>2727</v>
      </c>
      <c r="H131" s="61" t="s">
        <v>42</v>
      </c>
      <c r="I131" s="61" t="s">
        <v>2733</v>
      </c>
      <c r="J131" s="61" t="s">
        <v>3060</v>
      </c>
      <c r="K131" s="61"/>
      <c r="L131" s="61"/>
    </row>
    <row r="132" spans="1:12" ht="27" customHeight="1">
      <c r="A132" s="61"/>
      <c r="B132" s="61" t="s">
        <v>3061</v>
      </c>
      <c r="C132" s="61" t="s">
        <v>223</v>
      </c>
      <c r="D132" s="61" t="s">
        <v>3062</v>
      </c>
      <c r="E132" s="61" t="str">
        <f t="shared" si="2"/>
        <v>400295674</v>
      </c>
      <c r="F132" s="61" t="s">
        <v>224</v>
      </c>
      <c r="G132" s="61" t="s">
        <v>2744</v>
      </c>
      <c r="H132" s="61" t="s">
        <v>42</v>
      </c>
      <c r="I132" s="61" t="s">
        <v>2733</v>
      </c>
      <c r="J132" s="61" t="s">
        <v>3063</v>
      </c>
      <c r="K132" s="61"/>
      <c r="L132" s="61"/>
    </row>
    <row r="133" spans="1:12" ht="15.95" customHeight="1">
      <c r="A133" s="61"/>
      <c r="B133" s="61" t="s">
        <v>2734</v>
      </c>
      <c r="C133" s="61" t="s">
        <v>3064</v>
      </c>
      <c r="D133" s="61" t="s">
        <v>3065</v>
      </c>
      <c r="E133" s="61" t="str">
        <f t="shared" si="2"/>
        <v>400017553</v>
      </c>
      <c r="F133" s="61" t="s">
        <v>3066</v>
      </c>
      <c r="G133" s="61" t="s">
        <v>2744</v>
      </c>
      <c r="H133" s="61" t="s">
        <v>42</v>
      </c>
      <c r="I133" s="61" t="s">
        <v>2733</v>
      </c>
      <c r="J133" s="61" t="s">
        <v>1332</v>
      </c>
      <c r="K133" s="61"/>
      <c r="L133" s="61"/>
    </row>
    <row r="134" spans="1:12" ht="15.95" customHeight="1">
      <c r="A134" s="61"/>
      <c r="B134" s="61" t="s">
        <v>3067</v>
      </c>
      <c r="C134" s="61" t="s">
        <v>1252</v>
      </c>
      <c r="D134" s="61" t="s">
        <v>3068</v>
      </c>
      <c r="E134" s="61" t="str">
        <f t="shared" si="2"/>
        <v>400013186</v>
      </c>
      <c r="F134" s="61" t="s">
        <v>1253</v>
      </c>
      <c r="G134" s="61" t="s">
        <v>2727</v>
      </c>
      <c r="H134" s="61" t="s">
        <v>42</v>
      </c>
      <c r="I134" s="61" t="s">
        <v>2733</v>
      </c>
      <c r="J134" s="61" t="s">
        <v>3069</v>
      </c>
      <c r="K134" s="61"/>
      <c r="L134" s="61"/>
    </row>
    <row r="135" spans="1:12" ht="27" customHeight="1">
      <c r="A135" s="61"/>
      <c r="B135" s="61" t="s">
        <v>3070</v>
      </c>
      <c r="C135" s="61" t="s">
        <v>227</v>
      </c>
      <c r="D135" s="61" t="s">
        <v>3071</v>
      </c>
      <c r="E135" s="61" t="str">
        <f t="shared" si="2"/>
        <v>400295790</v>
      </c>
      <c r="F135" s="61" t="s">
        <v>228</v>
      </c>
      <c r="G135" s="61" t="s">
        <v>2727</v>
      </c>
      <c r="H135" s="61" t="s">
        <v>42</v>
      </c>
      <c r="I135" s="61" t="s">
        <v>2733</v>
      </c>
      <c r="J135" s="61" t="s">
        <v>3072</v>
      </c>
      <c r="K135" s="61"/>
      <c r="L135" s="61"/>
    </row>
    <row r="136" spans="1:12" ht="15.95" customHeight="1">
      <c r="A136" s="61"/>
      <c r="B136" s="61" t="s">
        <v>2734</v>
      </c>
      <c r="C136" s="61" t="s">
        <v>3073</v>
      </c>
      <c r="D136" s="61" t="s">
        <v>3074</v>
      </c>
      <c r="E136" s="61" t="str">
        <f t="shared" si="2"/>
        <v>400004622</v>
      </c>
      <c r="F136" s="61" t="s">
        <v>1253</v>
      </c>
      <c r="G136" s="61" t="s">
        <v>2727</v>
      </c>
      <c r="H136" s="61" t="s">
        <v>42</v>
      </c>
      <c r="I136" s="61" t="s">
        <v>2733</v>
      </c>
      <c r="J136" s="61" t="s">
        <v>1332</v>
      </c>
      <c r="K136" s="61"/>
      <c r="L136" s="61"/>
    </row>
    <row r="137" spans="1:12" ht="27" customHeight="1">
      <c r="A137" s="61"/>
      <c r="B137" s="61" t="s">
        <v>3075</v>
      </c>
      <c r="C137" s="61" t="s">
        <v>221</v>
      </c>
      <c r="D137" s="61" t="s">
        <v>3076</v>
      </c>
      <c r="E137" s="61" t="str">
        <f t="shared" si="2"/>
        <v>400295683</v>
      </c>
      <c r="F137" s="61" t="s">
        <v>222</v>
      </c>
      <c r="G137" s="61" t="s">
        <v>2744</v>
      </c>
      <c r="H137" s="61" t="s">
        <v>42</v>
      </c>
      <c r="I137" s="61" t="s">
        <v>2733</v>
      </c>
      <c r="J137" s="61" t="s">
        <v>3077</v>
      </c>
      <c r="K137" s="61"/>
      <c r="L137" s="61"/>
    </row>
    <row r="138" spans="1:12" ht="15.95" customHeight="1">
      <c r="A138" s="61"/>
      <c r="B138" s="61" t="s">
        <v>2734</v>
      </c>
      <c r="C138" s="61" t="s">
        <v>2023</v>
      </c>
      <c r="D138" s="61" t="s">
        <v>3078</v>
      </c>
      <c r="E138" s="61" t="str">
        <f t="shared" si="2"/>
        <v>400013185</v>
      </c>
      <c r="F138" s="61" t="s">
        <v>1253</v>
      </c>
      <c r="G138" s="61" t="s">
        <v>2744</v>
      </c>
      <c r="H138" s="61" t="s">
        <v>42</v>
      </c>
      <c r="I138" s="61" t="s">
        <v>2733</v>
      </c>
      <c r="J138" s="61" t="s">
        <v>1332</v>
      </c>
      <c r="K138" s="61"/>
      <c r="L138" s="61"/>
    </row>
    <row r="139" spans="1:12" ht="27" customHeight="1">
      <c r="A139" s="61"/>
      <c r="B139" s="61" t="s">
        <v>3079</v>
      </c>
      <c r="C139" s="61" t="s">
        <v>225</v>
      </c>
      <c r="D139" s="61" t="s">
        <v>3080</v>
      </c>
      <c r="E139" s="61" t="str">
        <f t="shared" si="2"/>
        <v>400295017</v>
      </c>
      <c r="F139" s="61" t="s">
        <v>226</v>
      </c>
      <c r="G139" s="61" t="s">
        <v>2744</v>
      </c>
      <c r="H139" s="61" t="s">
        <v>42</v>
      </c>
      <c r="I139" s="61" t="s">
        <v>2733</v>
      </c>
      <c r="J139" s="61" t="s">
        <v>3081</v>
      </c>
      <c r="K139" s="61"/>
      <c r="L139" s="61"/>
    </row>
    <row r="140" spans="1:12" ht="15.95" customHeight="1">
      <c r="A140" s="61"/>
      <c r="B140" s="61" t="s">
        <v>3082</v>
      </c>
      <c r="C140" s="61" t="s">
        <v>879</v>
      </c>
      <c r="D140" s="61" t="s">
        <v>3083</v>
      </c>
      <c r="E140" s="61" t="str">
        <f t="shared" si="2"/>
        <v>400984334</v>
      </c>
      <c r="F140" s="61" t="s">
        <v>880</v>
      </c>
      <c r="G140" s="61" t="s">
        <v>2744</v>
      </c>
      <c r="H140" s="61" t="s">
        <v>42</v>
      </c>
      <c r="I140" s="61" t="s">
        <v>2733</v>
      </c>
      <c r="J140" s="61" t="s">
        <v>3084</v>
      </c>
      <c r="K140" s="61"/>
      <c r="L140" s="61"/>
    </row>
    <row r="141" spans="1:12" ht="50.1" customHeight="1">
      <c r="A141" s="61"/>
      <c r="B141" s="61" t="s">
        <v>3085</v>
      </c>
      <c r="C141" s="61" t="s">
        <v>881</v>
      </c>
      <c r="D141" s="61" t="s">
        <v>3086</v>
      </c>
      <c r="E141" s="61" t="str">
        <f t="shared" si="2"/>
        <v>400824172</v>
      </c>
      <c r="F141" s="61" t="s">
        <v>3087</v>
      </c>
      <c r="G141" s="61" t="s">
        <v>2818</v>
      </c>
      <c r="H141" s="61" t="s">
        <v>42</v>
      </c>
      <c r="I141" s="61" t="s">
        <v>2733</v>
      </c>
      <c r="J141" s="61" t="s">
        <v>3088</v>
      </c>
      <c r="K141" s="61"/>
      <c r="L141" s="61"/>
    </row>
    <row r="142" spans="1:12" ht="15.95" customHeight="1">
      <c r="A142" s="61"/>
      <c r="B142" s="61" t="s">
        <v>2734</v>
      </c>
      <c r="C142" s="61" t="s">
        <v>1363</v>
      </c>
      <c r="D142" s="61" t="s">
        <v>3089</v>
      </c>
      <c r="E142" s="61" t="str">
        <f t="shared" si="2"/>
        <v>401007140</v>
      </c>
      <c r="F142" s="61" t="s">
        <v>1361</v>
      </c>
      <c r="G142" s="61" t="s">
        <v>2818</v>
      </c>
      <c r="H142" s="61" t="s">
        <v>42</v>
      </c>
      <c r="I142" s="61" t="s">
        <v>2733</v>
      </c>
      <c r="J142" s="61" t="s">
        <v>1332</v>
      </c>
      <c r="K142" s="61"/>
      <c r="L142" s="61"/>
    </row>
    <row r="143" spans="1:12" ht="15.95" customHeight="1">
      <c r="A143" s="61"/>
      <c r="B143" s="61" t="s">
        <v>3090</v>
      </c>
      <c r="C143" s="61" t="s">
        <v>883</v>
      </c>
      <c r="D143" s="61" t="s">
        <v>3091</v>
      </c>
      <c r="E143" s="61" t="str">
        <f t="shared" si="2"/>
        <v>400897248</v>
      </c>
      <c r="F143" s="61" t="s">
        <v>884</v>
      </c>
      <c r="G143" s="61" t="s">
        <v>2790</v>
      </c>
      <c r="H143" s="61" t="s">
        <v>42</v>
      </c>
      <c r="I143" s="61" t="s">
        <v>2733</v>
      </c>
      <c r="J143" s="61" t="s">
        <v>3092</v>
      </c>
      <c r="K143" s="61"/>
      <c r="L143" s="61"/>
    </row>
    <row r="144" spans="1:12" ht="50.1" customHeight="1">
      <c r="A144" s="61"/>
      <c r="B144" s="61" t="s">
        <v>3093</v>
      </c>
      <c r="C144" s="61" t="s">
        <v>1254</v>
      </c>
      <c r="D144" s="61" t="s">
        <v>3094</v>
      </c>
      <c r="E144" s="61" t="str">
        <f t="shared" si="2"/>
        <v>400638927</v>
      </c>
      <c r="F144" s="61" t="s">
        <v>3095</v>
      </c>
      <c r="G144" s="61" t="s">
        <v>2790</v>
      </c>
      <c r="H144" s="61" t="s">
        <v>42</v>
      </c>
      <c r="I144" s="61" t="s">
        <v>2733</v>
      </c>
      <c r="J144" s="61" t="s">
        <v>3096</v>
      </c>
      <c r="K144" s="61"/>
      <c r="L144" s="61"/>
    </row>
    <row r="145" spans="1:12" ht="27" customHeight="1">
      <c r="A145" s="61"/>
      <c r="B145" s="61" t="s">
        <v>2734</v>
      </c>
      <c r="C145" s="61" t="s">
        <v>1887</v>
      </c>
      <c r="D145" s="61" t="s">
        <v>3097</v>
      </c>
      <c r="E145" s="61" t="str">
        <f t="shared" si="2"/>
        <v>400624636</v>
      </c>
      <c r="F145" s="61" t="s">
        <v>1886</v>
      </c>
      <c r="G145" s="61" t="s">
        <v>2790</v>
      </c>
      <c r="H145" s="61" t="s">
        <v>42</v>
      </c>
      <c r="I145" s="61" t="s">
        <v>2733</v>
      </c>
      <c r="J145" s="61" t="s">
        <v>1332</v>
      </c>
      <c r="K145" s="61"/>
      <c r="L145" s="61"/>
    </row>
    <row r="146" spans="1:12" ht="15.95" customHeight="1">
      <c r="A146" s="61"/>
      <c r="B146" s="61" t="s">
        <v>3098</v>
      </c>
      <c r="C146" s="61" t="s">
        <v>1256</v>
      </c>
      <c r="D146" s="61" t="s">
        <v>3099</v>
      </c>
      <c r="E146" s="61" t="str">
        <f t="shared" si="2"/>
        <v>400611960</v>
      </c>
      <c r="F146" s="61" t="s">
        <v>1257</v>
      </c>
      <c r="G146" s="61" t="s">
        <v>2754</v>
      </c>
      <c r="H146" s="61" t="s">
        <v>42</v>
      </c>
      <c r="I146" s="61" t="s">
        <v>2733</v>
      </c>
      <c r="J146" s="61" t="s">
        <v>3100</v>
      </c>
      <c r="K146" s="61"/>
      <c r="L146" s="61"/>
    </row>
    <row r="147" spans="1:12" ht="50.1" customHeight="1">
      <c r="A147" s="61"/>
      <c r="B147" s="61" t="s">
        <v>3101</v>
      </c>
      <c r="C147" s="61" t="s">
        <v>888</v>
      </c>
      <c r="D147" s="61" t="s">
        <v>3102</v>
      </c>
      <c r="E147" s="61" t="str">
        <f t="shared" si="2"/>
        <v>400205279</v>
      </c>
      <c r="F147" s="61" t="s">
        <v>889</v>
      </c>
      <c r="G147" s="61" t="s">
        <v>2790</v>
      </c>
      <c r="H147" s="61" t="s">
        <v>42</v>
      </c>
      <c r="I147" s="61" t="s">
        <v>2733</v>
      </c>
      <c r="J147" s="61" t="s">
        <v>3103</v>
      </c>
      <c r="K147" s="61"/>
      <c r="L147" s="61"/>
    </row>
    <row r="148" spans="1:12" ht="27" customHeight="1">
      <c r="A148" s="61"/>
      <c r="B148" s="61" t="s">
        <v>3104</v>
      </c>
      <c r="C148" s="61" t="s">
        <v>1258</v>
      </c>
      <c r="D148" s="61" t="s">
        <v>3105</v>
      </c>
      <c r="E148" s="61" t="str">
        <f t="shared" si="2"/>
        <v>400203456</v>
      </c>
      <c r="F148" s="61" t="s">
        <v>3106</v>
      </c>
      <c r="G148" s="61" t="s">
        <v>2727</v>
      </c>
      <c r="H148" s="61" t="s">
        <v>42</v>
      </c>
      <c r="I148" s="61" t="s">
        <v>2733</v>
      </c>
      <c r="J148" s="61" t="s">
        <v>3107</v>
      </c>
      <c r="K148" s="61"/>
      <c r="L148" s="61"/>
    </row>
    <row r="149" spans="1:12" ht="15.95" customHeight="1">
      <c r="A149" s="61"/>
      <c r="B149" s="61" t="s">
        <v>3108</v>
      </c>
      <c r="C149" s="61" t="s">
        <v>892</v>
      </c>
      <c r="D149" s="61" t="s">
        <v>3109</v>
      </c>
      <c r="E149" s="61" t="str">
        <f t="shared" si="2"/>
        <v>400169070</v>
      </c>
      <c r="F149" s="61" t="s">
        <v>893</v>
      </c>
      <c r="G149" s="61" t="s">
        <v>2730</v>
      </c>
      <c r="H149" s="61" t="s">
        <v>42</v>
      </c>
      <c r="I149" s="61" t="s">
        <v>2733</v>
      </c>
      <c r="J149" s="61" t="s">
        <v>3110</v>
      </c>
      <c r="K149" s="61"/>
      <c r="L149" s="61"/>
    </row>
    <row r="150" spans="1:12" ht="27" customHeight="1">
      <c r="A150" s="61"/>
      <c r="B150" s="61" t="s">
        <v>3111</v>
      </c>
      <c r="C150" s="61" t="s">
        <v>895</v>
      </c>
      <c r="D150" s="61" t="s">
        <v>3112</v>
      </c>
      <c r="E150" s="61" t="str">
        <f t="shared" si="2"/>
        <v>400330009</v>
      </c>
      <c r="F150" s="61" t="s">
        <v>896</v>
      </c>
      <c r="G150" s="61" t="s">
        <v>2764</v>
      </c>
      <c r="H150" s="61" t="s">
        <v>42</v>
      </c>
      <c r="I150" s="61" t="s">
        <v>2733</v>
      </c>
      <c r="J150" s="61" t="s">
        <v>3113</v>
      </c>
      <c r="K150" s="61"/>
      <c r="L150" s="61"/>
    </row>
    <row r="151" spans="1:12" ht="15.95" customHeight="1">
      <c r="A151" s="61"/>
      <c r="B151" s="61" t="s">
        <v>3114</v>
      </c>
      <c r="C151" s="61" t="s">
        <v>898</v>
      </c>
      <c r="D151" s="61" t="s">
        <v>3115</v>
      </c>
      <c r="E151" s="61" t="str">
        <f t="shared" si="2"/>
        <v>400186681</v>
      </c>
      <c r="F151" s="61" t="s">
        <v>899</v>
      </c>
      <c r="G151" s="61" t="s">
        <v>2727</v>
      </c>
      <c r="H151" s="61" t="s">
        <v>42</v>
      </c>
      <c r="I151" s="61" t="s">
        <v>2733</v>
      </c>
      <c r="J151" s="61" t="s">
        <v>3116</v>
      </c>
      <c r="K151" s="61"/>
      <c r="L151" s="61"/>
    </row>
    <row r="152" spans="1:12" ht="15.95" customHeight="1">
      <c r="A152" s="61"/>
      <c r="B152" s="61" t="s">
        <v>3117</v>
      </c>
      <c r="C152" s="61" t="s">
        <v>901</v>
      </c>
      <c r="D152" s="61" t="s">
        <v>3118</v>
      </c>
      <c r="E152" s="61" t="str">
        <f t="shared" si="2"/>
        <v>400329964</v>
      </c>
      <c r="F152" s="61" t="s">
        <v>902</v>
      </c>
      <c r="G152" s="61" t="s">
        <v>2730</v>
      </c>
      <c r="H152" s="61" t="s">
        <v>42</v>
      </c>
      <c r="I152" s="61" t="s">
        <v>2733</v>
      </c>
      <c r="J152" s="61" t="s">
        <v>3119</v>
      </c>
      <c r="K152" s="61"/>
      <c r="L152" s="61"/>
    </row>
    <row r="153" spans="1:12" ht="15.95" customHeight="1">
      <c r="A153" s="61"/>
      <c r="B153" s="61" t="s">
        <v>3120</v>
      </c>
      <c r="C153" s="61" t="s">
        <v>910</v>
      </c>
      <c r="D153" s="61" t="s">
        <v>3121</v>
      </c>
      <c r="E153" s="61" t="str">
        <f t="shared" si="2"/>
        <v>400119153</v>
      </c>
      <c r="F153" s="61" t="s">
        <v>911</v>
      </c>
      <c r="G153" s="61" t="s">
        <v>2730</v>
      </c>
      <c r="H153" s="61" t="s">
        <v>42</v>
      </c>
      <c r="I153" s="61" t="s">
        <v>2733</v>
      </c>
      <c r="J153" s="61" t="s">
        <v>3122</v>
      </c>
      <c r="K153" s="61"/>
      <c r="L153" s="61"/>
    </row>
    <row r="154" spans="1:12" ht="27" customHeight="1">
      <c r="A154" s="61"/>
      <c r="B154" s="61" t="s">
        <v>3123</v>
      </c>
      <c r="C154" s="61" t="s">
        <v>1275</v>
      </c>
      <c r="D154" s="61" t="s">
        <v>3124</v>
      </c>
      <c r="E154" s="61" t="str">
        <f t="shared" si="2"/>
        <v>400120141</v>
      </c>
      <c r="F154" s="61" t="s">
        <v>1276</v>
      </c>
      <c r="G154" s="61" t="s">
        <v>2727</v>
      </c>
      <c r="H154" s="61" t="s">
        <v>42</v>
      </c>
      <c r="I154" s="61" t="s">
        <v>2733</v>
      </c>
      <c r="J154" s="61" t="s">
        <v>3125</v>
      </c>
      <c r="K154" s="61"/>
      <c r="L154" s="61"/>
    </row>
    <row r="155" spans="1:12" ht="27" customHeight="1">
      <c r="A155" s="61"/>
      <c r="B155" s="61" t="s">
        <v>2734</v>
      </c>
      <c r="C155" s="61" t="s">
        <v>3126</v>
      </c>
      <c r="D155" s="61" t="s">
        <v>3127</v>
      </c>
      <c r="E155" s="61" t="str">
        <f t="shared" si="2"/>
        <v>N58892084</v>
      </c>
      <c r="F155" s="61" t="s">
        <v>3128</v>
      </c>
      <c r="G155" s="61" t="s">
        <v>2727</v>
      </c>
      <c r="H155" s="61" t="s">
        <v>42</v>
      </c>
      <c r="I155" s="61" t="s">
        <v>2733</v>
      </c>
      <c r="J155" s="61" t="s">
        <v>1332</v>
      </c>
      <c r="K155" s="61"/>
      <c r="L155" s="61"/>
    </row>
    <row r="156" spans="1:12" ht="15.95" customHeight="1">
      <c r="A156" s="61"/>
      <c r="B156" s="61" t="s">
        <v>3129</v>
      </c>
      <c r="C156" s="61" t="s">
        <v>912</v>
      </c>
      <c r="D156" s="61" t="s">
        <v>3130</v>
      </c>
      <c r="E156" s="61" t="str">
        <f t="shared" si="2"/>
        <v>401225118</v>
      </c>
      <c r="F156" s="61" t="s">
        <v>913</v>
      </c>
      <c r="G156" s="61" t="s">
        <v>2727</v>
      </c>
      <c r="H156" s="61" t="s">
        <v>42</v>
      </c>
      <c r="I156" s="61" t="s">
        <v>2733</v>
      </c>
      <c r="J156" s="61" t="s">
        <v>3131</v>
      </c>
      <c r="K156" s="61"/>
      <c r="L156" s="61"/>
    </row>
    <row r="157" spans="1:12" ht="15.95" customHeight="1">
      <c r="A157" s="61"/>
      <c r="B157" s="61" t="s">
        <v>2734</v>
      </c>
      <c r="C157" s="61" t="s">
        <v>3132</v>
      </c>
      <c r="D157" s="61" t="s">
        <v>3133</v>
      </c>
      <c r="E157" s="61" t="str">
        <f t="shared" si="2"/>
        <v>N60146263</v>
      </c>
      <c r="F157" s="61" t="s">
        <v>3134</v>
      </c>
      <c r="G157" s="61" t="s">
        <v>2727</v>
      </c>
      <c r="H157" s="61" t="s">
        <v>42</v>
      </c>
      <c r="I157" s="61" t="s">
        <v>2733</v>
      </c>
      <c r="J157" s="61" t="s">
        <v>1332</v>
      </c>
      <c r="K157" s="61"/>
      <c r="L157" s="61"/>
    </row>
    <row r="158" spans="1:12" ht="38.1" customHeight="1">
      <c r="A158" s="61"/>
      <c r="B158" s="61" t="s">
        <v>3135</v>
      </c>
      <c r="C158" s="61" t="s">
        <v>916</v>
      </c>
      <c r="D158" s="61" t="s">
        <v>3136</v>
      </c>
      <c r="E158" s="61" t="str">
        <f t="shared" si="2"/>
        <v>400391792</v>
      </c>
      <c r="F158" s="61" t="s">
        <v>917</v>
      </c>
      <c r="G158" s="61" t="s">
        <v>2757</v>
      </c>
      <c r="H158" s="61" t="s">
        <v>42</v>
      </c>
      <c r="I158" s="61" t="s">
        <v>2733</v>
      </c>
      <c r="J158" s="61" t="s">
        <v>3137</v>
      </c>
      <c r="K158" s="61"/>
      <c r="L158" s="61"/>
    </row>
    <row r="159" spans="1:12" ht="15.95" customHeight="1">
      <c r="A159" s="61"/>
      <c r="B159" s="61" t="s">
        <v>2734</v>
      </c>
      <c r="C159" s="61" t="s">
        <v>3138</v>
      </c>
      <c r="D159" s="61" t="s">
        <v>3139</v>
      </c>
      <c r="E159" s="61" t="str">
        <f t="shared" si="2"/>
        <v>N57125452</v>
      </c>
      <c r="F159" s="61" t="s">
        <v>3140</v>
      </c>
      <c r="G159" s="61" t="s">
        <v>2757</v>
      </c>
      <c r="H159" s="61" t="s">
        <v>42</v>
      </c>
      <c r="I159" s="61" t="s">
        <v>2733</v>
      </c>
      <c r="J159" s="61" t="s">
        <v>1332</v>
      </c>
      <c r="K159" s="61"/>
      <c r="L159" s="61"/>
    </row>
    <row r="160" spans="1:12" ht="27" customHeight="1">
      <c r="A160" s="61"/>
      <c r="B160" s="61" t="s">
        <v>3141</v>
      </c>
      <c r="C160" s="61" t="s">
        <v>921</v>
      </c>
      <c r="D160" s="61" t="s">
        <v>3142</v>
      </c>
      <c r="E160" s="61" t="str">
        <f t="shared" si="2"/>
        <v>400656257</v>
      </c>
      <c r="F160" s="61" t="s">
        <v>922</v>
      </c>
      <c r="G160" s="61" t="s">
        <v>2727</v>
      </c>
      <c r="H160" s="61" t="s">
        <v>42</v>
      </c>
      <c r="I160" s="61" t="s">
        <v>2733</v>
      </c>
      <c r="J160" s="61" t="s">
        <v>3143</v>
      </c>
      <c r="K160" s="61"/>
      <c r="L160" s="61"/>
    </row>
    <row r="161" spans="1:12" ht="50.1" customHeight="1">
      <c r="A161" s="61"/>
      <c r="B161" s="61" t="s">
        <v>3144</v>
      </c>
      <c r="C161" s="61" t="s">
        <v>923</v>
      </c>
      <c r="D161" s="61" t="s">
        <v>3145</v>
      </c>
      <c r="E161" s="61" t="str">
        <f t="shared" si="2"/>
        <v>411132942</v>
      </c>
      <c r="F161" s="61" t="s">
        <v>924</v>
      </c>
      <c r="G161" s="61" t="s">
        <v>2794</v>
      </c>
      <c r="H161" s="61" t="s">
        <v>42</v>
      </c>
      <c r="I161" s="61" t="s">
        <v>2733</v>
      </c>
      <c r="J161" s="61" t="s">
        <v>3146</v>
      </c>
      <c r="K161" s="61"/>
      <c r="L161" s="61"/>
    </row>
    <row r="162" spans="1:12" ht="15.95" customHeight="1">
      <c r="A162" s="61"/>
      <c r="B162" s="61" t="s">
        <v>3147</v>
      </c>
      <c r="C162" s="61" t="s">
        <v>1172</v>
      </c>
      <c r="D162" s="61" t="s">
        <v>3148</v>
      </c>
      <c r="E162" s="61" t="str">
        <f t="shared" si="2"/>
        <v>402113164</v>
      </c>
      <c r="F162" s="61" t="s">
        <v>1173</v>
      </c>
      <c r="G162" s="61" t="s">
        <v>2757</v>
      </c>
      <c r="H162" s="61" t="s">
        <v>42</v>
      </c>
      <c r="I162" s="61" t="s">
        <v>2729</v>
      </c>
      <c r="J162" s="61" t="s">
        <v>3149</v>
      </c>
      <c r="K162" s="61"/>
      <c r="L162" s="61"/>
    </row>
    <row r="163" spans="1:12" ht="15.95" customHeight="1">
      <c r="A163" s="61"/>
      <c r="B163" s="61" t="s">
        <v>2734</v>
      </c>
      <c r="C163" s="61" t="s">
        <v>3150</v>
      </c>
      <c r="D163" s="61" t="s">
        <v>3151</v>
      </c>
      <c r="E163" s="61" t="str">
        <f t="shared" si="2"/>
        <v>404983520</v>
      </c>
      <c r="F163" s="61" t="s">
        <v>3152</v>
      </c>
      <c r="G163" s="61" t="s">
        <v>2757</v>
      </c>
      <c r="H163" s="61" t="s">
        <v>42</v>
      </c>
      <c r="I163" s="61" t="s">
        <v>2729</v>
      </c>
      <c r="J163" s="61" t="s">
        <v>1332</v>
      </c>
      <c r="K163" s="61"/>
      <c r="L163" s="61"/>
    </row>
    <row r="164" spans="1:12" ht="27" customHeight="1">
      <c r="A164" s="61"/>
      <c r="B164" s="61" t="s">
        <v>2734</v>
      </c>
      <c r="C164" s="61" t="s">
        <v>3153</v>
      </c>
      <c r="D164" s="61" t="s">
        <v>3154</v>
      </c>
      <c r="E164" s="61" t="str">
        <f t="shared" si="2"/>
        <v>401183811</v>
      </c>
      <c r="F164" s="61" t="s">
        <v>3155</v>
      </c>
      <c r="G164" s="61" t="s">
        <v>2757</v>
      </c>
      <c r="H164" s="61" t="s">
        <v>42</v>
      </c>
      <c r="I164" s="61" t="s">
        <v>2733</v>
      </c>
      <c r="J164" s="61" t="s">
        <v>1332</v>
      </c>
      <c r="K164" s="61"/>
      <c r="L164" s="61"/>
    </row>
    <row r="165" spans="1:12" ht="27" customHeight="1">
      <c r="A165" s="61"/>
      <c r="B165" s="61" t="s">
        <v>3156</v>
      </c>
      <c r="C165" s="61" t="s">
        <v>948</v>
      </c>
      <c r="D165" s="61" t="s">
        <v>949</v>
      </c>
      <c r="E165" s="61" t="str">
        <f t="shared" si="2"/>
        <v>N62740600</v>
      </c>
      <c r="F165" s="61" t="s">
        <v>3157</v>
      </c>
      <c r="G165" s="61" t="s">
        <v>2746</v>
      </c>
      <c r="H165" s="61" t="s">
        <v>42</v>
      </c>
      <c r="I165" s="61" t="s">
        <v>2733</v>
      </c>
      <c r="J165" s="61" t="s">
        <v>3158</v>
      </c>
      <c r="K165" s="61"/>
      <c r="L165" s="61"/>
    </row>
    <row r="166" spans="1:12" ht="27" customHeight="1">
      <c r="A166" s="61"/>
      <c r="B166" s="61" t="s">
        <v>3159</v>
      </c>
      <c r="C166" s="61" t="s">
        <v>981</v>
      </c>
      <c r="D166" s="61" t="s">
        <v>982</v>
      </c>
      <c r="E166" s="61" t="str">
        <f t="shared" si="2"/>
        <v>N62752100</v>
      </c>
      <c r="F166" s="61" t="s">
        <v>3160</v>
      </c>
      <c r="G166" s="61" t="s">
        <v>2727</v>
      </c>
      <c r="H166" s="61" t="s">
        <v>42</v>
      </c>
      <c r="I166" s="61" t="s">
        <v>2733</v>
      </c>
      <c r="J166" s="61" t="s">
        <v>3161</v>
      </c>
      <c r="K166" s="61"/>
      <c r="L166" s="61"/>
    </row>
    <row r="167" spans="1:12" ht="15.95" customHeight="1">
      <c r="A167" s="61"/>
      <c r="B167" s="61" t="s">
        <v>2843</v>
      </c>
      <c r="C167" s="61" t="s">
        <v>966</v>
      </c>
      <c r="D167" s="61" t="s">
        <v>967</v>
      </c>
      <c r="E167" s="61" t="str">
        <f t="shared" si="2"/>
        <v>N57155418</v>
      </c>
      <c r="F167" s="61" t="s">
        <v>3162</v>
      </c>
      <c r="G167" s="61" t="s">
        <v>2790</v>
      </c>
      <c r="H167" s="61" t="s">
        <v>42</v>
      </c>
      <c r="I167" s="61" t="s">
        <v>2733</v>
      </c>
      <c r="J167" s="61" t="s">
        <v>3163</v>
      </c>
      <c r="K167" s="61"/>
      <c r="L167" s="61"/>
    </row>
    <row r="168" spans="1:12" ht="27" customHeight="1">
      <c r="A168" s="61"/>
      <c r="B168" s="61" t="s">
        <v>3164</v>
      </c>
      <c r="C168" s="61" t="s">
        <v>972</v>
      </c>
      <c r="D168" s="61" t="s">
        <v>3165</v>
      </c>
      <c r="E168" s="61" t="str">
        <f t="shared" si="2"/>
        <v>407374932</v>
      </c>
      <c r="F168" s="61" t="s">
        <v>973</v>
      </c>
      <c r="G168" s="61" t="s">
        <v>2730</v>
      </c>
      <c r="H168" s="61" t="s">
        <v>42</v>
      </c>
      <c r="I168" s="61" t="s">
        <v>2733</v>
      </c>
      <c r="J168" s="61" t="s">
        <v>3166</v>
      </c>
      <c r="K168" s="61"/>
      <c r="L168" s="61"/>
    </row>
    <row r="169" spans="1:12" ht="15.95" customHeight="1">
      <c r="A169" s="61"/>
      <c r="B169" s="61" t="s">
        <v>2734</v>
      </c>
      <c r="C169" s="61" t="s">
        <v>2027</v>
      </c>
      <c r="D169" s="61" t="s">
        <v>3167</v>
      </c>
      <c r="E169" s="61" t="str">
        <f t="shared" si="2"/>
        <v>400340475</v>
      </c>
      <c r="F169" s="61" t="s">
        <v>973</v>
      </c>
      <c r="G169" s="61" t="s">
        <v>2730</v>
      </c>
      <c r="H169" s="61" t="s">
        <v>42</v>
      </c>
      <c r="I169" s="61" t="s">
        <v>2733</v>
      </c>
      <c r="J169" s="61" t="s">
        <v>1332</v>
      </c>
      <c r="K169" s="61"/>
      <c r="L169" s="61"/>
    </row>
    <row r="170" spans="1:12" ht="27" customHeight="1">
      <c r="A170" s="61"/>
      <c r="B170" s="61" t="s">
        <v>3168</v>
      </c>
      <c r="C170" s="61" t="s">
        <v>978</v>
      </c>
      <c r="D170" s="61" t="s">
        <v>3169</v>
      </c>
      <c r="E170" s="61" t="str">
        <f t="shared" si="2"/>
        <v>419271576</v>
      </c>
      <c r="F170" s="61" t="s">
        <v>979</v>
      </c>
      <c r="G170" s="61" t="s">
        <v>2744</v>
      </c>
      <c r="H170" s="61" t="s">
        <v>42</v>
      </c>
      <c r="I170" s="61" t="s">
        <v>2733</v>
      </c>
      <c r="J170" s="61" t="s">
        <v>3170</v>
      </c>
      <c r="K170" s="61"/>
      <c r="L170" s="61"/>
    </row>
    <row r="171" spans="1:12" ht="27" customHeight="1">
      <c r="A171" s="61"/>
      <c r="B171" s="61" t="s">
        <v>2734</v>
      </c>
      <c r="C171" s="61" t="s">
        <v>2105</v>
      </c>
      <c r="D171" s="61" t="s">
        <v>3171</v>
      </c>
      <c r="E171" s="61" t="str">
        <f t="shared" si="2"/>
        <v>400604233</v>
      </c>
      <c r="F171" s="61" t="s">
        <v>979</v>
      </c>
      <c r="G171" s="61" t="s">
        <v>2744</v>
      </c>
      <c r="H171" s="61" t="s">
        <v>42</v>
      </c>
      <c r="I171" s="61" t="s">
        <v>2733</v>
      </c>
      <c r="J171" s="61" t="s">
        <v>1332</v>
      </c>
      <c r="K171" s="61"/>
      <c r="L171" s="61"/>
    </row>
    <row r="172" spans="1:12" ht="27" customHeight="1">
      <c r="A172" s="61"/>
      <c r="B172" s="61" t="s">
        <v>3172</v>
      </c>
      <c r="C172" s="61" t="s">
        <v>1311</v>
      </c>
      <c r="D172" s="61" t="s">
        <v>3173</v>
      </c>
      <c r="E172" s="61" t="str">
        <f t="shared" si="2"/>
        <v>403882064</v>
      </c>
      <c r="F172" s="61" t="s">
        <v>1312</v>
      </c>
      <c r="G172" s="61" t="s">
        <v>2727</v>
      </c>
      <c r="H172" s="61" t="s">
        <v>42</v>
      </c>
      <c r="I172" s="61" t="s">
        <v>2733</v>
      </c>
      <c r="J172" s="61" t="s">
        <v>3174</v>
      </c>
      <c r="K172" s="61"/>
      <c r="L172" s="61"/>
    </row>
    <row r="173" spans="1:12" ht="15.95" customHeight="1">
      <c r="A173" s="61"/>
      <c r="B173" s="61" t="s">
        <v>3175</v>
      </c>
      <c r="C173" s="61" t="s">
        <v>995</v>
      </c>
      <c r="D173" s="61" t="s">
        <v>3176</v>
      </c>
      <c r="E173" s="61" t="str">
        <f t="shared" si="2"/>
        <v>400567121</v>
      </c>
      <c r="F173" s="61" t="s">
        <v>996</v>
      </c>
      <c r="G173" s="61" t="s">
        <v>2727</v>
      </c>
      <c r="H173" s="61" t="s">
        <v>42</v>
      </c>
      <c r="I173" s="61" t="s">
        <v>2733</v>
      </c>
      <c r="J173" s="61" t="s">
        <v>3177</v>
      </c>
      <c r="K173" s="61"/>
      <c r="L173" s="61"/>
    </row>
    <row r="174" spans="1:12" ht="15.95" customHeight="1">
      <c r="A174" s="61"/>
      <c r="B174" s="61" t="s">
        <v>2734</v>
      </c>
      <c r="C174" s="61" t="s">
        <v>1900</v>
      </c>
      <c r="D174" s="61" t="s">
        <v>1898</v>
      </c>
      <c r="E174" s="61" t="str">
        <f t="shared" si="2"/>
        <v>N58612243</v>
      </c>
      <c r="F174" s="61" t="s">
        <v>3178</v>
      </c>
      <c r="G174" s="61" t="s">
        <v>2727</v>
      </c>
      <c r="H174" s="61" t="s">
        <v>42</v>
      </c>
      <c r="I174" s="61" t="s">
        <v>2733</v>
      </c>
      <c r="J174" s="61" t="s">
        <v>1332</v>
      </c>
      <c r="K174" s="61"/>
      <c r="L174" s="61"/>
    </row>
    <row r="175" spans="1:12" ht="15.95" customHeight="1">
      <c r="A175" s="61"/>
      <c r="B175" s="61" t="s">
        <v>3179</v>
      </c>
      <c r="C175" s="61" t="s">
        <v>1315</v>
      </c>
      <c r="D175" s="61" t="s">
        <v>3180</v>
      </c>
      <c r="E175" s="61" t="str">
        <f t="shared" si="2"/>
        <v>400624402</v>
      </c>
      <c r="F175" s="61" t="s">
        <v>1316</v>
      </c>
      <c r="G175" s="61" t="s">
        <v>2727</v>
      </c>
      <c r="H175" s="61" t="s">
        <v>42</v>
      </c>
      <c r="I175" s="61" t="s">
        <v>2733</v>
      </c>
      <c r="J175" s="61" t="s">
        <v>3181</v>
      </c>
      <c r="K175" s="61"/>
      <c r="L175" s="61"/>
    </row>
    <row r="176" spans="1:12" ht="15.95" customHeight="1">
      <c r="A176" s="61"/>
      <c r="B176" s="61" t="s">
        <v>3182</v>
      </c>
      <c r="C176" s="61" t="s">
        <v>1317</v>
      </c>
      <c r="D176" s="61" t="s">
        <v>3183</v>
      </c>
      <c r="E176" s="61" t="str">
        <f t="shared" si="2"/>
        <v>400610120</v>
      </c>
      <c r="F176" s="61" t="s">
        <v>1318</v>
      </c>
      <c r="G176" s="61" t="s">
        <v>2727</v>
      </c>
      <c r="H176" s="61" t="s">
        <v>42</v>
      </c>
      <c r="I176" s="61" t="s">
        <v>2733</v>
      </c>
      <c r="J176" s="61" t="s">
        <v>3184</v>
      </c>
      <c r="K176" s="61"/>
      <c r="L176" s="61"/>
    </row>
    <row r="177" spans="1:12" ht="27" customHeight="1">
      <c r="A177" s="61"/>
      <c r="B177" s="61" t="s">
        <v>3185</v>
      </c>
      <c r="C177" s="61" t="s">
        <v>830</v>
      </c>
      <c r="D177" s="61" t="s">
        <v>3186</v>
      </c>
      <c r="E177" s="61" t="str">
        <f t="shared" si="2"/>
        <v>400624634</v>
      </c>
      <c r="F177" s="61" t="s">
        <v>831</v>
      </c>
      <c r="G177" s="61" t="s">
        <v>3187</v>
      </c>
      <c r="H177" s="61" t="s">
        <v>42</v>
      </c>
      <c r="I177" s="61" t="s">
        <v>2733</v>
      </c>
      <c r="J177" s="61" t="s">
        <v>3188</v>
      </c>
      <c r="K177" s="61"/>
      <c r="L177" s="61"/>
    </row>
    <row r="178" spans="1:12" ht="27" customHeight="1">
      <c r="A178" s="61"/>
      <c r="B178" s="61" t="s">
        <v>3189</v>
      </c>
      <c r="C178" s="61" t="s">
        <v>894</v>
      </c>
      <c r="D178" s="61" t="s">
        <v>3190</v>
      </c>
      <c r="E178" s="61" t="str">
        <f t="shared" si="2"/>
        <v>400151183</v>
      </c>
      <c r="F178" s="61" t="s">
        <v>831</v>
      </c>
      <c r="G178" s="61" t="s">
        <v>2730</v>
      </c>
      <c r="H178" s="61" t="s">
        <v>42</v>
      </c>
      <c r="I178" s="61" t="s">
        <v>2733</v>
      </c>
      <c r="J178" s="61" t="s">
        <v>3191</v>
      </c>
      <c r="K178" s="61"/>
      <c r="L178" s="61"/>
    </row>
    <row r="179" spans="1:12" ht="27" customHeight="1">
      <c r="A179" s="61"/>
      <c r="B179" s="61" t="s">
        <v>2734</v>
      </c>
      <c r="C179" s="61" t="s">
        <v>3192</v>
      </c>
      <c r="D179" s="61" t="s">
        <v>3193</v>
      </c>
      <c r="E179" s="61" t="str">
        <f t="shared" si="2"/>
        <v>400038213</v>
      </c>
      <c r="F179" s="61" t="s">
        <v>3194</v>
      </c>
      <c r="G179" s="61" t="s">
        <v>2730</v>
      </c>
      <c r="H179" s="61" t="s">
        <v>42</v>
      </c>
      <c r="I179" s="61" t="s">
        <v>2733</v>
      </c>
      <c r="J179" s="61" t="s">
        <v>1332</v>
      </c>
      <c r="K179" s="61"/>
      <c r="L179" s="61"/>
    </row>
    <row r="180" spans="1:12" ht="15.95" customHeight="1">
      <c r="A180" s="61"/>
      <c r="B180" s="61" t="s">
        <v>3195</v>
      </c>
      <c r="C180" s="61" t="s">
        <v>914</v>
      </c>
      <c r="D180" s="61" t="s">
        <v>3196</v>
      </c>
      <c r="E180" s="61" t="str">
        <f t="shared" si="2"/>
        <v>400455509</v>
      </c>
      <c r="F180" s="61" t="s">
        <v>915</v>
      </c>
      <c r="G180" s="61" t="s">
        <v>2727</v>
      </c>
      <c r="H180" s="61" t="s">
        <v>42</v>
      </c>
      <c r="I180" s="61" t="s">
        <v>2733</v>
      </c>
      <c r="J180" s="61" t="s">
        <v>3197</v>
      </c>
      <c r="K180" s="61"/>
      <c r="L180" s="61"/>
    </row>
    <row r="181" spans="1:12" ht="15.95" customHeight="1">
      <c r="A181" s="61"/>
      <c r="B181" s="61" t="s">
        <v>3198</v>
      </c>
      <c r="C181" s="61" t="s">
        <v>1320</v>
      </c>
      <c r="D181" s="61" t="s">
        <v>3199</v>
      </c>
      <c r="E181" s="61" t="str">
        <f t="shared" si="2"/>
        <v>401248026</v>
      </c>
      <c r="F181" s="61" t="s">
        <v>1321</v>
      </c>
      <c r="G181" s="61" t="s">
        <v>2727</v>
      </c>
      <c r="H181" s="61" t="s">
        <v>42</v>
      </c>
      <c r="I181" s="61" t="s">
        <v>2733</v>
      </c>
      <c r="J181" s="61" t="s">
        <v>3200</v>
      </c>
      <c r="K181" s="61"/>
      <c r="L181" s="61"/>
    </row>
    <row r="182" spans="1:12" ht="27" customHeight="1">
      <c r="A182" s="61"/>
      <c r="B182" s="61" t="s">
        <v>3201</v>
      </c>
      <c r="C182" s="61" t="s">
        <v>231</v>
      </c>
      <c r="D182" s="61" t="s">
        <v>3202</v>
      </c>
      <c r="E182" s="61" t="str">
        <f t="shared" si="2"/>
        <v>400129236</v>
      </c>
      <c r="F182" s="61" t="s">
        <v>232</v>
      </c>
      <c r="G182" s="61" t="s">
        <v>2727</v>
      </c>
      <c r="H182" s="61" t="s">
        <v>42</v>
      </c>
      <c r="I182" s="61" t="s">
        <v>2733</v>
      </c>
      <c r="J182" s="61" t="s">
        <v>3203</v>
      </c>
      <c r="K182" s="61"/>
      <c r="L182" s="61"/>
    </row>
    <row r="183" spans="1:12" ht="27" customHeight="1">
      <c r="A183" s="61"/>
      <c r="B183" s="61" t="s">
        <v>3204</v>
      </c>
      <c r="C183" s="61" t="s">
        <v>233</v>
      </c>
      <c r="D183" s="61" t="s">
        <v>3205</v>
      </c>
      <c r="E183" s="61" t="str">
        <f t="shared" si="2"/>
        <v>400607645</v>
      </c>
      <c r="F183" s="61" t="s">
        <v>234</v>
      </c>
      <c r="G183" s="61" t="s">
        <v>2727</v>
      </c>
      <c r="H183" s="61" t="s">
        <v>42</v>
      </c>
      <c r="I183" s="61" t="s">
        <v>2733</v>
      </c>
      <c r="J183" s="61" t="s">
        <v>3206</v>
      </c>
      <c r="K183" s="61"/>
      <c r="L183" s="61"/>
    </row>
    <row r="184" spans="1:12" ht="27" customHeight="1">
      <c r="A184" s="61"/>
      <c r="B184" s="61" t="s">
        <v>3207</v>
      </c>
      <c r="C184" s="61" t="s">
        <v>824</v>
      </c>
      <c r="D184" s="61" t="s">
        <v>3208</v>
      </c>
      <c r="E184" s="61" t="str">
        <f t="shared" si="2"/>
        <v>425167980</v>
      </c>
      <c r="F184" s="61" t="s">
        <v>825</v>
      </c>
      <c r="G184" s="61" t="s">
        <v>2746</v>
      </c>
      <c r="H184" s="61" t="s">
        <v>42</v>
      </c>
      <c r="I184" s="61" t="s">
        <v>2733</v>
      </c>
      <c r="J184" s="61" t="s">
        <v>3209</v>
      </c>
      <c r="K184" s="61"/>
      <c r="L184" s="61"/>
    </row>
    <row r="185" spans="1:12" ht="27" customHeight="1">
      <c r="A185" s="61"/>
      <c r="B185" s="61" t="s">
        <v>3210</v>
      </c>
      <c r="C185" s="61" t="s">
        <v>1029</v>
      </c>
      <c r="D185" s="61" t="s">
        <v>3211</v>
      </c>
      <c r="E185" s="61" t="str">
        <f t="shared" si="2"/>
        <v>400570107</v>
      </c>
      <c r="F185" s="61" t="s">
        <v>1030</v>
      </c>
      <c r="G185" s="61" t="s">
        <v>2727</v>
      </c>
      <c r="H185" s="61" t="s">
        <v>42</v>
      </c>
      <c r="I185" s="61" t="s">
        <v>2733</v>
      </c>
      <c r="J185" s="61" t="s">
        <v>3212</v>
      </c>
      <c r="K185" s="61"/>
      <c r="L185" s="61"/>
    </row>
    <row r="186" spans="1:12" ht="15.95" customHeight="1">
      <c r="A186" s="61"/>
      <c r="B186" s="61" t="s">
        <v>2734</v>
      </c>
      <c r="C186" s="61" t="s">
        <v>1867</v>
      </c>
      <c r="D186" s="61" t="s">
        <v>3213</v>
      </c>
      <c r="E186" s="61" t="str">
        <f t="shared" si="2"/>
        <v>400048562</v>
      </c>
      <c r="F186" s="61" t="s">
        <v>3214</v>
      </c>
      <c r="G186" s="61" t="s">
        <v>2727</v>
      </c>
      <c r="H186" s="61" t="s">
        <v>42</v>
      </c>
      <c r="I186" s="61" t="s">
        <v>2733</v>
      </c>
      <c r="J186" s="61" t="s">
        <v>1332</v>
      </c>
      <c r="K186" s="61"/>
      <c r="L186" s="61"/>
    </row>
    <row r="187" spans="1:12" ht="27" customHeight="1">
      <c r="A187" s="61"/>
      <c r="B187" s="61" t="s">
        <v>3215</v>
      </c>
      <c r="C187" s="61" t="s">
        <v>1031</v>
      </c>
      <c r="D187" s="61" t="s">
        <v>3216</v>
      </c>
      <c r="E187" s="61" t="str">
        <f t="shared" si="2"/>
        <v>403773886</v>
      </c>
      <c r="F187" s="61" t="s">
        <v>1987</v>
      </c>
      <c r="G187" s="61" t="s">
        <v>2730</v>
      </c>
      <c r="H187" s="61" t="s">
        <v>42</v>
      </c>
      <c r="I187" s="61" t="s">
        <v>2733</v>
      </c>
      <c r="J187" s="61" t="s">
        <v>3217</v>
      </c>
      <c r="K187" s="61"/>
      <c r="L187" s="61"/>
    </row>
    <row r="188" spans="1:12" ht="27" customHeight="1">
      <c r="A188" s="61"/>
      <c r="B188" s="61" t="s">
        <v>2734</v>
      </c>
      <c r="C188" s="61" t="s">
        <v>1988</v>
      </c>
      <c r="D188" s="61" t="s">
        <v>1986</v>
      </c>
      <c r="E188" s="61" t="str">
        <f t="shared" si="2"/>
        <v>N60141140</v>
      </c>
      <c r="F188" s="61" t="s">
        <v>3218</v>
      </c>
      <c r="G188" s="61" t="s">
        <v>2730</v>
      </c>
      <c r="H188" s="61" t="s">
        <v>42</v>
      </c>
      <c r="I188" s="61" t="s">
        <v>2733</v>
      </c>
      <c r="J188" s="61" t="s">
        <v>1332</v>
      </c>
      <c r="K188" s="61"/>
      <c r="L188" s="61"/>
    </row>
    <row r="189" spans="1:12" ht="15.95" customHeight="1">
      <c r="A189" s="61"/>
      <c r="B189" s="61" t="s">
        <v>3219</v>
      </c>
      <c r="C189" s="61" t="s">
        <v>1036</v>
      </c>
      <c r="D189" s="61" t="s">
        <v>3220</v>
      </c>
      <c r="E189" s="61" t="str">
        <f t="shared" si="2"/>
        <v>405072786</v>
      </c>
      <c r="F189" s="61" t="s">
        <v>1037</v>
      </c>
      <c r="G189" s="61" t="s">
        <v>2730</v>
      </c>
      <c r="H189" s="61" t="s">
        <v>42</v>
      </c>
      <c r="I189" s="61" t="s">
        <v>2733</v>
      </c>
      <c r="J189" s="61" t="s">
        <v>3221</v>
      </c>
      <c r="K189" s="61"/>
      <c r="L189" s="61"/>
    </row>
    <row r="190" spans="1:12" ht="27" customHeight="1">
      <c r="A190" s="61"/>
      <c r="B190" s="61" t="s">
        <v>2734</v>
      </c>
      <c r="C190" s="61" t="s">
        <v>1983</v>
      </c>
      <c r="D190" s="61" t="s">
        <v>3222</v>
      </c>
      <c r="E190" s="61" t="str">
        <f t="shared" si="2"/>
        <v>402509311</v>
      </c>
      <c r="F190" s="61" t="s">
        <v>1979</v>
      </c>
      <c r="G190" s="61" t="s">
        <v>2730</v>
      </c>
      <c r="H190" s="61" t="s">
        <v>42</v>
      </c>
      <c r="I190" s="61" t="s">
        <v>2733</v>
      </c>
      <c r="J190" s="61" t="s">
        <v>1332</v>
      </c>
      <c r="K190" s="61"/>
      <c r="L190" s="61"/>
    </row>
    <row r="191" spans="1:12" ht="27" customHeight="1">
      <c r="A191" s="61"/>
      <c r="B191" s="61" t="s">
        <v>2734</v>
      </c>
      <c r="C191" s="61" t="s">
        <v>1980</v>
      </c>
      <c r="D191" s="61" t="s">
        <v>3223</v>
      </c>
      <c r="E191" s="61" t="str">
        <f t="shared" si="2"/>
        <v>400178372</v>
      </c>
      <c r="F191" s="61" t="s">
        <v>1979</v>
      </c>
      <c r="G191" s="61" t="s">
        <v>2730</v>
      </c>
      <c r="H191" s="61" t="s">
        <v>42</v>
      </c>
      <c r="I191" s="61" t="s">
        <v>2733</v>
      </c>
      <c r="J191" s="61" t="s">
        <v>1332</v>
      </c>
      <c r="K191" s="61"/>
      <c r="L191" s="61"/>
    </row>
    <row r="192" spans="1:12" ht="27" customHeight="1">
      <c r="A192" s="61"/>
      <c r="B192" s="61" t="s">
        <v>3224</v>
      </c>
      <c r="C192" s="61" t="s">
        <v>1230</v>
      </c>
      <c r="D192" s="61" t="s">
        <v>3225</v>
      </c>
      <c r="E192" s="61" t="str">
        <f t="shared" si="2"/>
        <v>401863222</v>
      </c>
      <c r="F192" s="61" t="s">
        <v>1231</v>
      </c>
      <c r="G192" s="61" t="s">
        <v>2727</v>
      </c>
      <c r="H192" s="61" t="s">
        <v>42</v>
      </c>
      <c r="I192" s="61" t="s">
        <v>2733</v>
      </c>
      <c r="J192" s="61" t="s">
        <v>3226</v>
      </c>
      <c r="K192" s="61"/>
      <c r="L192" s="61"/>
    </row>
    <row r="193" spans="1:12" ht="27" customHeight="1">
      <c r="A193" s="61"/>
      <c r="B193" s="61" t="s">
        <v>2734</v>
      </c>
      <c r="C193" s="61" t="s">
        <v>1972</v>
      </c>
      <c r="D193" s="61" t="s">
        <v>3227</v>
      </c>
      <c r="E193" s="61" t="str">
        <f t="shared" si="2"/>
        <v>400561401</v>
      </c>
      <c r="F193" s="61" t="s">
        <v>1231</v>
      </c>
      <c r="G193" s="61" t="s">
        <v>2727</v>
      </c>
      <c r="H193" s="61" t="s">
        <v>42</v>
      </c>
      <c r="I193" s="61" t="s">
        <v>2733</v>
      </c>
      <c r="J193" s="61" t="s">
        <v>1332</v>
      </c>
      <c r="K193" s="61"/>
      <c r="L193" s="61"/>
    </row>
    <row r="194" spans="1:12" ht="27" customHeight="1">
      <c r="A194" s="61"/>
      <c r="B194" s="61" t="s">
        <v>3228</v>
      </c>
      <c r="C194" s="61" t="s">
        <v>1038</v>
      </c>
      <c r="D194" s="61" t="s">
        <v>3229</v>
      </c>
      <c r="E194" s="61" t="str">
        <f t="shared" si="2"/>
        <v>406756325</v>
      </c>
      <c r="F194" s="61" t="s">
        <v>1039</v>
      </c>
      <c r="G194" s="61" t="s">
        <v>2727</v>
      </c>
      <c r="H194" s="61" t="s">
        <v>42</v>
      </c>
      <c r="I194" s="61" t="s">
        <v>2733</v>
      </c>
      <c r="J194" s="61" t="s">
        <v>3230</v>
      </c>
      <c r="K194" s="61"/>
      <c r="L194" s="61"/>
    </row>
    <row r="195" spans="1:12" ht="15.95" customHeight="1">
      <c r="A195" s="61"/>
      <c r="B195" s="61" t="s">
        <v>2734</v>
      </c>
      <c r="C195" s="61" t="s">
        <v>3231</v>
      </c>
      <c r="D195" s="61" t="s">
        <v>3232</v>
      </c>
      <c r="E195" s="61" t="str">
        <f t="shared" ref="E195:E258" si="3">LEFT(D195,9)</f>
        <v>400642696</v>
      </c>
      <c r="F195" s="61" t="s">
        <v>3233</v>
      </c>
      <c r="G195" s="61" t="s">
        <v>2727</v>
      </c>
      <c r="H195" s="61" t="s">
        <v>42</v>
      </c>
      <c r="I195" s="61" t="s">
        <v>2733</v>
      </c>
      <c r="J195" s="61" t="s">
        <v>1332</v>
      </c>
      <c r="K195" s="61"/>
      <c r="L195" s="61"/>
    </row>
    <row r="196" spans="1:12" ht="27" customHeight="1">
      <c r="A196" s="61"/>
      <c r="B196" s="61" t="s">
        <v>2734</v>
      </c>
      <c r="C196" s="61" t="s">
        <v>3234</v>
      </c>
      <c r="D196" s="61" t="s">
        <v>3235</v>
      </c>
      <c r="E196" s="61" t="str">
        <f t="shared" si="3"/>
        <v>400115649</v>
      </c>
      <c r="F196" s="61" t="s">
        <v>3236</v>
      </c>
      <c r="G196" s="61" t="s">
        <v>2727</v>
      </c>
      <c r="H196" s="61" t="s">
        <v>42</v>
      </c>
      <c r="I196" s="61" t="s">
        <v>2733</v>
      </c>
      <c r="J196" s="61" t="s">
        <v>1332</v>
      </c>
      <c r="K196" s="61"/>
      <c r="L196" s="61"/>
    </row>
    <row r="197" spans="1:12" ht="15.95" customHeight="1">
      <c r="A197" s="61"/>
      <c r="B197" s="61" t="s">
        <v>3237</v>
      </c>
      <c r="C197" s="61" t="s">
        <v>1083</v>
      </c>
      <c r="D197" s="61" t="s">
        <v>3238</v>
      </c>
      <c r="E197" s="61" t="str">
        <f t="shared" si="3"/>
        <v>400629736</v>
      </c>
      <c r="F197" s="61" t="s">
        <v>1084</v>
      </c>
      <c r="G197" s="61" t="s">
        <v>2727</v>
      </c>
      <c r="H197" s="61" t="s">
        <v>42</v>
      </c>
      <c r="I197" s="61" t="s">
        <v>2733</v>
      </c>
      <c r="J197" s="61" t="s">
        <v>3239</v>
      </c>
      <c r="K197" s="61"/>
      <c r="L197" s="61"/>
    </row>
    <row r="198" spans="1:12" ht="15.95" customHeight="1">
      <c r="A198" s="61"/>
      <c r="B198" s="61" t="s">
        <v>3240</v>
      </c>
      <c r="C198" s="61" t="s">
        <v>1093</v>
      </c>
      <c r="D198" s="61" t="s">
        <v>3241</v>
      </c>
      <c r="E198" s="61" t="str">
        <f t="shared" si="3"/>
        <v>400629744</v>
      </c>
      <c r="F198" s="61" t="s">
        <v>1094</v>
      </c>
      <c r="G198" s="61" t="s">
        <v>2730</v>
      </c>
      <c r="H198" s="61" t="s">
        <v>42</v>
      </c>
      <c r="I198" s="61" t="s">
        <v>2733</v>
      </c>
      <c r="J198" s="61" t="s">
        <v>3242</v>
      </c>
      <c r="K198" s="61"/>
      <c r="L198" s="61"/>
    </row>
    <row r="199" spans="1:12" ht="15.95" customHeight="1">
      <c r="A199" s="61"/>
      <c r="B199" s="61" t="s">
        <v>3243</v>
      </c>
      <c r="C199" s="61" t="s">
        <v>1322</v>
      </c>
      <c r="D199" s="61" t="s">
        <v>3244</v>
      </c>
      <c r="E199" s="61" t="str">
        <f t="shared" si="3"/>
        <v>400610123</v>
      </c>
      <c r="F199" s="61" t="s">
        <v>1323</v>
      </c>
      <c r="G199" s="61" t="s">
        <v>2727</v>
      </c>
      <c r="H199" s="61" t="s">
        <v>42</v>
      </c>
      <c r="I199" s="61" t="s">
        <v>2733</v>
      </c>
      <c r="J199" s="61" t="s">
        <v>3245</v>
      </c>
      <c r="K199" s="61"/>
      <c r="L199" s="61"/>
    </row>
    <row r="200" spans="1:12" ht="27" customHeight="1">
      <c r="A200" s="61"/>
      <c r="B200" s="61" t="s">
        <v>3246</v>
      </c>
      <c r="C200" s="61" t="s">
        <v>1313</v>
      </c>
      <c r="D200" s="61" t="s">
        <v>3247</v>
      </c>
      <c r="E200" s="61" t="str">
        <f t="shared" si="3"/>
        <v>425279834</v>
      </c>
      <c r="F200" s="61" t="s">
        <v>1314</v>
      </c>
      <c r="G200" s="61" t="s">
        <v>2790</v>
      </c>
      <c r="H200" s="61" t="s">
        <v>42</v>
      </c>
      <c r="I200" s="61" t="s">
        <v>2733</v>
      </c>
      <c r="J200" s="61" t="s">
        <v>3248</v>
      </c>
      <c r="K200" s="61"/>
      <c r="L200" s="61"/>
    </row>
    <row r="201" spans="1:12" ht="96.95" customHeight="1">
      <c r="A201" s="61"/>
      <c r="B201" s="61" t="s">
        <v>3249</v>
      </c>
      <c r="C201" s="61" t="s">
        <v>1113</v>
      </c>
      <c r="D201" s="61" t="s">
        <v>3250</v>
      </c>
      <c r="E201" s="61" t="str">
        <f t="shared" si="3"/>
        <v>400557075</v>
      </c>
      <c r="F201" s="61" t="s">
        <v>3251</v>
      </c>
      <c r="G201" s="61" t="s">
        <v>2746</v>
      </c>
      <c r="H201" s="61" t="s">
        <v>42</v>
      </c>
      <c r="I201" s="61" t="s">
        <v>2733</v>
      </c>
      <c r="J201" s="61" t="s">
        <v>3252</v>
      </c>
      <c r="K201" s="61"/>
      <c r="L201" s="61"/>
    </row>
    <row r="202" spans="1:12" ht="15.95" customHeight="1">
      <c r="A202" s="61"/>
      <c r="B202" s="61" t="s">
        <v>2734</v>
      </c>
      <c r="C202" s="61" t="s">
        <v>2022</v>
      </c>
      <c r="D202" s="61" t="s">
        <v>3253</v>
      </c>
      <c r="E202" s="61" t="str">
        <f t="shared" si="3"/>
        <v>400619420</v>
      </c>
      <c r="F202" s="61" t="s">
        <v>1114</v>
      </c>
      <c r="G202" s="61" t="s">
        <v>2746</v>
      </c>
      <c r="H202" s="61" t="s">
        <v>42</v>
      </c>
      <c r="I202" s="61" t="s">
        <v>2733</v>
      </c>
      <c r="J202" s="61" t="s">
        <v>1332</v>
      </c>
      <c r="K202" s="61"/>
      <c r="L202" s="61"/>
    </row>
    <row r="203" spans="1:12" ht="27" customHeight="1">
      <c r="A203" s="61"/>
      <c r="B203" s="61" t="s">
        <v>3254</v>
      </c>
      <c r="C203" s="61" t="s">
        <v>993</v>
      </c>
      <c r="D203" s="61" t="s">
        <v>3255</v>
      </c>
      <c r="E203" s="61" t="str">
        <f t="shared" si="3"/>
        <v>400653150</v>
      </c>
      <c r="F203" s="61" t="s">
        <v>994</v>
      </c>
      <c r="G203" s="61" t="s">
        <v>2790</v>
      </c>
      <c r="H203" s="61" t="s">
        <v>42</v>
      </c>
      <c r="I203" s="61" t="s">
        <v>2733</v>
      </c>
      <c r="J203" s="61" t="s">
        <v>3256</v>
      </c>
      <c r="K203" s="61"/>
      <c r="L203" s="61"/>
    </row>
    <row r="204" spans="1:12" ht="27" customHeight="1">
      <c r="A204" s="61"/>
      <c r="B204" s="61" t="s">
        <v>3257</v>
      </c>
      <c r="C204" s="61" t="s">
        <v>997</v>
      </c>
      <c r="D204" s="61" t="s">
        <v>998</v>
      </c>
      <c r="E204" s="61" t="str">
        <f t="shared" si="3"/>
        <v>N80416217</v>
      </c>
      <c r="F204" s="61" t="s">
        <v>3258</v>
      </c>
      <c r="G204" s="61" t="s">
        <v>2730</v>
      </c>
      <c r="H204" s="61" t="s">
        <v>42</v>
      </c>
      <c r="I204" s="61" t="s">
        <v>2733</v>
      </c>
      <c r="J204" s="61" t="s">
        <v>3259</v>
      </c>
      <c r="K204" s="61"/>
      <c r="L204" s="61"/>
    </row>
    <row r="205" spans="1:12" ht="15.95" customHeight="1">
      <c r="A205" s="61"/>
      <c r="B205" s="61" t="s">
        <v>3260</v>
      </c>
      <c r="C205" s="61" t="s">
        <v>1000</v>
      </c>
      <c r="D205" s="61" t="s">
        <v>1001</v>
      </c>
      <c r="E205" s="61" t="str">
        <f t="shared" si="3"/>
        <v>N62710421</v>
      </c>
      <c r="F205" s="61" t="s">
        <v>3261</v>
      </c>
      <c r="G205" s="61" t="s">
        <v>2730</v>
      </c>
      <c r="H205" s="61" t="s">
        <v>42</v>
      </c>
      <c r="I205" s="61" t="s">
        <v>2733</v>
      </c>
      <c r="J205" s="61" t="s">
        <v>3262</v>
      </c>
      <c r="K205" s="61"/>
      <c r="L205" s="61"/>
    </row>
    <row r="206" spans="1:12" ht="27" customHeight="1">
      <c r="A206" s="61"/>
      <c r="B206" s="61" t="s">
        <v>3263</v>
      </c>
      <c r="C206" s="61" t="s">
        <v>1003</v>
      </c>
      <c r="D206" s="61" t="s">
        <v>1004</v>
      </c>
      <c r="E206" s="61" t="str">
        <f t="shared" si="3"/>
        <v>N80413321</v>
      </c>
      <c r="F206" s="61" t="s">
        <v>3264</v>
      </c>
      <c r="G206" s="61" t="s">
        <v>2730</v>
      </c>
      <c r="H206" s="61" t="s">
        <v>42</v>
      </c>
      <c r="I206" s="61" t="s">
        <v>2733</v>
      </c>
      <c r="J206" s="61" t="s">
        <v>3265</v>
      </c>
      <c r="K206" s="61"/>
      <c r="L206" s="61"/>
    </row>
    <row r="207" spans="1:12" ht="27" customHeight="1">
      <c r="A207" s="61"/>
      <c r="B207" s="61" t="s">
        <v>3266</v>
      </c>
      <c r="C207" s="61" t="s">
        <v>1006</v>
      </c>
      <c r="D207" s="61" t="s">
        <v>1007</v>
      </c>
      <c r="E207" s="61" t="str">
        <f t="shared" si="3"/>
        <v>N80410640</v>
      </c>
      <c r="F207" s="61" t="s">
        <v>3264</v>
      </c>
      <c r="G207" s="61" t="s">
        <v>2727</v>
      </c>
      <c r="H207" s="61" t="s">
        <v>42</v>
      </c>
      <c r="I207" s="61" t="s">
        <v>2733</v>
      </c>
      <c r="J207" s="61" t="s">
        <v>3267</v>
      </c>
      <c r="K207" s="61"/>
      <c r="L207" s="61"/>
    </row>
    <row r="208" spans="1:12" ht="27" customHeight="1">
      <c r="A208" s="61"/>
      <c r="B208" s="61" t="s">
        <v>3268</v>
      </c>
      <c r="C208" s="61" t="s">
        <v>1279</v>
      </c>
      <c r="D208" s="61" t="s">
        <v>1280</v>
      </c>
      <c r="E208" s="61" t="str">
        <f t="shared" si="3"/>
        <v>N81485252</v>
      </c>
      <c r="F208" s="61" t="s">
        <v>3269</v>
      </c>
      <c r="G208" s="61" t="s">
        <v>2727</v>
      </c>
      <c r="H208" s="61" t="s">
        <v>42</v>
      </c>
      <c r="I208" s="61" t="s">
        <v>2733</v>
      </c>
      <c r="J208" s="61" t="s">
        <v>3270</v>
      </c>
      <c r="K208" s="61"/>
      <c r="L208" s="61"/>
    </row>
    <row r="209" spans="1:12" ht="15.95" customHeight="1">
      <c r="A209" s="61"/>
      <c r="B209" s="61" t="s">
        <v>3271</v>
      </c>
      <c r="C209" s="61" t="s">
        <v>1137</v>
      </c>
      <c r="D209" s="61" t="s">
        <v>3272</v>
      </c>
      <c r="E209" s="61" t="str">
        <f t="shared" si="3"/>
        <v>400236634</v>
      </c>
      <c r="F209" s="61" t="s">
        <v>1138</v>
      </c>
      <c r="G209" s="61" t="s">
        <v>2727</v>
      </c>
      <c r="H209" s="61" t="s">
        <v>42</v>
      </c>
      <c r="I209" s="61" t="s">
        <v>2733</v>
      </c>
      <c r="J209" s="61" t="s">
        <v>3273</v>
      </c>
      <c r="K209" s="61"/>
      <c r="L209" s="61"/>
    </row>
    <row r="210" spans="1:12" ht="27" customHeight="1">
      <c r="A210" s="61"/>
      <c r="B210" s="61" t="s">
        <v>3274</v>
      </c>
      <c r="C210" s="61" t="s">
        <v>1218</v>
      </c>
      <c r="D210" s="61" t="s">
        <v>3275</v>
      </c>
      <c r="E210" s="61" t="str">
        <f t="shared" si="3"/>
        <v>411359913</v>
      </c>
      <c r="F210" s="61" t="s">
        <v>1219</v>
      </c>
      <c r="G210" s="61" t="s">
        <v>2727</v>
      </c>
      <c r="H210" s="61" t="s">
        <v>42</v>
      </c>
      <c r="I210" s="61" t="s">
        <v>2733</v>
      </c>
      <c r="J210" s="61" t="s">
        <v>3276</v>
      </c>
      <c r="K210" s="61"/>
      <c r="L210" s="61"/>
    </row>
    <row r="211" spans="1:12" ht="38.1" customHeight="1">
      <c r="A211" s="61"/>
      <c r="B211" s="61" t="s">
        <v>3277</v>
      </c>
      <c r="C211" s="61" t="s">
        <v>1249</v>
      </c>
      <c r="D211" s="61" t="s">
        <v>3278</v>
      </c>
      <c r="E211" s="61" t="str">
        <f t="shared" si="3"/>
        <v>400569265</v>
      </c>
      <c r="F211" s="61" t="s">
        <v>3279</v>
      </c>
      <c r="G211" s="61" t="s">
        <v>2727</v>
      </c>
      <c r="H211" s="61" t="s">
        <v>42</v>
      </c>
      <c r="I211" s="61" t="s">
        <v>2733</v>
      </c>
      <c r="J211" s="61" t="s">
        <v>3280</v>
      </c>
      <c r="K211" s="61"/>
      <c r="L211" s="61"/>
    </row>
    <row r="212" spans="1:12" ht="38.1" customHeight="1">
      <c r="A212" s="61"/>
      <c r="B212" s="61" t="s">
        <v>2734</v>
      </c>
      <c r="C212" s="61" t="s">
        <v>3281</v>
      </c>
      <c r="D212" s="61" t="s">
        <v>3282</v>
      </c>
      <c r="E212" s="61" t="str">
        <f t="shared" si="3"/>
        <v>400334519</v>
      </c>
      <c r="F212" s="61" t="s">
        <v>3283</v>
      </c>
      <c r="G212" s="61" t="s">
        <v>2727</v>
      </c>
      <c r="H212" s="61" t="s">
        <v>42</v>
      </c>
      <c r="I212" s="61" t="s">
        <v>2733</v>
      </c>
      <c r="J212" s="61" t="s">
        <v>1332</v>
      </c>
      <c r="K212" s="61"/>
      <c r="L212" s="61"/>
    </row>
    <row r="213" spans="1:12" ht="27" customHeight="1">
      <c r="A213" s="61"/>
      <c r="B213" s="61" t="s">
        <v>3284</v>
      </c>
      <c r="C213" s="61" t="s">
        <v>748</v>
      </c>
      <c r="D213" s="61" t="s">
        <v>3285</v>
      </c>
      <c r="E213" s="61" t="str">
        <f t="shared" si="3"/>
        <v>400290775</v>
      </c>
      <c r="F213" s="61" t="s">
        <v>749</v>
      </c>
      <c r="G213" s="61" t="s">
        <v>2727</v>
      </c>
      <c r="H213" s="61" t="s">
        <v>42</v>
      </c>
      <c r="I213" s="61" t="s">
        <v>2733</v>
      </c>
      <c r="J213" s="61" t="s">
        <v>3286</v>
      </c>
      <c r="K213" s="61"/>
      <c r="L213" s="61"/>
    </row>
    <row r="214" spans="1:12" ht="27" customHeight="1">
      <c r="A214" s="61"/>
      <c r="B214" s="61" t="s">
        <v>3287</v>
      </c>
      <c r="C214" s="61" t="s">
        <v>970</v>
      </c>
      <c r="D214" s="61" t="s">
        <v>3288</v>
      </c>
      <c r="E214" s="61" t="str">
        <f t="shared" si="3"/>
        <v>406576634</v>
      </c>
      <c r="F214" s="61" t="s">
        <v>971</v>
      </c>
      <c r="G214" s="61" t="s">
        <v>2757</v>
      </c>
      <c r="H214" s="61" t="s">
        <v>42</v>
      </c>
      <c r="I214" s="61" t="s">
        <v>2733</v>
      </c>
      <c r="J214" s="61" t="s">
        <v>3289</v>
      </c>
      <c r="K214" s="61"/>
      <c r="L214" s="61"/>
    </row>
    <row r="215" spans="1:12" ht="15.95" customHeight="1">
      <c r="A215" s="61"/>
      <c r="B215" s="61" t="s">
        <v>2734</v>
      </c>
      <c r="C215" s="61" t="s">
        <v>2021</v>
      </c>
      <c r="D215" s="61" t="s">
        <v>2019</v>
      </c>
      <c r="E215" s="61" t="str">
        <f t="shared" si="3"/>
        <v>N57193179</v>
      </c>
      <c r="F215" s="61" t="s">
        <v>2020</v>
      </c>
      <c r="G215" s="61" t="s">
        <v>2757</v>
      </c>
      <c r="H215" s="61" t="s">
        <v>42</v>
      </c>
      <c r="I215" s="61" t="s">
        <v>2733</v>
      </c>
      <c r="J215" s="61" t="s">
        <v>1332</v>
      </c>
      <c r="K215" s="61"/>
      <c r="L215" s="61"/>
    </row>
    <row r="216" spans="1:12" ht="27" customHeight="1">
      <c r="A216" s="61"/>
      <c r="B216" s="61" t="s">
        <v>3290</v>
      </c>
      <c r="C216" s="61" t="s">
        <v>925</v>
      </c>
      <c r="D216" s="61" t="s">
        <v>3291</v>
      </c>
      <c r="E216" s="61" t="str">
        <f t="shared" si="3"/>
        <v>411123553</v>
      </c>
      <c r="F216" s="61" t="s">
        <v>926</v>
      </c>
      <c r="G216" s="61" t="s">
        <v>2790</v>
      </c>
      <c r="H216" s="61" t="s">
        <v>42</v>
      </c>
      <c r="I216" s="61" t="s">
        <v>2733</v>
      </c>
      <c r="J216" s="61" t="s">
        <v>3292</v>
      </c>
      <c r="K216" s="61"/>
      <c r="L216" s="61"/>
    </row>
    <row r="217" spans="1:12" ht="27" customHeight="1">
      <c r="A217" s="61"/>
      <c r="B217" s="61" t="s">
        <v>3293</v>
      </c>
      <c r="C217" s="61" t="s">
        <v>832</v>
      </c>
      <c r="D217" s="61" t="s">
        <v>3294</v>
      </c>
      <c r="E217" s="61" t="str">
        <f t="shared" si="3"/>
        <v>402303137</v>
      </c>
      <c r="F217" s="61" t="s">
        <v>833</v>
      </c>
      <c r="G217" s="61" t="s">
        <v>2790</v>
      </c>
      <c r="H217" s="61" t="s">
        <v>42</v>
      </c>
      <c r="I217" s="61" t="s">
        <v>2733</v>
      </c>
      <c r="J217" s="61" t="s">
        <v>3295</v>
      </c>
      <c r="K217" s="61"/>
      <c r="L217" s="61"/>
    </row>
    <row r="218" spans="1:12" ht="15.95" customHeight="1">
      <c r="A218" s="61"/>
      <c r="B218" s="61" t="s">
        <v>2734</v>
      </c>
      <c r="C218" s="61" t="s">
        <v>3296</v>
      </c>
      <c r="D218" s="61" t="s">
        <v>3297</v>
      </c>
      <c r="E218" s="61" t="str">
        <f t="shared" si="3"/>
        <v>421088944</v>
      </c>
      <c r="F218" s="61" t="s">
        <v>3298</v>
      </c>
      <c r="G218" s="61" t="s">
        <v>2790</v>
      </c>
      <c r="H218" s="61" t="s">
        <v>42</v>
      </c>
      <c r="I218" s="61" t="s">
        <v>2733</v>
      </c>
      <c r="J218" s="61" t="s">
        <v>1332</v>
      </c>
      <c r="K218" s="61"/>
      <c r="L218" s="61"/>
    </row>
    <row r="219" spans="1:12" ht="15.95" customHeight="1">
      <c r="A219" s="61"/>
      <c r="B219" s="61" t="s">
        <v>2734</v>
      </c>
      <c r="C219" s="61" t="s">
        <v>3299</v>
      </c>
      <c r="D219" s="61" t="s">
        <v>3300</v>
      </c>
      <c r="E219" s="61" t="str">
        <f t="shared" si="3"/>
        <v>418688952</v>
      </c>
      <c r="F219" s="61" t="s">
        <v>3298</v>
      </c>
      <c r="G219" s="61" t="s">
        <v>2790</v>
      </c>
      <c r="H219" s="61" t="s">
        <v>42</v>
      </c>
      <c r="I219" s="61" t="s">
        <v>2733</v>
      </c>
      <c r="J219" s="61" t="s">
        <v>1332</v>
      </c>
      <c r="K219" s="61"/>
      <c r="L219" s="61"/>
    </row>
    <row r="220" spans="1:12" ht="27" customHeight="1">
      <c r="A220" s="61"/>
      <c r="B220" s="61" t="s">
        <v>3301</v>
      </c>
      <c r="C220" s="61" t="s">
        <v>962</v>
      </c>
      <c r="D220" s="61" t="s">
        <v>3302</v>
      </c>
      <c r="E220" s="61" t="str">
        <f t="shared" si="3"/>
        <v>407338242</v>
      </c>
      <c r="F220" s="61" t="s">
        <v>963</v>
      </c>
      <c r="G220" s="61" t="s">
        <v>2790</v>
      </c>
      <c r="H220" s="61" t="s">
        <v>42</v>
      </c>
      <c r="I220" s="61" t="s">
        <v>2733</v>
      </c>
      <c r="J220" s="61" t="s">
        <v>3303</v>
      </c>
      <c r="K220" s="61"/>
      <c r="L220" s="61"/>
    </row>
    <row r="221" spans="1:12" ht="15.95" customHeight="1">
      <c r="A221" s="61"/>
      <c r="B221" s="61" t="s">
        <v>2734</v>
      </c>
      <c r="C221" s="61" t="s">
        <v>2026</v>
      </c>
      <c r="D221" s="61" t="s">
        <v>3304</v>
      </c>
      <c r="E221" s="61" t="str">
        <f t="shared" si="3"/>
        <v>400004698</v>
      </c>
      <c r="F221" s="61" t="s">
        <v>2025</v>
      </c>
      <c r="G221" s="61" t="s">
        <v>2790</v>
      </c>
      <c r="H221" s="61" t="s">
        <v>42</v>
      </c>
      <c r="I221" s="61" t="s">
        <v>2733</v>
      </c>
      <c r="J221" s="61" t="s">
        <v>1332</v>
      </c>
      <c r="K221" s="61"/>
      <c r="L221" s="61"/>
    </row>
    <row r="222" spans="1:12" ht="15.95" customHeight="1">
      <c r="A222" s="61"/>
      <c r="B222" s="61" t="s">
        <v>3305</v>
      </c>
      <c r="C222" s="61" t="s">
        <v>936</v>
      </c>
      <c r="D222" s="61" t="s">
        <v>3306</v>
      </c>
      <c r="E222" s="61" t="str">
        <f t="shared" si="3"/>
        <v>400280614</v>
      </c>
      <c r="F222" s="61" t="s">
        <v>937</v>
      </c>
      <c r="G222" s="61" t="s">
        <v>2730</v>
      </c>
      <c r="H222" s="61" t="s">
        <v>42</v>
      </c>
      <c r="I222" s="61" t="s">
        <v>2733</v>
      </c>
      <c r="J222" s="61" t="s">
        <v>3307</v>
      </c>
      <c r="K222" s="61"/>
      <c r="L222" s="61"/>
    </row>
    <row r="223" spans="1:12" ht="15.95" customHeight="1">
      <c r="A223" s="61"/>
      <c r="B223" s="61" t="s">
        <v>3308</v>
      </c>
      <c r="C223" s="61" t="s">
        <v>763</v>
      </c>
      <c r="D223" s="61" t="s">
        <v>3309</v>
      </c>
      <c r="E223" s="61" t="str">
        <f t="shared" si="3"/>
        <v>400703056</v>
      </c>
      <c r="F223" s="61" t="s">
        <v>764</v>
      </c>
      <c r="G223" s="61" t="s">
        <v>2794</v>
      </c>
      <c r="H223" s="61" t="s">
        <v>42</v>
      </c>
      <c r="I223" s="61" t="s">
        <v>2733</v>
      </c>
      <c r="J223" s="61" t="s">
        <v>3310</v>
      </c>
      <c r="K223" s="61"/>
      <c r="L223" s="61"/>
    </row>
    <row r="224" spans="1:12" ht="15.95" customHeight="1">
      <c r="A224" s="61"/>
      <c r="B224" s="61" t="s">
        <v>3311</v>
      </c>
      <c r="C224" s="61" t="s">
        <v>1011</v>
      </c>
      <c r="D224" s="61" t="s">
        <v>3312</v>
      </c>
      <c r="E224" s="61" t="str">
        <f t="shared" si="3"/>
        <v>408125280</v>
      </c>
      <c r="F224" s="61" t="s">
        <v>1012</v>
      </c>
      <c r="G224" s="61" t="s">
        <v>2730</v>
      </c>
      <c r="H224" s="61" t="s">
        <v>42</v>
      </c>
      <c r="I224" s="61" t="s">
        <v>2733</v>
      </c>
      <c r="J224" s="61" t="s">
        <v>3313</v>
      </c>
      <c r="K224" s="61"/>
      <c r="L224" s="61"/>
    </row>
    <row r="225" spans="1:12" ht="15.95" customHeight="1">
      <c r="A225" s="61"/>
      <c r="B225" s="61" t="s">
        <v>3314</v>
      </c>
      <c r="C225" s="61" t="s">
        <v>1013</v>
      </c>
      <c r="D225" s="61" t="s">
        <v>3315</v>
      </c>
      <c r="E225" s="61" t="str">
        <f t="shared" si="3"/>
        <v>425569528</v>
      </c>
      <c r="F225" s="61" t="s">
        <v>1014</v>
      </c>
      <c r="G225" s="61" t="s">
        <v>2790</v>
      </c>
      <c r="H225" s="61" t="s">
        <v>42</v>
      </c>
      <c r="I225" s="61" t="s">
        <v>2733</v>
      </c>
      <c r="J225" s="61" t="s">
        <v>3316</v>
      </c>
      <c r="K225" s="61"/>
      <c r="L225" s="61"/>
    </row>
    <row r="226" spans="1:12" ht="15.95" customHeight="1">
      <c r="A226" s="61"/>
      <c r="B226" s="61" t="s">
        <v>3317</v>
      </c>
      <c r="C226" s="61" t="s">
        <v>378</v>
      </c>
      <c r="D226" s="61" t="s">
        <v>3318</v>
      </c>
      <c r="E226" s="61" t="str">
        <f t="shared" si="3"/>
        <v>402208918</v>
      </c>
      <c r="F226" s="61" t="s">
        <v>379</v>
      </c>
      <c r="G226" s="61" t="s">
        <v>2727</v>
      </c>
      <c r="H226" s="61" t="s">
        <v>42</v>
      </c>
      <c r="I226" s="61" t="s">
        <v>2733</v>
      </c>
      <c r="J226" s="61" t="s">
        <v>3319</v>
      </c>
      <c r="K226" s="61"/>
      <c r="L226" s="61"/>
    </row>
    <row r="227" spans="1:12" ht="15.95" customHeight="1">
      <c r="A227" s="61"/>
      <c r="B227" s="61" t="s">
        <v>2734</v>
      </c>
      <c r="C227" s="61" t="s">
        <v>1894</v>
      </c>
      <c r="D227" s="61" t="s">
        <v>3320</v>
      </c>
      <c r="E227" s="61" t="str">
        <f t="shared" si="3"/>
        <v>400018291</v>
      </c>
      <c r="F227" s="61" t="s">
        <v>1893</v>
      </c>
      <c r="G227" s="61" t="s">
        <v>2727</v>
      </c>
      <c r="H227" s="61" t="s">
        <v>42</v>
      </c>
      <c r="I227" s="61" t="s">
        <v>2733</v>
      </c>
      <c r="J227" s="61" t="s">
        <v>1332</v>
      </c>
      <c r="K227" s="61"/>
      <c r="L227" s="61"/>
    </row>
    <row r="228" spans="1:12" ht="15.95" customHeight="1">
      <c r="A228" s="61"/>
      <c r="B228" s="61" t="s">
        <v>3321</v>
      </c>
      <c r="C228" s="61" t="s">
        <v>885</v>
      </c>
      <c r="D228" s="61" t="s">
        <v>3322</v>
      </c>
      <c r="E228" s="61" t="str">
        <f t="shared" si="3"/>
        <v>401523219</v>
      </c>
      <c r="F228" s="61" t="s">
        <v>886</v>
      </c>
      <c r="G228" s="61" t="s">
        <v>2727</v>
      </c>
      <c r="H228" s="61" t="s">
        <v>42</v>
      </c>
      <c r="I228" s="61" t="s">
        <v>2733</v>
      </c>
      <c r="J228" s="61" t="s">
        <v>3323</v>
      </c>
      <c r="K228" s="61"/>
      <c r="L228" s="61"/>
    </row>
    <row r="229" spans="1:12" ht="15.95" customHeight="1">
      <c r="A229" s="61"/>
      <c r="B229" s="61" t="s">
        <v>2734</v>
      </c>
      <c r="C229" s="61" t="s">
        <v>3324</v>
      </c>
      <c r="D229" s="61" t="s">
        <v>3325</v>
      </c>
      <c r="E229" s="61" t="str">
        <f t="shared" si="3"/>
        <v>N51171353</v>
      </c>
      <c r="F229" s="61" t="s">
        <v>3326</v>
      </c>
      <c r="G229" s="61" t="s">
        <v>2727</v>
      </c>
      <c r="H229" s="61" t="s">
        <v>42</v>
      </c>
      <c r="I229" s="61" t="s">
        <v>2733</v>
      </c>
      <c r="J229" s="61" t="s">
        <v>1332</v>
      </c>
      <c r="K229" s="61"/>
      <c r="L229" s="61"/>
    </row>
    <row r="230" spans="1:12" ht="38.1" customHeight="1">
      <c r="A230" s="61"/>
      <c r="B230" s="61" t="s">
        <v>3327</v>
      </c>
      <c r="C230" s="61" t="s">
        <v>928</v>
      </c>
      <c r="D230" s="61" t="s">
        <v>3328</v>
      </c>
      <c r="E230" s="61" t="str">
        <f t="shared" si="3"/>
        <v>400068581</v>
      </c>
      <c r="F230" s="61" t="s">
        <v>929</v>
      </c>
      <c r="G230" s="61" t="s">
        <v>2838</v>
      </c>
      <c r="H230" s="61" t="s">
        <v>42</v>
      </c>
      <c r="I230" s="61" t="s">
        <v>2733</v>
      </c>
      <c r="J230" s="61" t="s">
        <v>3329</v>
      </c>
      <c r="K230" s="61"/>
      <c r="L230" s="61"/>
    </row>
    <row r="231" spans="1:12" ht="27" customHeight="1">
      <c r="A231" s="61"/>
      <c r="B231" s="61" t="s">
        <v>2734</v>
      </c>
      <c r="C231" s="61" t="s">
        <v>1903</v>
      </c>
      <c r="D231" s="61" t="s">
        <v>1901</v>
      </c>
      <c r="E231" s="61" t="str">
        <f t="shared" si="3"/>
        <v>N48370241</v>
      </c>
      <c r="F231" s="61" t="s">
        <v>3330</v>
      </c>
      <c r="G231" s="61" t="s">
        <v>2838</v>
      </c>
      <c r="H231" s="61" t="s">
        <v>42</v>
      </c>
      <c r="I231" s="61" t="s">
        <v>2733</v>
      </c>
      <c r="J231" s="61" t="s">
        <v>1332</v>
      </c>
      <c r="K231" s="61"/>
      <c r="L231" s="61"/>
    </row>
    <row r="232" spans="1:12" ht="15.95" customHeight="1">
      <c r="A232" s="61"/>
      <c r="B232" s="61" t="s">
        <v>3331</v>
      </c>
      <c r="C232" s="61" t="s">
        <v>933</v>
      </c>
      <c r="D232" s="61" t="s">
        <v>934</v>
      </c>
      <c r="E232" s="61" t="str">
        <f t="shared" si="3"/>
        <v>N51837235</v>
      </c>
      <c r="F232" s="61" t="s">
        <v>3332</v>
      </c>
      <c r="G232" s="61" t="s">
        <v>2751</v>
      </c>
      <c r="H232" s="61" t="s">
        <v>42</v>
      </c>
      <c r="I232" s="61" t="s">
        <v>2733</v>
      </c>
      <c r="J232" s="61" t="s">
        <v>3333</v>
      </c>
      <c r="K232" s="61"/>
      <c r="L232" s="61"/>
    </row>
    <row r="233" spans="1:12" ht="72.95" customHeight="1">
      <c r="A233" s="61"/>
      <c r="B233" s="61" t="s">
        <v>3334</v>
      </c>
      <c r="C233" s="61" t="s">
        <v>938</v>
      </c>
      <c r="D233" s="61" t="s">
        <v>3335</v>
      </c>
      <c r="E233" s="61" t="str">
        <f t="shared" si="3"/>
        <v>401347652</v>
      </c>
      <c r="F233" s="61" t="s">
        <v>939</v>
      </c>
      <c r="G233" s="61" t="s">
        <v>2943</v>
      </c>
      <c r="H233" s="61" t="s">
        <v>42</v>
      </c>
      <c r="I233" s="61" t="s">
        <v>2733</v>
      </c>
      <c r="J233" s="61" t="s">
        <v>3336</v>
      </c>
      <c r="K233" s="61"/>
      <c r="L233" s="61"/>
    </row>
    <row r="234" spans="1:12" ht="15.95" customHeight="1">
      <c r="A234" s="61"/>
      <c r="B234" s="61" t="s">
        <v>2734</v>
      </c>
      <c r="C234" s="61" t="s">
        <v>1931</v>
      </c>
      <c r="D234" s="61" t="s">
        <v>1930</v>
      </c>
      <c r="E234" s="61" t="str">
        <f t="shared" si="3"/>
        <v>N62352372</v>
      </c>
      <c r="F234" s="61" t="s">
        <v>3337</v>
      </c>
      <c r="G234" s="61" t="s">
        <v>2943</v>
      </c>
      <c r="H234" s="61" t="s">
        <v>42</v>
      </c>
      <c r="I234" s="61" t="s">
        <v>2733</v>
      </c>
      <c r="J234" s="61" t="s">
        <v>1332</v>
      </c>
      <c r="K234" s="61"/>
      <c r="L234" s="61"/>
    </row>
    <row r="235" spans="1:12" ht="27" customHeight="1">
      <c r="A235" s="61"/>
      <c r="B235" s="61" t="s">
        <v>3338</v>
      </c>
      <c r="C235" s="61" t="s">
        <v>1021</v>
      </c>
      <c r="D235" s="61" t="s">
        <v>3339</v>
      </c>
      <c r="E235" s="61" t="str">
        <f t="shared" si="3"/>
        <v>421483326</v>
      </c>
      <c r="F235" s="61" t="s">
        <v>1022</v>
      </c>
      <c r="G235" s="61" t="s">
        <v>2730</v>
      </c>
      <c r="H235" s="61" t="s">
        <v>42</v>
      </c>
      <c r="I235" s="61" t="s">
        <v>2733</v>
      </c>
      <c r="J235" s="61" t="s">
        <v>3340</v>
      </c>
      <c r="K235" s="61"/>
      <c r="L235" s="61"/>
    </row>
    <row r="236" spans="1:12" ht="27" customHeight="1">
      <c r="A236" s="61"/>
      <c r="B236" s="61" t="s">
        <v>2734</v>
      </c>
      <c r="C236" s="61" t="s">
        <v>3341</v>
      </c>
      <c r="D236" s="61" t="s">
        <v>3342</v>
      </c>
      <c r="E236" s="61" t="str">
        <f t="shared" si="3"/>
        <v>401188691</v>
      </c>
      <c r="F236" s="61" t="s">
        <v>3343</v>
      </c>
      <c r="G236" s="61" t="s">
        <v>2730</v>
      </c>
      <c r="H236" s="61" t="s">
        <v>42</v>
      </c>
      <c r="I236" s="61" t="s">
        <v>2733</v>
      </c>
      <c r="J236" s="61" t="s">
        <v>1332</v>
      </c>
      <c r="K236" s="61"/>
      <c r="L236" s="61"/>
    </row>
    <row r="237" spans="1:12" ht="15.95" customHeight="1">
      <c r="A237" s="61"/>
      <c r="B237" s="61" t="s">
        <v>3344</v>
      </c>
      <c r="C237" s="61" t="s">
        <v>956</v>
      </c>
      <c r="D237" s="61" t="s">
        <v>3345</v>
      </c>
      <c r="E237" s="61" t="str">
        <f t="shared" si="3"/>
        <v>400807358</v>
      </c>
      <c r="F237" s="61" t="s">
        <v>957</v>
      </c>
      <c r="G237" s="61" t="s">
        <v>2730</v>
      </c>
      <c r="H237" s="61" t="s">
        <v>42</v>
      </c>
      <c r="I237" s="61" t="s">
        <v>2733</v>
      </c>
      <c r="J237" s="61" t="s">
        <v>3346</v>
      </c>
      <c r="K237" s="61"/>
      <c r="L237" s="61"/>
    </row>
    <row r="238" spans="1:12" ht="15.95" customHeight="1">
      <c r="A238" s="61"/>
      <c r="B238" s="61" t="s">
        <v>2734</v>
      </c>
      <c r="C238" s="61" t="s">
        <v>3347</v>
      </c>
      <c r="D238" s="61" t="s">
        <v>3348</v>
      </c>
      <c r="E238" s="61" t="str">
        <f t="shared" si="3"/>
        <v>N49314313</v>
      </c>
      <c r="F238" s="61" t="s">
        <v>3349</v>
      </c>
      <c r="G238" s="61" t="s">
        <v>2730</v>
      </c>
      <c r="H238" s="61" t="s">
        <v>42</v>
      </c>
      <c r="I238" s="61" t="s">
        <v>2733</v>
      </c>
      <c r="J238" s="61" t="s">
        <v>1332</v>
      </c>
      <c r="K238" s="61"/>
      <c r="L238" s="61"/>
    </row>
    <row r="239" spans="1:12" ht="27" customHeight="1">
      <c r="A239" s="61"/>
      <c r="B239" s="61" t="s">
        <v>3350</v>
      </c>
      <c r="C239" s="61" t="s">
        <v>984</v>
      </c>
      <c r="D239" s="61" t="s">
        <v>3351</v>
      </c>
      <c r="E239" s="61" t="str">
        <f t="shared" si="3"/>
        <v>400828408</v>
      </c>
      <c r="F239" s="61" t="s">
        <v>985</v>
      </c>
      <c r="G239" s="61" t="s">
        <v>3187</v>
      </c>
      <c r="H239" s="61" t="s">
        <v>42</v>
      </c>
      <c r="I239" s="61" t="s">
        <v>2733</v>
      </c>
      <c r="J239" s="61" t="s">
        <v>3352</v>
      </c>
      <c r="K239" s="61"/>
      <c r="L239" s="61"/>
    </row>
    <row r="240" spans="1:12" ht="27" customHeight="1">
      <c r="A240" s="61"/>
      <c r="B240" s="61" t="s">
        <v>2734</v>
      </c>
      <c r="C240" s="61" t="s">
        <v>1857</v>
      </c>
      <c r="D240" s="61" t="s">
        <v>3353</v>
      </c>
      <c r="E240" s="61" t="str">
        <f t="shared" si="3"/>
        <v>400036194</v>
      </c>
      <c r="F240" s="61" t="s">
        <v>1856</v>
      </c>
      <c r="G240" s="61" t="s">
        <v>3187</v>
      </c>
      <c r="H240" s="61" t="s">
        <v>42</v>
      </c>
      <c r="I240" s="61" t="s">
        <v>2733</v>
      </c>
      <c r="J240" s="61" t="s">
        <v>1332</v>
      </c>
      <c r="K240" s="61"/>
      <c r="L240" s="61"/>
    </row>
    <row r="241" spans="1:14" ht="15.95" customHeight="1">
      <c r="A241" s="61"/>
      <c r="B241" s="61" t="s">
        <v>3354</v>
      </c>
      <c r="C241" s="61" t="s">
        <v>991</v>
      </c>
      <c r="D241" s="61" t="s">
        <v>3355</v>
      </c>
      <c r="E241" s="61" t="str">
        <f t="shared" si="3"/>
        <v>400493373</v>
      </c>
      <c r="F241" s="61" t="s">
        <v>992</v>
      </c>
      <c r="G241" s="61" t="s">
        <v>2730</v>
      </c>
      <c r="H241" s="61" t="s">
        <v>42</v>
      </c>
      <c r="I241" s="61" t="s">
        <v>2733</v>
      </c>
      <c r="J241" s="61" t="s">
        <v>3356</v>
      </c>
      <c r="K241" s="61"/>
      <c r="L241" s="61"/>
    </row>
    <row r="242" spans="1:14" ht="27" customHeight="1">
      <c r="A242" s="61"/>
      <c r="B242" s="61" t="s">
        <v>3357</v>
      </c>
      <c r="C242" s="61" t="s">
        <v>1015</v>
      </c>
      <c r="D242" s="61" t="s">
        <v>1016</v>
      </c>
      <c r="E242" s="61" t="str">
        <f t="shared" si="3"/>
        <v>N51855708</v>
      </c>
      <c r="F242" s="61" t="s">
        <v>3358</v>
      </c>
      <c r="G242" s="61" t="s">
        <v>2727</v>
      </c>
      <c r="H242" s="61" t="s">
        <v>42</v>
      </c>
      <c r="I242" s="61" t="s">
        <v>2733</v>
      </c>
      <c r="J242" s="61" t="s">
        <v>3359</v>
      </c>
      <c r="K242" s="61"/>
      <c r="L242" s="61"/>
    </row>
    <row r="243" spans="1:14" ht="15.95" customHeight="1">
      <c r="A243" s="61"/>
      <c r="B243" s="61" t="s">
        <v>3360</v>
      </c>
      <c r="C243" s="61" t="s">
        <v>1024</v>
      </c>
      <c r="D243" s="61" t="s">
        <v>3361</v>
      </c>
      <c r="E243" s="61" t="str">
        <f t="shared" si="3"/>
        <v>401480774</v>
      </c>
      <c r="F243" s="61" t="s">
        <v>1025</v>
      </c>
      <c r="G243" s="61" t="s">
        <v>2727</v>
      </c>
      <c r="H243" s="61" t="s">
        <v>42</v>
      </c>
      <c r="I243" s="61" t="s">
        <v>2733</v>
      </c>
      <c r="J243" s="61" t="s">
        <v>3362</v>
      </c>
      <c r="K243" s="61"/>
      <c r="L243" s="61"/>
    </row>
    <row r="244" spans="1:14" ht="27" customHeight="1">
      <c r="A244" s="61"/>
      <c r="B244" s="61" t="s">
        <v>2734</v>
      </c>
      <c r="C244" s="61" t="s">
        <v>2114</v>
      </c>
      <c r="D244" s="61" t="s">
        <v>3363</v>
      </c>
      <c r="E244" s="61" t="str">
        <f t="shared" si="3"/>
        <v>401244497</v>
      </c>
      <c r="F244" s="61" t="s">
        <v>2113</v>
      </c>
      <c r="G244" s="61" t="s">
        <v>2727</v>
      </c>
      <c r="H244" s="61" t="s">
        <v>42</v>
      </c>
      <c r="I244" s="61" t="s">
        <v>2733</v>
      </c>
      <c r="J244" s="61" t="s">
        <v>1332</v>
      </c>
      <c r="K244" s="61"/>
      <c r="L244" s="61"/>
    </row>
    <row r="245" spans="1:14" ht="27" customHeight="1">
      <c r="A245" s="61"/>
      <c r="B245" s="61" t="s">
        <v>2734</v>
      </c>
      <c r="C245" s="61" t="s">
        <v>3364</v>
      </c>
      <c r="D245" s="61" t="s">
        <v>3365</v>
      </c>
      <c r="E245" s="61" t="str">
        <f t="shared" si="3"/>
        <v>N51806420</v>
      </c>
      <c r="F245" s="61" t="s">
        <v>2113</v>
      </c>
      <c r="G245" s="61" t="s">
        <v>2727</v>
      </c>
      <c r="H245" s="61" t="s">
        <v>42</v>
      </c>
      <c r="I245" s="61" t="s">
        <v>2733</v>
      </c>
      <c r="J245" s="61" t="s">
        <v>1332</v>
      </c>
      <c r="K245" s="61"/>
      <c r="L245" s="61"/>
    </row>
    <row r="246" spans="1:14" ht="15.95" customHeight="1">
      <c r="A246" s="61"/>
      <c r="B246" s="61" t="s">
        <v>3366</v>
      </c>
      <c r="C246" s="61" t="s">
        <v>1027</v>
      </c>
      <c r="D246" s="61" t="s">
        <v>3367</v>
      </c>
      <c r="E246" s="61" t="str">
        <f t="shared" si="3"/>
        <v>400571854</v>
      </c>
      <c r="F246" s="61" t="s">
        <v>3368</v>
      </c>
      <c r="G246" s="61" t="s">
        <v>2751</v>
      </c>
      <c r="H246" s="61" t="s">
        <v>42</v>
      </c>
      <c r="I246" s="61" t="s">
        <v>2733</v>
      </c>
      <c r="J246" s="61" t="s">
        <v>3369</v>
      </c>
      <c r="K246" s="61"/>
      <c r="L246" s="61"/>
    </row>
    <row r="247" spans="1:14" ht="27" customHeight="1">
      <c r="A247" s="61"/>
      <c r="B247" s="61" t="s">
        <v>3370</v>
      </c>
      <c r="C247" s="61" t="s">
        <v>39</v>
      </c>
      <c r="D247" s="61" t="s">
        <v>3371</v>
      </c>
      <c r="E247" s="61" t="str">
        <f t="shared" si="3"/>
        <v>417103899</v>
      </c>
      <c r="F247" s="61" t="s">
        <v>41</v>
      </c>
      <c r="G247" s="61" t="s">
        <v>2727</v>
      </c>
      <c r="H247" s="61" t="s">
        <v>42</v>
      </c>
      <c r="I247" s="61" t="s">
        <v>2733</v>
      </c>
      <c r="J247" s="61" t="s">
        <v>3372</v>
      </c>
      <c r="K247" s="61"/>
      <c r="L247" s="61"/>
      <c r="N247" s="54" t="str">
        <f>RIGHT(E247,9)</f>
        <v>417103899</v>
      </c>
    </row>
    <row r="248" spans="1:14" ht="27" customHeight="1">
      <c r="A248" s="61"/>
      <c r="B248" s="61" t="s">
        <v>2734</v>
      </c>
      <c r="C248" s="61" t="s">
        <v>2104</v>
      </c>
      <c r="D248" s="61" t="s">
        <v>2103</v>
      </c>
      <c r="E248" s="61" t="str">
        <f t="shared" si="3"/>
        <v>N62166129</v>
      </c>
      <c r="F248" s="61" t="s">
        <v>3373</v>
      </c>
      <c r="G248" s="61" t="s">
        <v>2727</v>
      </c>
      <c r="H248" s="61" t="s">
        <v>42</v>
      </c>
      <c r="I248" s="61" t="s">
        <v>2733</v>
      </c>
      <c r="J248" s="61" t="s">
        <v>1332</v>
      </c>
      <c r="K248" s="61"/>
      <c r="L248" s="61"/>
    </row>
    <row r="249" spans="1:14" ht="27" customHeight="1">
      <c r="A249" s="61"/>
      <c r="B249" s="61" t="s">
        <v>3374</v>
      </c>
      <c r="C249" s="61" t="s">
        <v>50</v>
      </c>
      <c r="D249" s="61" t="s">
        <v>51</v>
      </c>
      <c r="E249" s="61" t="str">
        <f t="shared" si="3"/>
        <v>N62151881</v>
      </c>
      <c r="F249" s="61" t="s">
        <v>3375</v>
      </c>
      <c r="G249" s="61" t="s">
        <v>2730</v>
      </c>
      <c r="H249" s="61" t="s">
        <v>42</v>
      </c>
      <c r="I249" s="61" t="s">
        <v>2733</v>
      </c>
      <c r="J249" s="61" t="s">
        <v>3376</v>
      </c>
      <c r="K249" s="61"/>
      <c r="L249" s="61"/>
    </row>
    <row r="250" spans="1:14" ht="50.1" customHeight="1">
      <c r="A250" s="61"/>
      <c r="B250" s="61" t="s">
        <v>3377</v>
      </c>
      <c r="C250" s="61" t="s">
        <v>59</v>
      </c>
      <c r="D250" s="61" t="s">
        <v>60</v>
      </c>
      <c r="E250" s="61" t="str">
        <f t="shared" si="3"/>
        <v>N62191978</v>
      </c>
      <c r="F250" s="61" t="s">
        <v>3378</v>
      </c>
      <c r="G250" s="61" t="s">
        <v>2790</v>
      </c>
      <c r="H250" s="61" t="s">
        <v>42</v>
      </c>
      <c r="I250" s="61" t="s">
        <v>2733</v>
      </c>
      <c r="J250" s="61" t="s">
        <v>3379</v>
      </c>
      <c r="K250" s="61"/>
      <c r="L250" s="61"/>
    </row>
    <row r="251" spans="1:14" ht="27" customHeight="1">
      <c r="A251" s="61"/>
      <c r="B251" s="61" t="s">
        <v>3380</v>
      </c>
      <c r="C251" s="61" t="s">
        <v>265</v>
      </c>
      <c r="D251" s="61" t="s">
        <v>3381</v>
      </c>
      <c r="E251" s="61" t="str">
        <f t="shared" si="3"/>
        <v>405386622</v>
      </c>
      <c r="F251" s="61" t="s">
        <v>266</v>
      </c>
      <c r="G251" s="61" t="s">
        <v>2751</v>
      </c>
      <c r="H251" s="61" t="s">
        <v>42</v>
      </c>
      <c r="I251" s="61" t="s">
        <v>2733</v>
      </c>
      <c r="J251" s="61" t="s">
        <v>3382</v>
      </c>
      <c r="K251" s="61"/>
      <c r="L251" s="61"/>
    </row>
    <row r="252" spans="1:14" ht="27" customHeight="1">
      <c r="A252" s="61"/>
      <c r="B252" s="61" t="s">
        <v>2734</v>
      </c>
      <c r="C252" s="61" t="s">
        <v>2072</v>
      </c>
      <c r="D252" s="61" t="s">
        <v>2071</v>
      </c>
      <c r="E252" s="61" t="str">
        <f t="shared" si="3"/>
        <v>N62128798</v>
      </c>
      <c r="F252" s="61" t="s">
        <v>3383</v>
      </c>
      <c r="G252" s="61" t="s">
        <v>2751</v>
      </c>
      <c r="H252" s="61" t="s">
        <v>42</v>
      </c>
      <c r="I252" s="61" t="s">
        <v>2733</v>
      </c>
      <c r="J252" s="61" t="s">
        <v>1332</v>
      </c>
      <c r="K252" s="61"/>
      <c r="L252" s="61"/>
    </row>
    <row r="253" spans="1:14" ht="27" customHeight="1">
      <c r="A253" s="61"/>
      <c r="B253" s="61" t="s">
        <v>2734</v>
      </c>
      <c r="C253" s="61" t="s">
        <v>2069</v>
      </c>
      <c r="D253" s="61" t="s">
        <v>3384</v>
      </c>
      <c r="E253" s="61" t="str">
        <f t="shared" si="3"/>
        <v>400823549</v>
      </c>
      <c r="F253" s="61" t="s">
        <v>3385</v>
      </c>
      <c r="G253" s="61" t="s">
        <v>2751</v>
      </c>
      <c r="H253" s="61" t="s">
        <v>42</v>
      </c>
      <c r="I253" s="61" t="s">
        <v>2733</v>
      </c>
      <c r="J253" s="61" t="s">
        <v>1332</v>
      </c>
      <c r="K253" s="61"/>
      <c r="L253" s="61"/>
    </row>
    <row r="254" spans="1:14" ht="27" customHeight="1">
      <c r="A254" s="61"/>
      <c r="B254" s="61" t="s">
        <v>3386</v>
      </c>
      <c r="C254" s="61" t="s">
        <v>277</v>
      </c>
      <c r="D254" s="61" t="s">
        <v>3387</v>
      </c>
      <c r="E254" s="61" t="str">
        <f t="shared" si="3"/>
        <v>405706434</v>
      </c>
      <c r="F254" s="61" t="s">
        <v>278</v>
      </c>
      <c r="G254" s="61" t="s">
        <v>2727</v>
      </c>
      <c r="H254" s="61" t="s">
        <v>42</v>
      </c>
      <c r="I254" s="61" t="s">
        <v>2733</v>
      </c>
      <c r="J254" s="61" t="s">
        <v>3388</v>
      </c>
      <c r="K254" s="61"/>
      <c r="L254" s="61"/>
    </row>
    <row r="255" spans="1:14" ht="27" customHeight="1">
      <c r="A255" s="61"/>
      <c r="B255" s="61" t="s">
        <v>2734</v>
      </c>
      <c r="C255" s="61" t="s">
        <v>2065</v>
      </c>
      <c r="D255" s="61" t="s">
        <v>3389</v>
      </c>
      <c r="E255" s="61" t="str">
        <f t="shared" si="3"/>
        <v>400063108</v>
      </c>
      <c r="F255" s="61" t="s">
        <v>3390</v>
      </c>
      <c r="G255" s="61" t="s">
        <v>2727</v>
      </c>
      <c r="H255" s="61" t="s">
        <v>42</v>
      </c>
      <c r="I255" s="61" t="s">
        <v>2733</v>
      </c>
      <c r="J255" s="61" t="s">
        <v>1332</v>
      </c>
      <c r="K255" s="61"/>
      <c r="L255" s="61"/>
    </row>
    <row r="256" spans="1:14" ht="27" customHeight="1">
      <c r="A256" s="61"/>
      <c r="B256" s="61" t="s">
        <v>2734</v>
      </c>
      <c r="C256" s="61" t="s">
        <v>2066</v>
      </c>
      <c r="D256" s="61" t="s">
        <v>3391</v>
      </c>
      <c r="E256" s="61" t="str">
        <f t="shared" si="3"/>
        <v>400823551</v>
      </c>
      <c r="F256" s="61" t="s">
        <v>3390</v>
      </c>
      <c r="G256" s="61" t="s">
        <v>2727</v>
      </c>
      <c r="H256" s="61" t="s">
        <v>42</v>
      </c>
      <c r="I256" s="61" t="s">
        <v>2733</v>
      </c>
      <c r="J256" s="61" t="s">
        <v>1332</v>
      </c>
      <c r="K256" s="61"/>
      <c r="L256" s="61"/>
    </row>
    <row r="257" spans="1:12" ht="72.95" customHeight="1">
      <c r="A257" s="61"/>
      <c r="B257" s="61" t="s">
        <v>3392</v>
      </c>
      <c r="C257" s="61" t="s">
        <v>279</v>
      </c>
      <c r="D257" s="61" t="s">
        <v>3393</v>
      </c>
      <c r="E257" s="61" t="str">
        <f t="shared" si="3"/>
        <v>404285313</v>
      </c>
      <c r="F257" s="61" t="s">
        <v>280</v>
      </c>
      <c r="G257" s="61" t="s">
        <v>2860</v>
      </c>
      <c r="H257" s="61" t="s">
        <v>42</v>
      </c>
      <c r="I257" s="61" t="s">
        <v>2733</v>
      </c>
      <c r="J257" s="61" t="s">
        <v>3394</v>
      </c>
      <c r="K257" s="61"/>
      <c r="L257" s="61"/>
    </row>
    <row r="258" spans="1:12" ht="27" customHeight="1">
      <c r="A258" s="61"/>
      <c r="B258" s="61" t="s">
        <v>2734</v>
      </c>
      <c r="C258" s="61" t="s">
        <v>2039</v>
      </c>
      <c r="D258" s="61" t="s">
        <v>3395</v>
      </c>
      <c r="E258" s="61" t="str">
        <f t="shared" si="3"/>
        <v>400063106</v>
      </c>
      <c r="F258" s="61" t="s">
        <v>280</v>
      </c>
      <c r="G258" s="61" t="s">
        <v>2860</v>
      </c>
      <c r="H258" s="61" t="s">
        <v>42</v>
      </c>
      <c r="I258" s="61" t="s">
        <v>2733</v>
      </c>
      <c r="J258" s="61" t="s">
        <v>1332</v>
      </c>
      <c r="K258" s="61"/>
      <c r="L258" s="61"/>
    </row>
    <row r="259" spans="1:12" ht="27" customHeight="1">
      <c r="A259" s="61"/>
      <c r="B259" s="61" t="s">
        <v>2734</v>
      </c>
      <c r="C259" s="61" t="s">
        <v>2040</v>
      </c>
      <c r="D259" s="61" t="s">
        <v>3396</v>
      </c>
      <c r="E259" s="61" t="str">
        <f t="shared" ref="E259:E322" si="4">LEFT(D259,9)</f>
        <v>400823553</v>
      </c>
      <c r="F259" s="61" t="s">
        <v>280</v>
      </c>
      <c r="G259" s="61" t="s">
        <v>2860</v>
      </c>
      <c r="H259" s="61" t="s">
        <v>42</v>
      </c>
      <c r="I259" s="61" t="s">
        <v>2733</v>
      </c>
      <c r="J259" s="61" t="s">
        <v>1332</v>
      </c>
      <c r="K259" s="61"/>
      <c r="L259" s="61"/>
    </row>
    <row r="260" spans="1:12" ht="96.95" customHeight="1">
      <c r="A260" s="61"/>
      <c r="B260" s="61" t="s">
        <v>3397</v>
      </c>
      <c r="C260" s="61" t="s">
        <v>281</v>
      </c>
      <c r="D260" s="61" t="s">
        <v>3398</v>
      </c>
      <c r="E260" s="61" t="str">
        <f t="shared" si="4"/>
        <v>417983156</v>
      </c>
      <c r="F260" s="61" t="s">
        <v>282</v>
      </c>
      <c r="G260" s="61" t="s">
        <v>3201</v>
      </c>
      <c r="H260" s="61" t="s">
        <v>42</v>
      </c>
      <c r="I260" s="61" t="s">
        <v>2733</v>
      </c>
      <c r="J260" s="61" t="s">
        <v>3399</v>
      </c>
      <c r="K260" s="61"/>
      <c r="L260" s="61"/>
    </row>
    <row r="261" spans="1:12" ht="27" customHeight="1">
      <c r="A261" s="61"/>
      <c r="B261" s="61" t="s">
        <v>2734</v>
      </c>
      <c r="C261" s="61" t="s">
        <v>2001</v>
      </c>
      <c r="D261" s="61" t="s">
        <v>2000</v>
      </c>
      <c r="E261" s="61" t="str">
        <f t="shared" si="4"/>
        <v>N62179437</v>
      </c>
      <c r="F261" s="61" t="s">
        <v>3400</v>
      </c>
      <c r="G261" s="61" t="s">
        <v>3201</v>
      </c>
      <c r="H261" s="61" t="s">
        <v>42</v>
      </c>
      <c r="I261" s="61" t="s">
        <v>2733</v>
      </c>
      <c r="J261" s="61" t="s">
        <v>1332</v>
      </c>
      <c r="K261" s="61"/>
      <c r="L261" s="61"/>
    </row>
    <row r="262" spans="1:12" ht="27" customHeight="1">
      <c r="A262" s="61"/>
      <c r="B262" s="61" t="s">
        <v>2734</v>
      </c>
      <c r="C262" s="61" t="s">
        <v>1999</v>
      </c>
      <c r="D262" s="61" t="s">
        <v>3401</v>
      </c>
      <c r="E262" s="61" t="str">
        <f t="shared" si="4"/>
        <v>403834703</v>
      </c>
      <c r="F262" s="61" t="s">
        <v>282</v>
      </c>
      <c r="G262" s="61" t="s">
        <v>3201</v>
      </c>
      <c r="H262" s="61" t="s">
        <v>42</v>
      </c>
      <c r="I262" s="61" t="s">
        <v>2733</v>
      </c>
      <c r="J262" s="61" t="s">
        <v>1332</v>
      </c>
      <c r="K262" s="61"/>
      <c r="L262" s="61"/>
    </row>
    <row r="263" spans="1:12" ht="27" customHeight="1">
      <c r="A263" s="61"/>
      <c r="B263" s="61" t="s">
        <v>3402</v>
      </c>
      <c r="C263" s="61" t="s">
        <v>375</v>
      </c>
      <c r="D263" s="61" t="s">
        <v>3403</v>
      </c>
      <c r="E263" s="61" t="str">
        <f t="shared" si="4"/>
        <v>417083260</v>
      </c>
      <c r="F263" s="61" t="s">
        <v>376</v>
      </c>
      <c r="G263" s="61" t="s">
        <v>2748</v>
      </c>
      <c r="H263" s="61" t="s">
        <v>42</v>
      </c>
      <c r="I263" s="61" t="s">
        <v>2733</v>
      </c>
      <c r="J263" s="61" t="s">
        <v>3404</v>
      </c>
      <c r="K263" s="61"/>
      <c r="L263" s="61"/>
    </row>
    <row r="264" spans="1:12" ht="27" customHeight="1">
      <c r="A264" s="61"/>
      <c r="B264" s="61" t="s">
        <v>2734</v>
      </c>
      <c r="C264" s="61" t="s">
        <v>2007</v>
      </c>
      <c r="D264" s="61" t="s">
        <v>2006</v>
      </c>
      <c r="E264" s="61" t="str">
        <f t="shared" si="4"/>
        <v>N62132063</v>
      </c>
      <c r="F264" s="61" t="s">
        <v>3405</v>
      </c>
      <c r="G264" s="61" t="s">
        <v>2748</v>
      </c>
      <c r="H264" s="61" t="s">
        <v>42</v>
      </c>
      <c r="I264" s="61" t="s">
        <v>2733</v>
      </c>
      <c r="J264" s="61" t="s">
        <v>1332</v>
      </c>
      <c r="K264" s="61"/>
      <c r="L264" s="61"/>
    </row>
    <row r="265" spans="1:12" ht="27" customHeight="1">
      <c r="A265" s="61"/>
      <c r="B265" s="61" t="s">
        <v>2734</v>
      </c>
      <c r="C265" s="61" t="s">
        <v>2003</v>
      </c>
      <c r="D265" s="61" t="s">
        <v>3406</v>
      </c>
      <c r="E265" s="61" t="str">
        <f t="shared" si="4"/>
        <v>403834698</v>
      </c>
      <c r="F265" s="61" t="s">
        <v>376</v>
      </c>
      <c r="G265" s="61" t="s">
        <v>2748</v>
      </c>
      <c r="H265" s="61" t="s">
        <v>42</v>
      </c>
      <c r="I265" s="61" t="s">
        <v>2733</v>
      </c>
      <c r="J265" s="61" t="s">
        <v>1332</v>
      </c>
      <c r="K265" s="61"/>
      <c r="L265" s="61"/>
    </row>
    <row r="266" spans="1:12" ht="27" customHeight="1">
      <c r="A266" s="61"/>
      <c r="B266" s="61" t="s">
        <v>3407</v>
      </c>
      <c r="C266" s="61" t="s">
        <v>109</v>
      </c>
      <c r="D266" s="61" t="s">
        <v>3408</v>
      </c>
      <c r="E266" s="61" t="str">
        <f t="shared" si="4"/>
        <v>424270755</v>
      </c>
      <c r="F266" s="61" t="s">
        <v>110</v>
      </c>
      <c r="G266" s="61" t="s">
        <v>2727</v>
      </c>
      <c r="H266" s="61" t="s">
        <v>42</v>
      </c>
      <c r="I266" s="61" t="s">
        <v>2733</v>
      </c>
      <c r="J266" s="61" t="s">
        <v>3409</v>
      </c>
      <c r="K266" s="61"/>
      <c r="L266" s="61"/>
    </row>
    <row r="267" spans="1:12" ht="27" customHeight="1">
      <c r="A267" s="61"/>
      <c r="B267" s="61" t="s">
        <v>2734</v>
      </c>
      <c r="C267" s="61" t="s">
        <v>2055</v>
      </c>
      <c r="D267" s="61" t="s">
        <v>3410</v>
      </c>
      <c r="E267" s="61" t="str">
        <f t="shared" si="4"/>
        <v>400062973</v>
      </c>
      <c r="F267" s="61" t="s">
        <v>110</v>
      </c>
      <c r="G267" s="61" t="s">
        <v>2727</v>
      </c>
      <c r="H267" s="61" t="s">
        <v>42</v>
      </c>
      <c r="I267" s="61" t="s">
        <v>2733</v>
      </c>
      <c r="J267" s="61" t="s">
        <v>1332</v>
      </c>
      <c r="K267" s="61"/>
      <c r="L267" s="61"/>
    </row>
    <row r="268" spans="1:12" ht="27" customHeight="1">
      <c r="A268" s="61"/>
      <c r="B268" s="61" t="s">
        <v>2734</v>
      </c>
      <c r="C268" s="61" t="s">
        <v>2057</v>
      </c>
      <c r="D268" s="61" t="s">
        <v>3411</v>
      </c>
      <c r="E268" s="61" t="str">
        <f t="shared" si="4"/>
        <v>400823552</v>
      </c>
      <c r="F268" s="61" t="s">
        <v>110</v>
      </c>
      <c r="G268" s="61" t="s">
        <v>2727</v>
      </c>
      <c r="H268" s="61" t="s">
        <v>42</v>
      </c>
      <c r="I268" s="61" t="s">
        <v>2733</v>
      </c>
      <c r="J268" s="61" t="s">
        <v>1332</v>
      </c>
      <c r="K268" s="61"/>
      <c r="L268" s="61"/>
    </row>
    <row r="269" spans="1:12" ht="27" customHeight="1">
      <c r="A269" s="61"/>
      <c r="B269" s="61" t="s">
        <v>3412</v>
      </c>
      <c r="C269" s="61" t="s">
        <v>112</v>
      </c>
      <c r="D269" s="61" t="s">
        <v>3413</v>
      </c>
      <c r="E269" s="61" t="str">
        <f t="shared" si="4"/>
        <v>424270751</v>
      </c>
      <c r="F269" s="61" t="s">
        <v>113</v>
      </c>
      <c r="G269" s="61" t="s">
        <v>2730</v>
      </c>
      <c r="H269" s="61" t="s">
        <v>42</v>
      </c>
      <c r="I269" s="61" t="s">
        <v>2733</v>
      </c>
      <c r="J269" s="61" t="s">
        <v>3414</v>
      </c>
      <c r="K269" s="61"/>
      <c r="L269" s="61"/>
    </row>
    <row r="270" spans="1:12" ht="27" customHeight="1">
      <c r="A270" s="61"/>
      <c r="B270" s="61" t="s">
        <v>2734</v>
      </c>
      <c r="C270" s="61" t="s">
        <v>2578</v>
      </c>
      <c r="D270" s="61" t="s">
        <v>3415</v>
      </c>
      <c r="E270" s="61" t="str">
        <f t="shared" si="4"/>
        <v>400062976</v>
      </c>
      <c r="F270" s="61" t="s">
        <v>113</v>
      </c>
      <c r="G270" s="61" t="s">
        <v>2730</v>
      </c>
      <c r="H270" s="61" t="s">
        <v>42</v>
      </c>
      <c r="I270" s="61" t="s">
        <v>2733</v>
      </c>
      <c r="J270" s="61" t="s">
        <v>1332</v>
      </c>
      <c r="K270" s="61"/>
      <c r="L270" s="61"/>
    </row>
    <row r="271" spans="1:12" ht="27" customHeight="1">
      <c r="A271" s="61"/>
      <c r="B271" s="61" t="s">
        <v>2734</v>
      </c>
      <c r="C271" s="61" t="s">
        <v>2580</v>
      </c>
      <c r="D271" s="61" t="s">
        <v>3416</v>
      </c>
      <c r="E271" s="61" t="str">
        <f t="shared" si="4"/>
        <v>400810453</v>
      </c>
      <c r="F271" s="61" t="s">
        <v>113</v>
      </c>
      <c r="G271" s="61" t="s">
        <v>2730</v>
      </c>
      <c r="H271" s="61" t="s">
        <v>42</v>
      </c>
      <c r="I271" s="61" t="s">
        <v>2733</v>
      </c>
      <c r="J271" s="61" t="s">
        <v>1332</v>
      </c>
      <c r="K271" s="61"/>
      <c r="L271" s="61"/>
    </row>
    <row r="272" spans="1:12" ht="72.95" customHeight="1">
      <c r="A272" s="61"/>
      <c r="B272" s="61" t="s">
        <v>3417</v>
      </c>
      <c r="C272" s="61" t="s">
        <v>115</v>
      </c>
      <c r="D272" s="61" t="s">
        <v>3418</v>
      </c>
      <c r="E272" s="61" t="str">
        <f t="shared" si="4"/>
        <v>424270756</v>
      </c>
      <c r="F272" s="61" t="s">
        <v>116</v>
      </c>
      <c r="G272" s="61" t="s">
        <v>2860</v>
      </c>
      <c r="H272" s="61" t="s">
        <v>42</v>
      </c>
      <c r="I272" s="61" t="s">
        <v>2733</v>
      </c>
      <c r="J272" s="61" t="s">
        <v>3419</v>
      </c>
      <c r="K272" s="61"/>
      <c r="L272" s="61"/>
    </row>
    <row r="273" spans="1:12" ht="27" customHeight="1">
      <c r="A273" s="61"/>
      <c r="B273" s="61" t="s">
        <v>2734</v>
      </c>
      <c r="C273" s="61" t="s">
        <v>2076</v>
      </c>
      <c r="D273" s="61" t="s">
        <v>3420</v>
      </c>
      <c r="E273" s="61" t="str">
        <f t="shared" si="4"/>
        <v>400062981</v>
      </c>
      <c r="F273" s="61" t="s">
        <v>116</v>
      </c>
      <c r="G273" s="61" t="s">
        <v>2860</v>
      </c>
      <c r="H273" s="61" t="s">
        <v>42</v>
      </c>
      <c r="I273" s="61" t="s">
        <v>2733</v>
      </c>
      <c r="J273" s="61" t="s">
        <v>1332</v>
      </c>
      <c r="K273" s="61"/>
      <c r="L273" s="61"/>
    </row>
    <row r="274" spans="1:12" ht="27" customHeight="1">
      <c r="A274" s="61"/>
      <c r="B274" s="61" t="s">
        <v>2734</v>
      </c>
      <c r="C274" s="61" t="s">
        <v>2078</v>
      </c>
      <c r="D274" s="61" t="s">
        <v>3421</v>
      </c>
      <c r="E274" s="61" t="str">
        <f t="shared" si="4"/>
        <v>400823555</v>
      </c>
      <c r="F274" s="61" t="s">
        <v>116</v>
      </c>
      <c r="G274" s="61" t="s">
        <v>2860</v>
      </c>
      <c r="H274" s="61" t="s">
        <v>42</v>
      </c>
      <c r="I274" s="61" t="s">
        <v>2733</v>
      </c>
      <c r="J274" s="61" t="s">
        <v>1332</v>
      </c>
      <c r="K274" s="61"/>
      <c r="L274" s="61"/>
    </row>
    <row r="275" spans="1:12" ht="27" customHeight="1">
      <c r="A275" s="61"/>
      <c r="B275" s="61" t="s">
        <v>3422</v>
      </c>
      <c r="C275" s="61" t="s">
        <v>117</v>
      </c>
      <c r="D275" s="61" t="s">
        <v>3423</v>
      </c>
      <c r="E275" s="61" t="str">
        <f t="shared" si="4"/>
        <v>424270760</v>
      </c>
      <c r="F275" s="61" t="s">
        <v>118</v>
      </c>
      <c r="G275" s="61" t="s">
        <v>2727</v>
      </c>
      <c r="H275" s="61" t="s">
        <v>42</v>
      </c>
      <c r="I275" s="61" t="s">
        <v>2733</v>
      </c>
      <c r="J275" s="61" t="s">
        <v>3424</v>
      </c>
      <c r="K275" s="61"/>
      <c r="L275" s="61"/>
    </row>
    <row r="276" spans="1:12" ht="27" customHeight="1">
      <c r="A276" s="61"/>
      <c r="B276" s="61" t="s">
        <v>2734</v>
      </c>
      <c r="C276" s="61" t="s">
        <v>2060</v>
      </c>
      <c r="D276" s="61" t="s">
        <v>3425</v>
      </c>
      <c r="E276" s="61" t="str">
        <f t="shared" si="4"/>
        <v>400062992</v>
      </c>
      <c r="F276" s="61" t="s">
        <v>118</v>
      </c>
      <c r="G276" s="61" t="s">
        <v>2727</v>
      </c>
      <c r="H276" s="61" t="s">
        <v>42</v>
      </c>
      <c r="I276" s="61" t="s">
        <v>2733</v>
      </c>
      <c r="J276" s="61" t="s">
        <v>1332</v>
      </c>
      <c r="K276" s="61"/>
      <c r="L276" s="61"/>
    </row>
    <row r="277" spans="1:12" ht="27" customHeight="1">
      <c r="A277" s="61"/>
      <c r="B277" s="61" t="s">
        <v>2734</v>
      </c>
      <c r="C277" s="61" t="s">
        <v>2062</v>
      </c>
      <c r="D277" s="61" t="s">
        <v>3426</v>
      </c>
      <c r="E277" s="61" t="str">
        <f t="shared" si="4"/>
        <v>400823563</v>
      </c>
      <c r="F277" s="61" t="s">
        <v>118</v>
      </c>
      <c r="G277" s="61" t="s">
        <v>2727</v>
      </c>
      <c r="H277" s="61" t="s">
        <v>42</v>
      </c>
      <c r="I277" s="61" t="s">
        <v>2733</v>
      </c>
      <c r="J277" s="61" t="s">
        <v>1332</v>
      </c>
      <c r="K277" s="61"/>
      <c r="L277" s="61"/>
    </row>
    <row r="278" spans="1:12" ht="27" customHeight="1">
      <c r="A278" s="61"/>
      <c r="B278" s="61" t="s">
        <v>3427</v>
      </c>
      <c r="C278" s="61" t="s">
        <v>119</v>
      </c>
      <c r="D278" s="61" t="s">
        <v>3428</v>
      </c>
      <c r="E278" s="61" t="str">
        <f t="shared" si="4"/>
        <v>409102771</v>
      </c>
      <c r="F278" s="61" t="s">
        <v>120</v>
      </c>
      <c r="G278" s="61" t="s">
        <v>2727</v>
      </c>
      <c r="H278" s="61" t="s">
        <v>42</v>
      </c>
      <c r="I278" s="61" t="s">
        <v>2733</v>
      </c>
      <c r="J278" s="61" t="s">
        <v>3429</v>
      </c>
      <c r="K278" s="61"/>
      <c r="L278" s="61"/>
    </row>
    <row r="279" spans="1:12" ht="27" customHeight="1">
      <c r="A279" s="61"/>
      <c r="B279" s="61" t="s">
        <v>2734</v>
      </c>
      <c r="C279" s="61" t="s">
        <v>3430</v>
      </c>
      <c r="D279" s="61" t="s">
        <v>3431</v>
      </c>
      <c r="E279" s="61" t="str">
        <f t="shared" si="4"/>
        <v>400823569</v>
      </c>
      <c r="F279" s="61" t="s">
        <v>3432</v>
      </c>
      <c r="G279" s="61" t="s">
        <v>2727</v>
      </c>
      <c r="H279" s="61" t="s">
        <v>42</v>
      </c>
      <c r="I279" s="61" t="s">
        <v>2733</v>
      </c>
      <c r="J279" s="61" t="s">
        <v>1332</v>
      </c>
      <c r="K279" s="61"/>
      <c r="L279" s="61"/>
    </row>
    <row r="280" spans="1:12" ht="27" customHeight="1">
      <c r="A280" s="61"/>
      <c r="B280" s="61" t="s">
        <v>2734</v>
      </c>
      <c r="C280" s="61" t="s">
        <v>3433</v>
      </c>
      <c r="D280" s="61" t="s">
        <v>3434</v>
      </c>
      <c r="E280" s="61" t="str">
        <f t="shared" si="4"/>
        <v>424270764</v>
      </c>
      <c r="F280" s="61" t="s">
        <v>3432</v>
      </c>
      <c r="G280" s="61" t="s">
        <v>2727</v>
      </c>
      <c r="H280" s="61" t="s">
        <v>42</v>
      </c>
      <c r="I280" s="61" t="s">
        <v>2733</v>
      </c>
      <c r="J280" s="61" t="s">
        <v>1332</v>
      </c>
      <c r="K280" s="61"/>
      <c r="L280" s="61"/>
    </row>
    <row r="281" spans="1:12" ht="27" customHeight="1">
      <c r="A281" s="61"/>
      <c r="B281" s="61" t="s">
        <v>2734</v>
      </c>
      <c r="C281" s="61" t="s">
        <v>3435</v>
      </c>
      <c r="D281" s="61" t="s">
        <v>3436</v>
      </c>
      <c r="E281" s="61" t="str">
        <f t="shared" si="4"/>
        <v>400063057</v>
      </c>
      <c r="F281" s="61" t="s">
        <v>3432</v>
      </c>
      <c r="G281" s="61" t="s">
        <v>2727</v>
      </c>
      <c r="H281" s="61" t="s">
        <v>42</v>
      </c>
      <c r="I281" s="61" t="s">
        <v>2733</v>
      </c>
      <c r="J281" s="61" t="s">
        <v>1332</v>
      </c>
      <c r="K281" s="61"/>
      <c r="L281" s="61"/>
    </row>
    <row r="282" spans="1:12" ht="27" customHeight="1">
      <c r="A282" s="61"/>
      <c r="B282" s="61" t="s">
        <v>3437</v>
      </c>
      <c r="C282" s="61" t="s">
        <v>121</v>
      </c>
      <c r="D282" s="61" t="s">
        <v>3438</v>
      </c>
      <c r="E282" s="61" t="str">
        <f t="shared" si="4"/>
        <v>406492379</v>
      </c>
      <c r="F282" s="61" t="s">
        <v>122</v>
      </c>
      <c r="G282" s="61" t="s">
        <v>2727</v>
      </c>
      <c r="H282" s="61" t="s">
        <v>42</v>
      </c>
      <c r="I282" s="61" t="s">
        <v>2733</v>
      </c>
      <c r="J282" s="61" t="s">
        <v>3439</v>
      </c>
      <c r="K282" s="61"/>
      <c r="L282" s="61"/>
    </row>
    <row r="283" spans="1:12" ht="27" customHeight="1">
      <c r="A283" s="61"/>
      <c r="B283" s="61" t="s">
        <v>2734</v>
      </c>
      <c r="C283" s="61" t="s">
        <v>2046</v>
      </c>
      <c r="D283" s="61" t="s">
        <v>3440</v>
      </c>
      <c r="E283" s="61" t="str">
        <f t="shared" si="4"/>
        <v>400823570</v>
      </c>
      <c r="F283" s="61" t="s">
        <v>122</v>
      </c>
      <c r="G283" s="61" t="s">
        <v>2727</v>
      </c>
      <c r="H283" s="61" t="s">
        <v>42</v>
      </c>
      <c r="I283" s="61" t="s">
        <v>2733</v>
      </c>
      <c r="J283" s="61" t="s">
        <v>1332</v>
      </c>
      <c r="K283" s="61"/>
      <c r="L283" s="61"/>
    </row>
    <row r="284" spans="1:12" ht="15.95" customHeight="1">
      <c r="A284" s="61"/>
      <c r="B284" s="61" t="s">
        <v>2734</v>
      </c>
      <c r="C284" s="61" t="s">
        <v>2048</v>
      </c>
      <c r="D284" s="61" t="s">
        <v>3441</v>
      </c>
      <c r="E284" s="61" t="str">
        <f t="shared" si="4"/>
        <v>424270765</v>
      </c>
      <c r="F284" s="61" t="s">
        <v>122</v>
      </c>
      <c r="G284" s="61" t="s">
        <v>2727</v>
      </c>
      <c r="H284" s="61" t="s">
        <v>42</v>
      </c>
      <c r="I284" s="61" t="s">
        <v>2733</v>
      </c>
      <c r="J284" s="61" t="s">
        <v>1332</v>
      </c>
      <c r="K284" s="61"/>
      <c r="L284" s="61"/>
    </row>
    <row r="285" spans="1:12" ht="27" customHeight="1">
      <c r="A285" s="61"/>
      <c r="B285" s="61" t="s">
        <v>2734</v>
      </c>
      <c r="C285" s="61" t="s">
        <v>2042</v>
      </c>
      <c r="D285" s="61" t="s">
        <v>3442</v>
      </c>
      <c r="E285" s="61" t="str">
        <f t="shared" si="4"/>
        <v>400001180</v>
      </c>
      <c r="F285" s="61" t="s">
        <v>2041</v>
      </c>
      <c r="G285" s="61" t="s">
        <v>2727</v>
      </c>
      <c r="H285" s="61" t="s">
        <v>42</v>
      </c>
      <c r="I285" s="61" t="s">
        <v>2733</v>
      </c>
      <c r="J285" s="61" t="s">
        <v>1332</v>
      </c>
      <c r="K285" s="61"/>
      <c r="L285" s="61"/>
    </row>
    <row r="286" spans="1:12" ht="27" customHeight="1">
      <c r="A286" s="61"/>
      <c r="B286" s="61" t="s">
        <v>3443</v>
      </c>
      <c r="C286" s="61" t="s">
        <v>903</v>
      </c>
      <c r="D286" s="61" t="s">
        <v>3444</v>
      </c>
      <c r="E286" s="61" t="str">
        <f t="shared" si="4"/>
        <v>401882176</v>
      </c>
      <c r="F286" s="61" t="s">
        <v>904</v>
      </c>
      <c r="G286" s="61" t="s">
        <v>2845</v>
      </c>
      <c r="H286" s="61" t="s">
        <v>42</v>
      </c>
      <c r="I286" s="61" t="s">
        <v>2733</v>
      </c>
      <c r="J286" s="61" t="s">
        <v>3445</v>
      </c>
      <c r="K286" s="61"/>
      <c r="L286" s="61"/>
    </row>
    <row r="287" spans="1:12" ht="27" customHeight="1">
      <c r="A287" s="61"/>
      <c r="B287" s="61" t="s">
        <v>2734</v>
      </c>
      <c r="C287" s="61" t="s">
        <v>1871</v>
      </c>
      <c r="D287" s="61" t="s">
        <v>3446</v>
      </c>
      <c r="E287" s="61" t="str">
        <f t="shared" si="4"/>
        <v>400004870</v>
      </c>
      <c r="F287" s="61" t="s">
        <v>3447</v>
      </c>
      <c r="G287" s="61" t="s">
        <v>2845</v>
      </c>
      <c r="H287" s="61" t="s">
        <v>42</v>
      </c>
      <c r="I287" s="61" t="s">
        <v>2733</v>
      </c>
      <c r="J287" s="61" t="s">
        <v>1332</v>
      </c>
      <c r="K287" s="61"/>
      <c r="L287" s="61"/>
    </row>
    <row r="288" spans="1:12" ht="84.95" customHeight="1">
      <c r="A288" s="61"/>
      <c r="B288" s="61" t="s">
        <v>3448</v>
      </c>
      <c r="C288" s="61" t="s">
        <v>399</v>
      </c>
      <c r="D288" s="61" t="s">
        <v>3449</v>
      </c>
      <c r="E288" s="61" t="str">
        <f t="shared" si="4"/>
        <v>401172747</v>
      </c>
      <c r="F288" s="61" t="s">
        <v>400</v>
      </c>
      <c r="G288" s="61" t="s">
        <v>2912</v>
      </c>
      <c r="H288" s="61" t="s">
        <v>42</v>
      </c>
      <c r="I288" s="61" t="s">
        <v>2733</v>
      </c>
      <c r="J288" s="61" t="s">
        <v>3450</v>
      </c>
      <c r="K288" s="61"/>
      <c r="L288" s="61"/>
    </row>
    <row r="289" spans="1:12" ht="27" customHeight="1">
      <c r="A289" s="61"/>
      <c r="B289" s="61" t="s">
        <v>2734</v>
      </c>
      <c r="C289" s="61" t="s">
        <v>1542</v>
      </c>
      <c r="D289" s="61" t="s">
        <v>3451</v>
      </c>
      <c r="E289" s="61" t="str">
        <f t="shared" si="4"/>
        <v>400537079</v>
      </c>
      <c r="F289" s="61" t="s">
        <v>400</v>
      </c>
      <c r="G289" s="61" t="s">
        <v>2912</v>
      </c>
      <c r="H289" s="61" t="s">
        <v>42</v>
      </c>
      <c r="I289" s="61" t="s">
        <v>2733</v>
      </c>
      <c r="J289" s="61" t="s">
        <v>1332</v>
      </c>
      <c r="K289" s="61"/>
      <c r="L289" s="61"/>
    </row>
    <row r="290" spans="1:12" ht="225" customHeight="1">
      <c r="A290" s="61"/>
      <c r="B290" s="61" t="s">
        <v>3452</v>
      </c>
      <c r="C290" s="61" t="s">
        <v>406</v>
      </c>
      <c r="D290" s="61" t="s">
        <v>3453</v>
      </c>
      <c r="E290" s="61" t="str">
        <f t="shared" si="4"/>
        <v>400536577</v>
      </c>
      <c r="F290" s="61" t="s">
        <v>407</v>
      </c>
      <c r="G290" s="61" t="s">
        <v>3422</v>
      </c>
      <c r="H290" s="61" t="s">
        <v>42</v>
      </c>
      <c r="I290" s="61" t="s">
        <v>2733</v>
      </c>
      <c r="J290" s="61" t="s">
        <v>3454</v>
      </c>
      <c r="K290" s="61"/>
      <c r="L290" s="61"/>
    </row>
    <row r="291" spans="1:12" ht="306" customHeight="1">
      <c r="A291" s="61"/>
      <c r="B291" s="61" t="s">
        <v>3455</v>
      </c>
      <c r="C291" s="61" t="s">
        <v>408</v>
      </c>
      <c r="D291" s="61" t="s">
        <v>3456</v>
      </c>
      <c r="E291" s="61" t="str">
        <f t="shared" si="4"/>
        <v>400984937</v>
      </c>
      <c r="F291" s="61" t="s">
        <v>409</v>
      </c>
      <c r="G291" s="61" t="s">
        <v>3457</v>
      </c>
      <c r="H291" s="61" t="s">
        <v>42</v>
      </c>
      <c r="I291" s="61" t="s">
        <v>2733</v>
      </c>
      <c r="J291" s="61" t="s">
        <v>3458</v>
      </c>
      <c r="K291" s="61"/>
      <c r="L291" s="61"/>
    </row>
    <row r="292" spans="1:12" ht="27" customHeight="1">
      <c r="A292" s="61"/>
      <c r="B292" s="61" t="s">
        <v>2734</v>
      </c>
      <c r="C292" s="61" t="s">
        <v>1565</v>
      </c>
      <c r="D292" s="61" t="s">
        <v>3459</v>
      </c>
      <c r="E292" s="61" t="str">
        <f t="shared" si="4"/>
        <v>400515201</v>
      </c>
      <c r="F292" s="61" t="s">
        <v>3460</v>
      </c>
      <c r="G292" s="61" t="s">
        <v>3457</v>
      </c>
      <c r="H292" s="61" t="s">
        <v>42</v>
      </c>
      <c r="I292" s="61" t="s">
        <v>2733</v>
      </c>
      <c r="J292" s="61" t="s">
        <v>1332</v>
      </c>
      <c r="K292" s="61"/>
      <c r="L292" s="61"/>
    </row>
    <row r="293" spans="1:12" ht="189.95" customHeight="1">
      <c r="A293" s="61"/>
      <c r="B293" s="61" t="s">
        <v>3461</v>
      </c>
      <c r="C293" s="61" t="s">
        <v>410</v>
      </c>
      <c r="D293" s="61" t="s">
        <v>3462</v>
      </c>
      <c r="E293" s="61" t="str">
        <f t="shared" si="4"/>
        <v>401246012</v>
      </c>
      <c r="F293" s="61" t="s">
        <v>411</v>
      </c>
      <c r="G293" s="61" t="s">
        <v>3463</v>
      </c>
      <c r="H293" s="61" t="s">
        <v>42</v>
      </c>
      <c r="I293" s="61" t="s">
        <v>2733</v>
      </c>
      <c r="J293" s="61" t="s">
        <v>3464</v>
      </c>
      <c r="K293" s="61"/>
      <c r="L293" s="61"/>
    </row>
    <row r="294" spans="1:12" ht="27" customHeight="1">
      <c r="A294" s="61"/>
      <c r="B294" s="61" t="s">
        <v>2734</v>
      </c>
      <c r="C294" s="61" t="s">
        <v>1580</v>
      </c>
      <c r="D294" s="61" t="s">
        <v>3465</v>
      </c>
      <c r="E294" s="61" t="str">
        <f t="shared" si="4"/>
        <v>400538373</v>
      </c>
      <c r="F294" s="61" t="s">
        <v>1577</v>
      </c>
      <c r="G294" s="61" t="s">
        <v>3463</v>
      </c>
      <c r="H294" s="61" t="s">
        <v>42</v>
      </c>
      <c r="I294" s="61" t="s">
        <v>2733</v>
      </c>
      <c r="J294" s="61" t="s">
        <v>1332</v>
      </c>
      <c r="K294" s="61"/>
      <c r="L294" s="61"/>
    </row>
    <row r="295" spans="1:12" ht="409.6" customHeight="1">
      <c r="A295" s="61"/>
      <c r="B295" s="61" t="s">
        <v>3466</v>
      </c>
      <c r="C295" s="61" t="s">
        <v>766</v>
      </c>
      <c r="D295" s="61" t="s">
        <v>3467</v>
      </c>
      <c r="E295" s="61" t="str">
        <f t="shared" si="4"/>
        <v>417049490</v>
      </c>
      <c r="F295" s="61" t="s">
        <v>767</v>
      </c>
      <c r="G295" s="61" t="s">
        <v>3468</v>
      </c>
      <c r="H295" s="61" t="s">
        <v>42</v>
      </c>
      <c r="I295" s="61" t="s">
        <v>2733</v>
      </c>
      <c r="J295" s="61" t="s">
        <v>3469</v>
      </c>
      <c r="K295" s="61"/>
      <c r="L295" s="61"/>
    </row>
    <row r="296" spans="1:12" ht="27" customHeight="1">
      <c r="A296" s="61"/>
      <c r="B296" s="61" t="s">
        <v>2734</v>
      </c>
      <c r="C296" s="61" t="s">
        <v>1601</v>
      </c>
      <c r="D296" s="61" t="s">
        <v>3470</v>
      </c>
      <c r="E296" s="61" t="str">
        <f t="shared" si="4"/>
        <v>417983105</v>
      </c>
      <c r="F296" s="61" t="s">
        <v>767</v>
      </c>
      <c r="G296" s="61" t="s">
        <v>3468</v>
      </c>
      <c r="H296" s="61" t="s">
        <v>42</v>
      </c>
      <c r="I296" s="61" t="s">
        <v>2733</v>
      </c>
      <c r="J296" s="61" t="s">
        <v>1332</v>
      </c>
      <c r="K296" s="61"/>
      <c r="L296" s="61"/>
    </row>
    <row r="297" spans="1:12" ht="27" customHeight="1">
      <c r="A297" s="61"/>
      <c r="B297" s="61" t="s">
        <v>2734</v>
      </c>
      <c r="C297" s="61" t="s">
        <v>1596</v>
      </c>
      <c r="D297" s="61" t="s">
        <v>3471</v>
      </c>
      <c r="E297" s="61" t="str">
        <f t="shared" si="4"/>
        <v>401047158</v>
      </c>
      <c r="F297" s="61" t="s">
        <v>767</v>
      </c>
      <c r="G297" s="61" t="s">
        <v>3468</v>
      </c>
      <c r="H297" s="61" t="s">
        <v>42</v>
      </c>
      <c r="I297" s="61" t="s">
        <v>2733</v>
      </c>
      <c r="J297" s="61" t="s">
        <v>1332</v>
      </c>
      <c r="K297" s="61"/>
      <c r="L297" s="61"/>
    </row>
    <row r="298" spans="1:12" ht="27" customHeight="1">
      <c r="A298" s="61"/>
      <c r="B298" s="61" t="s">
        <v>2734</v>
      </c>
      <c r="C298" s="61" t="s">
        <v>1594</v>
      </c>
      <c r="D298" s="61" t="s">
        <v>3472</v>
      </c>
      <c r="E298" s="61" t="str">
        <f t="shared" si="4"/>
        <v>400536575</v>
      </c>
      <c r="F298" s="61" t="s">
        <v>1592</v>
      </c>
      <c r="G298" s="61" t="s">
        <v>3468</v>
      </c>
      <c r="H298" s="61" t="s">
        <v>42</v>
      </c>
      <c r="I298" s="61" t="s">
        <v>2733</v>
      </c>
      <c r="J298" s="61" t="s">
        <v>1332</v>
      </c>
      <c r="K298" s="61"/>
      <c r="L298" s="61"/>
    </row>
    <row r="299" spans="1:12" ht="143.1" customHeight="1">
      <c r="A299" s="61"/>
      <c r="B299" s="61" t="s">
        <v>3473</v>
      </c>
      <c r="C299" s="61" t="s">
        <v>471</v>
      </c>
      <c r="D299" s="61" t="s">
        <v>3474</v>
      </c>
      <c r="E299" s="61" t="str">
        <f t="shared" si="4"/>
        <v>417983106</v>
      </c>
      <c r="F299" s="61" t="s">
        <v>472</v>
      </c>
      <c r="G299" s="61" t="s">
        <v>3461</v>
      </c>
      <c r="H299" s="61" t="s">
        <v>42</v>
      </c>
      <c r="I299" s="61" t="s">
        <v>2733</v>
      </c>
      <c r="J299" s="61" t="s">
        <v>3475</v>
      </c>
      <c r="K299" s="61"/>
      <c r="L299" s="61"/>
    </row>
    <row r="300" spans="1:12" ht="27" customHeight="1">
      <c r="A300" s="61"/>
      <c r="B300" s="61" t="s">
        <v>2734</v>
      </c>
      <c r="C300" s="61" t="s">
        <v>1754</v>
      </c>
      <c r="D300" s="61" t="s">
        <v>3476</v>
      </c>
      <c r="E300" s="61" t="str">
        <f t="shared" si="4"/>
        <v>401225088</v>
      </c>
      <c r="F300" s="61" t="s">
        <v>472</v>
      </c>
      <c r="G300" s="61" t="s">
        <v>3461</v>
      </c>
      <c r="H300" s="61" t="s">
        <v>42</v>
      </c>
      <c r="I300" s="61" t="s">
        <v>2733</v>
      </c>
      <c r="J300" s="61" t="s">
        <v>1332</v>
      </c>
      <c r="K300" s="61"/>
      <c r="L300" s="61"/>
    </row>
    <row r="301" spans="1:12" ht="27" customHeight="1">
      <c r="A301" s="61"/>
      <c r="B301" s="61" t="s">
        <v>2734</v>
      </c>
      <c r="C301" s="61" t="s">
        <v>1752</v>
      </c>
      <c r="D301" s="61" t="s">
        <v>3477</v>
      </c>
      <c r="E301" s="61" t="str">
        <f t="shared" si="4"/>
        <v>400538371</v>
      </c>
      <c r="F301" s="61" t="s">
        <v>3478</v>
      </c>
      <c r="G301" s="61" t="s">
        <v>3461</v>
      </c>
      <c r="H301" s="61" t="s">
        <v>42</v>
      </c>
      <c r="I301" s="61" t="s">
        <v>2733</v>
      </c>
      <c r="J301" s="61" t="s">
        <v>1332</v>
      </c>
      <c r="K301" s="61"/>
      <c r="L301" s="61"/>
    </row>
    <row r="302" spans="1:12" ht="96.95" customHeight="1">
      <c r="A302" s="61"/>
      <c r="B302" s="61" t="s">
        <v>3479</v>
      </c>
      <c r="C302" s="61" t="s">
        <v>473</v>
      </c>
      <c r="D302" s="61" t="s">
        <v>3480</v>
      </c>
      <c r="E302" s="61" t="str">
        <f t="shared" si="4"/>
        <v>417983107</v>
      </c>
      <c r="F302" s="61" t="s">
        <v>474</v>
      </c>
      <c r="G302" s="61" t="s">
        <v>3377</v>
      </c>
      <c r="H302" s="61" t="s">
        <v>42</v>
      </c>
      <c r="I302" s="61" t="s">
        <v>2733</v>
      </c>
      <c r="J302" s="61" t="s">
        <v>3481</v>
      </c>
      <c r="K302" s="61"/>
      <c r="L302" s="61"/>
    </row>
    <row r="303" spans="1:12" ht="27" customHeight="1">
      <c r="A303" s="61"/>
      <c r="B303" s="61" t="s">
        <v>2734</v>
      </c>
      <c r="C303" s="61" t="s">
        <v>1761</v>
      </c>
      <c r="D303" s="61" t="s">
        <v>3482</v>
      </c>
      <c r="E303" s="61" t="str">
        <f t="shared" si="4"/>
        <v>400465421</v>
      </c>
      <c r="F303" s="61" t="s">
        <v>474</v>
      </c>
      <c r="G303" s="61" t="s">
        <v>3377</v>
      </c>
      <c r="H303" s="61" t="s">
        <v>42</v>
      </c>
      <c r="I303" s="61" t="s">
        <v>2733</v>
      </c>
      <c r="J303" s="61" t="s">
        <v>1332</v>
      </c>
      <c r="K303" s="61"/>
      <c r="L303" s="61"/>
    </row>
    <row r="304" spans="1:12" ht="27" customHeight="1">
      <c r="A304" s="61"/>
      <c r="B304" s="61" t="s">
        <v>3483</v>
      </c>
      <c r="C304" s="61" t="s">
        <v>412</v>
      </c>
      <c r="D304" s="61" t="s">
        <v>3484</v>
      </c>
      <c r="E304" s="61" t="str">
        <f t="shared" si="4"/>
        <v>401516870</v>
      </c>
      <c r="F304" s="61" t="s">
        <v>413</v>
      </c>
      <c r="G304" s="61" t="s">
        <v>2863</v>
      </c>
      <c r="H304" s="61" t="s">
        <v>42</v>
      </c>
      <c r="I304" s="61" t="s">
        <v>2733</v>
      </c>
      <c r="J304" s="61" t="s">
        <v>3485</v>
      </c>
      <c r="K304" s="61"/>
      <c r="L304" s="61"/>
    </row>
    <row r="305" spans="1:12" ht="27" customHeight="1">
      <c r="A305" s="61"/>
      <c r="B305" s="61" t="s">
        <v>2734</v>
      </c>
      <c r="C305" s="61" t="s">
        <v>1958</v>
      </c>
      <c r="D305" s="61" t="s">
        <v>3486</v>
      </c>
      <c r="E305" s="61" t="str">
        <f t="shared" si="4"/>
        <v>417983109</v>
      </c>
      <c r="F305" s="61" t="s">
        <v>413</v>
      </c>
      <c r="G305" s="61" t="s">
        <v>2863</v>
      </c>
      <c r="H305" s="61" t="s">
        <v>42</v>
      </c>
      <c r="I305" s="61" t="s">
        <v>2733</v>
      </c>
      <c r="J305" s="61" t="s">
        <v>1332</v>
      </c>
      <c r="K305" s="61"/>
      <c r="L305" s="61"/>
    </row>
    <row r="306" spans="1:12" ht="27" customHeight="1">
      <c r="A306" s="61"/>
      <c r="B306" s="61" t="s">
        <v>3487</v>
      </c>
      <c r="C306" s="61" t="s">
        <v>421</v>
      </c>
      <c r="D306" s="61" t="s">
        <v>3488</v>
      </c>
      <c r="E306" s="61" t="str">
        <f t="shared" si="4"/>
        <v>400797925</v>
      </c>
      <c r="F306" s="61" t="s">
        <v>422</v>
      </c>
      <c r="G306" s="61" t="s">
        <v>2727</v>
      </c>
      <c r="H306" s="61" t="s">
        <v>42</v>
      </c>
      <c r="I306" s="61" t="s">
        <v>2733</v>
      </c>
      <c r="J306" s="61" t="s">
        <v>3489</v>
      </c>
      <c r="K306" s="61"/>
      <c r="L306" s="61"/>
    </row>
    <row r="307" spans="1:12" ht="27" customHeight="1">
      <c r="A307" s="61"/>
      <c r="B307" s="61" t="s">
        <v>2734</v>
      </c>
      <c r="C307" s="61" t="s">
        <v>1765</v>
      </c>
      <c r="D307" s="61" t="s">
        <v>3490</v>
      </c>
      <c r="E307" s="61" t="str">
        <f t="shared" si="4"/>
        <v>400539561</v>
      </c>
      <c r="F307" s="61" t="s">
        <v>422</v>
      </c>
      <c r="G307" s="61" t="s">
        <v>2727</v>
      </c>
      <c r="H307" s="61" t="s">
        <v>42</v>
      </c>
      <c r="I307" s="61" t="s">
        <v>2733</v>
      </c>
      <c r="J307" s="61" t="s">
        <v>1332</v>
      </c>
      <c r="K307" s="61"/>
      <c r="L307" s="61"/>
    </row>
    <row r="308" spans="1:12" ht="27" customHeight="1">
      <c r="A308" s="61"/>
      <c r="B308" s="61" t="s">
        <v>3491</v>
      </c>
      <c r="C308" s="61" t="s">
        <v>424</v>
      </c>
      <c r="D308" s="61" t="s">
        <v>3492</v>
      </c>
      <c r="E308" s="61" t="str">
        <f t="shared" si="4"/>
        <v>401524707</v>
      </c>
      <c r="F308" s="61" t="s">
        <v>425</v>
      </c>
      <c r="G308" s="61" t="s">
        <v>2730</v>
      </c>
      <c r="H308" s="61" t="s">
        <v>42</v>
      </c>
      <c r="I308" s="61" t="s">
        <v>2733</v>
      </c>
      <c r="J308" s="61" t="s">
        <v>3493</v>
      </c>
      <c r="K308" s="61"/>
      <c r="L308" s="61"/>
    </row>
    <row r="309" spans="1:12" ht="27" customHeight="1">
      <c r="A309" s="61"/>
      <c r="B309" s="61" t="s">
        <v>2734</v>
      </c>
      <c r="C309" s="61" t="s">
        <v>1759</v>
      </c>
      <c r="D309" s="61" t="s">
        <v>3494</v>
      </c>
      <c r="E309" s="61" t="str">
        <f t="shared" si="4"/>
        <v>400973101</v>
      </c>
      <c r="F309" s="61" t="s">
        <v>1757</v>
      </c>
      <c r="G309" s="61" t="s">
        <v>2730</v>
      </c>
      <c r="H309" s="61" t="s">
        <v>42</v>
      </c>
      <c r="I309" s="61" t="s">
        <v>2733</v>
      </c>
      <c r="J309" s="61" t="s">
        <v>1332</v>
      </c>
      <c r="K309" s="61"/>
      <c r="L309" s="61"/>
    </row>
    <row r="310" spans="1:12" ht="27" customHeight="1">
      <c r="A310" s="61"/>
      <c r="B310" s="61" t="s">
        <v>3495</v>
      </c>
      <c r="C310" s="61" t="s">
        <v>426</v>
      </c>
      <c r="D310" s="61" t="s">
        <v>3496</v>
      </c>
      <c r="E310" s="61" t="str">
        <f t="shared" si="4"/>
        <v>401325063</v>
      </c>
      <c r="F310" s="61" t="s">
        <v>427</v>
      </c>
      <c r="G310" s="61" t="s">
        <v>2748</v>
      </c>
      <c r="H310" s="61" t="s">
        <v>42</v>
      </c>
      <c r="I310" s="61" t="s">
        <v>2733</v>
      </c>
      <c r="J310" s="61" t="s">
        <v>3497</v>
      </c>
      <c r="K310" s="61"/>
      <c r="L310" s="61"/>
    </row>
    <row r="311" spans="1:12" ht="27" customHeight="1">
      <c r="A311" s="61"/>
      <c r="B311" s="61" t="s">
        <v>2734</v>
      </c>
      <c r="C311" s="61" t="s">
        <v>1775</v>
      </c>
      <c r="D311" s="61" t="s">
        <v>3498</v>
      </c>
      <c r="E311" s="61" t="str">
        <f t="shared" si="4"/>
        <v>400464409</v>
      </c>
      <c r="F311" s="61" t="s">
        <v>1773</v>
      </c>
      <c r="G311" s="61" t="s">
        <v>2748</v>
      </c>
      <c r="H311" s="61" t="s">
        <v>42</v>
      </c>
      <c r="I311" s="61" t="s">
        <v>2733</v>
      </c>
      <c r="J311" s="61" t="s">
        <v>1332</v>
      </c>
      <c r="K311" s="61"/>
      <c r="L311" s="61"/>
    </row>
    <row r="312" spans="1:12" ht="72.95" customHeight="1">
      <c r="A312" s="61"/>
      <c r="B312" s="61" t="s">
        <v>3499</v>
      </c>
      <c r="C312" s="61" t="s">
        <v>768</v>
      </c>
      <c r="D312" s="61" t="s">
        <v>3500</v>
      </c>
      <c r="E312" s="61" t="str">
        <f t="shared" si="4"/>
        <v>402231970</v>
      </c>
      <c r="F312" s="61" t="s">
        <v>769</v>
      </c>
      <c r="G312" s="61" t="s">
        <v>3020</v>
      </c>
      <c r="H312" s="61" t="s">
        <v>42</v>
      </c>
      <c r="I312" s="61" t="s">
        <v>2733</v>
      </c>
      <c r="J312" s="61" t="s">
        <v>3501</v>
      </c>
      <c r="K312" s="61"/>
      <c r="L312" s="61"/>
    </row>
    <row r="313" spans="1:12" ht="27" customHeight="1">
      <c r="A313" s="61"/>
      <c r="B313" s="61" t="s">
        <v>2734</v>
      </c>
      <c r="C313" s="61" t="s">
        <v>1865</v>
      </c>
      <c r="D313" s="61" t="s">
        <v>3502</v>
      </c>
      <c r="E313" s="61" t="str">
        <f t="shared" si="4"/>
        <v>400770204</v>
      </c>
      <c r="F313" s="61" t="s">
        <v>1862</v>
      </c>
      <c r="G313" s="61" t="s">
        <v>3020</v>
      </c>
      <c r="H313" s="61" t="s">
        <v>42</v>
      </c>
      <c r="I313" s="61" t="s">
        <v>2733</v>
      </c>
      <c r="J313" s="61" t="s">
        <v>1332</v>
      </c>
      <c r="K313" s="61"/>
      <c r="L313" s="61"/>
    </row>
    <row r="314" spans="1:12" ht="27" customHeight="1">
      <c r="A314" s="61"/>
      <c r="B314" s="61" t="s">
        <v>2734</v>
      </c>
      <c r="C314" s="61" t="s">
        <v>1863</v>
      </c>
      <c r="D314" s="61" t="s">
        <v>3503</v>
      </c>
      <c r="E314" s="61" t="str">
        <f t="shared" si="4"/>
        <v>400559229</v>
      </c>
      <c r="F314" s="61" t="s">
        <v>1862</v>
      </c>
      <c r="G314" s="61" t="s">
        <v>3020</v>
      </c>
      <c r="H314" s="61" t="s">
        <v>42</v>
      </c>
      <c r="I314" s="61" t="s">
        <v>2733</v>
      </c>
      <c r="J314" s="61" t="s">
        <v>1332</v>
      </c>
      <c r="K314" s="61"/>
      <c r="L314" s="61"/>
    </row>
    <row r="315" spans="1:12" ht="27" customHeight="1">
      <c r="A315" s="61"/>
      <c r="B315" s="61" t="s">
        <v>3504</v>
      </c>
      <c r="C315" s="61" t="s">
        <v>428</v>
      </c>
      <c r="D315" s="61" t="s">
        <v>3505</v>
      </c>
      <c r="E315" s="61" t="str">
        <f t="shared" si="4"/>
        <v>400713753</v>
      </c>
      <c r="F315" s="61" t="s">
        <v>3506</v>
      </c>
      <c r="G315" s="61" t="s">
        <v>2748</v>
      </c>
      <c r="H315" s="61" t="s">
        <v>42</v>
      </c>
      <c r="I315" s="61" t="s">
        <v>2733</v>
      </c>
      <c r="J315" s="61" t="s">
        <v>3507</v>
      </c>
      <c r="K315" s="61"/>
      <c r="L315" s="61"/>
    </row>
    <row r="316" spans="1:12" ht="27" customHeight="1">
      <c r="A316" s="61"/>
      <c r="B316" s="61" t="s">
        <v>2734</v>
      </c>
      <c r="C316" s="61" t="s">
        <v>2590</v>
      </c>
      <c r="D316" s="61" t="s">
        <v>3508</v>
      </c>
      <c r="E316" s="61" t="str">
        <f t="shared" si="4"/>
        <v>400539543</v>
      </c>
      <c r="F316" s="61" t="s">
        <v>2587</v>
      </c>
      <c r="G316" s="61" t="s">
        <v>2748</v>
      </c>
      <c r="H316" s="61" t="s">
        <v>42</v>
      </c>
      <c r="I316" s="61" t="s">
        <v>2733</v>
      </c>
      <c r="J316" s="61" t="s">
        <v>1332</v>
      </c>
      <c r="K316" s="61"/>
      <c r="L316" s="61"/>
    </row>
    <row r="317" spans="1:12" ht="27" customHeight="1">
      <c r="A317" s="61"/>
      <c r="B317" s="61" t="s">
        <v>3509</v>
      </c>
      <c r="C317" s="61" t="s">
        <v>475</v>
      </c>
      <c r="D317" s="61" t="s">
        <v>3510</v>
      </c>
      <c r="E317" s="61" t="str">
        <f t="shared" si="4"/>
        <v>417983119</v>
      </c>
      <c r="F317" s="61" t="s">
        <v>476</v>
      </c>
      <c r="G317" s="61" t="s">
        <v>2751</v>
      </c>
      <c r="H317" s="61" t="s">
        <v>42</v>
      </c>
      <c r="I317" s="61" t="s">
        <v>2733</v>
      </c>
      <c r="J317" s="61" t="s">
        <v>3511</v>
      </c>
      <c r="K317" s="61"/>
      <c r="L317" s="61"/>
    </row>
    <row r="318" spans="1:12" ht="27" customHeight="1">
      <c r="A318" s="61"/>
      <c r="B318" s="61" t="s">
        <v>2734</v>
      </c>
      <c r="C318" s="61" t="s">
        <v>1780</v>
      </c>
      <c r="D318" s="61" t="s">
        <v>3512</v>
      </c>
      <c r="E318" s="61" t="str">
        <f t="shared" si="4"/>
        <v>400544547</v>
      </c>
      <c r="F318" s="61" t="s">
        <v>3513</v>
      </c>
      <c r="G318" s="61" t="s">
        <v>2751</v>
      </c>
      <c r="H318" s="61" t="s">
        <v>42</v>
      </c>
      <c r="I318" s="61" t="s">
        <v>2733</v>
      </c>
      <c r="J318" s="61" t="s">
        <v>1332</v>
      </c>
      <c r="K318" s="61"/>
      <c r="L318" s="61"/>
    </row>
    <row r="319" spans="1:12" ht="62.1" customHeight="1">
      <c r="A319" s="61"/>
      <c r="B319" s="61" t="s">
        <v>3514</v>
      </c>
      <c r="C319" s="61" t="s">
        <v>477</v>
      </c>
      <c r="D319" s="61" t="s">
        <v>3515</v>
      </c>
      <c r="E319" s="61" t="str">
        <f t="shared" si="4"/>
        <v>417983120</v>
      </c>
      <c r="F319" s="61" t="s">
        <v>478</v>
      </c>
      <c r="G319" s="61" t="s">
        <v>2906</v>
      </c>
      <c r="H319" s="61" t="s">
        <v>42</v>
      </c>
      <c r="I319" s="61" t="s">
        <v>2733</v>
      </c>
      <c r="J319" s="61" t="s">
        <v>3516</v>
      </c>
      <c r="K319" s="61"/>
      <c r="L319" s="61"/>
    </row>
    <row r="320" spans="1:12" ht="27" customHeight="1">
      <c r="A320" s="61"/>
      <c r="B320" s="61" t="s">
        <v>2734</v>
      </c>
      <c r="C320" s="61" t="s">
        <v>2633</v>
      </c>
      <c r="D320" s="61" t="s">
        <v>3517</v>
      </c>
      <c r="E320" s="61" t="str">
        <f t="shared" si="4"/>
        <v>400624125</v>
      </c>
      <c r="F320" s="61" t="s">
        <v>478</v>
      </c>
      <c r="G320" s="61" t="s">
        <v>2906</v>
      </c>
      <c r="H320" s="61" t="s">
        <v>42</v>
      </c>
      <c r="I320" s="61" t="s">
        <v>2733</v>
      </c>
      <c r="J320" s="61" t="s">
        <v>1332</v>
      </c>
      <c r="K320" s="61"/>
      <c r="L320" s="61"/>
    </row>
    <row r="321" spans="1:12" ht="27" customHeight="1">
      <c r="A321" s="61"/>
      <c r="B321" s="61" t="s">
        <v>2734</v>
      </c>
      <c r="C321" s="61" t="s">
        <v>2631</v>
      </c>
      <c r="D321" s="61" t="s">
        <v>3518</v>
      </c>
      <c r="E321" s="61" t="str">
        <f t="shared" si="4"/>
        <v>400539538</v>
      </c>
      <c r="F321" s="61" t="s">
        <v>478</v>
      </c>
      <c r="G321" s="61" t="s">
        <v>2906</v>
      </c>
      <c r="H321" s="61" t="s">
        <v>42</v>
      </c>
      <c r="I321" s="61" t="s">
        <v>2733</v>
      </c>
      <c r="J321" s="61" t="s">
        <v>1332</v>
      </c>
      <c r="K321" s="61"/>
      <c r="L321" s="61"/>
    </row>
    <row r="322" spans="1:12" ht="50.1" customHeight="1">
      <c r="A322" s="61"/>
      <c r="B322" s="61" t="s">
        <v>3519</v>
      </c>
      <c r="C322" s="61" t="s">
        <v>431</v>
      </c>
      <c r="D322" s="61" t="s">
        <v>3520</v>
      </c>
      <c r="E322" s="61" t="str">
        <f t="shared" si="4"/>
        <v>400713754</v>
      </c>
      <c r="F322" s="61" t="s">
        <v>432</v>
      </c>
      <c r="G322" s="61" t="s">
        <v>2960</v>
      </c>
      <c r="H322" s="61" t="s">
        <v>42</v>
      </c>
      <c r="I322" s="61" t="s">
        <v>2733</v>
      </c>
      <c r="J322" s="61" t="s">
        <v>3521</v>
      </c>
      <c r="K322" s="61"/>
      <c r="L322" s="61"/>
    </row>
    <row r="323" spans="1:12" ht="27" customHeight="1">
      <c r="A323" s="61"/>
      <c r="B323" s="61" t="s">
        <v>2734</v>
      </c>
      <c r="C323" s="61" t="s">
        <v>1789</v>
      </c>
      <c r="D323" s="61" t="s">
        <v>3522</v>
      </c>
      <c r="E323" s="61" t="str">
        <f t="shared" ref="E323:E386" si="5">LEFT(D323,9)</f>
        <v>400539548</v>
      </c>
      <c r="F323" s="61" t="s">
        <v>1788</v>
      </c>
      <c r="G323" s="61" t="s">
        <v>2960</v>
      </c>
      <c r="H323" s="61" t="s">
        <v>42</v>
      </c>
      <c r="I323" s="61" t="s">
        <v>2733</v>
      </c>
      <c r="J323" s="61" t="s">
        <v>1332</v>
      </c>
      <c r="K323" s="61"/>
      <c r="L323" s="61"/>
    </row>
    <row r="324" spans="1:12" ht="165.95" customHeight="1">
      <c r="A324" s="61"/>
      <c r="B324" s="61" t="s">
        <v>3523</v>
      </c>
      <c r="C324" s="61" t="s">
        <v>483</v>
      </c>
      <c r="D324" s="61" t="s">
        <v>3524</v>
      </c>
      <c r="E324" s="61" t="str">
        <f t="shared" si="5"/>
        <v>417350122</v>
      </c>
      <c r="F324" s="61" t="s">
        <v>484</v>
      </c>
      <c r="G324" s="61" t="s">
        <v>3525</v>
      </c>
      <c r="H324" s="61" t="s">
        <v>42</v>
      </c>
      <c r="I324" s="61" t="s">
        <v>2733</v>
      </c>
      <c r="J324" s="61" t="s">
        <v>3526</v>
      </c>
      <c r="K324" s="61"/>
      <c r="L324" s="61"/>
    </row>
    <row r="325" spans="1:12" ht="27" customHeight="1">
      <c r="A325" s="61"/>
      <c r="B325" s="61" t="s">
        <v>2734</v>
      </c>
      <c r="C325" s="61" t="s">
        <v>1691</v>
      </c>
      <c r="D325" s="61" t="s">
        <v>3527</v>
      </c>
      <c r="E325" s="61" t="str">
        <f t="shared" si="5"/>
        <v>401064862</v>
      </c>
      <c r="F325" s="61" t="s">
        <v>3528</v>
      </c>
      <c r="G325" s="61" t="s">
        <v>3525</v>
      </c>
      <c r="H325" s="61" t="s">
        <v>42</v>
      </c>
      <c r="I325" s="61" t="s">
        <v>2733</v>
      </c>
      <c r="J325" s="61" t="s">
        <v>1332</v>
      </c>
      <c r="K325" s="61"/>
      <c r="L325" s="61"/>
    </row>
    <row r="326" spans="1:12" ht="27" customHeight="1">
      <c r="A326" s="61"/>
      <c r="B326" s="61" t="s">
        <v>2734</v>
      </c>
      <c r="C326" s="61" t="s">
        <v>3529</v>
      </c>
      <c r="D326" s="61" t="s">
        <v>3530</v>
      </c>
      <c r="E326" s="61" t="str">
        <f t="shared" si="5"/>
        <v>400536587</v>
      </c>
      <c r="F326" s="61" t="s">
        <v>484</v>
      </c>
      <c r="G326" s="61" t="s">
        <v>3525</v>
      </c>
      <c r="H326" s="61" t="s">
        <v>42</v>
      </c>
      <c r="I326" s="61" t="s">
        <v>2733</v>
      </c>
      <c r="J326" s="61" t="s">
        <v>1332</v>
      </c>
      <c r="K326" s="61"/>
      <c r="L326" s="61"/>
    </row>
    <row r="327" spans="1:12" ht="27" customHeight="1">
      <c r="A327" s="61"/>
      <c r="B327" s="61" t="s">
        <v>3531</v>
      </c>
      <c r="C327" s="61" t="s">
        <v>467</v>
      </c>
      <c r="D327" s="61" t="s">
        <v>3532</v>
      </c>
      <c r="E327" s="61" t="str">
        <f t="shared" si="5"/>
        <v>425288485</v>
      </c>
      <c r="F327" s="61" t="s">
        <v>468</v>
      </c>
      <c r="G327" s="61" t="s">
        <v>2727</v>
      </c>
      <c r="H327" s="61" t="s">
        <v>42</v>
      </c>
      <c r="I327" s="61" t="s">
        <v>2733</v>
      </c>
      <c r="J327" s="61" t="s">
        <v>3533</v>
      </c>
      <c r="K327" s="61"/>
      <c r="L327" s="61"/>
    </row>
    <row r="328" spans="1:12" ht="27" customHeight="1">
      <c r="A328" s="61"/>
      <c r="B328" s="61" t="s">
        <v>2734</v>
      </c>
      <c r="C328" s="61" t="s">
        <v>1655</v>
      </c>
      <c r="D328" s="61" t="s">
        <v>3534</v>
      </c>
      <c r="E328" s="61" t="str">
        <f t="shared" si="5"/>
        <v>401172731</v>
      </c>
      <c r="F328" s="61" t="s">
        <v>1652</v>
      </c>
      <c r="G328" s="61" t="s">
        <v>2727</v>
      </c>
      <c r="H328" s="61" t="s">
        <v>42</v>
      </c>
      <c r="I328" s="61" t="s">
        <v>2733</v>
      </c>
      <c r="J328" s="61" t="s">
        <v>1332</v>
      </c>
      <c r="K328" s="61"/>
      <c r="L328" s="61"/>
    </row>
    <row r="329" spans="1:12" ht="27" customHeight="1">
      <c r="A329" s="61"/>
      <c r="B329" s="61" t="s">
        <v>2734</v>
      </c>
      <c r="C329" s="61" t="s">
        <v>1653</v>
      </c>
      <c r="D329" s="61" t="s">
        <v>3535</v>
      </c>
      <c r="E329" s="61" t="str">
        <f t="shared" si="5"/>
        <v>400326314</v>
      </c>
      <c r="F329" s="61" t="s">
        <v>1652</v>
      </c>
      <c r="G329" s="61" t="s">
        <v>2727</v>
      </c>
      <c r="H329" s="61" t="s">
        <v>42</v>
      </c>
      <c r="I329" s="61" t="s">
        <v>2733</v>
      </c>
      <c r="J329" s="61" t="s">
        <v>1332</v>
      </c>
      <c r="K329" s="61"/>
      <c r="L329" s="61"/>
    </row>
    <row r="330" spans="1:12" ht="27" customHeight="1">
      <c r="A330" s="61"/>
      <c r="B330" s="61" t="s">
        <v>3536</v>
      </c>
      <c r="C330" s="61" t="s">
        <v>433</v>
      </c>
      <c r="D330" s="61" t="s">
        <v>3537</v>
      </c>
      <c r="E330" s="61" t="str">
        <f t="shared" si="5"/>
        <v>400539544</v>
      </c>
      <c r="F330" s="61" t="s">
        <v>434</v>
      </c>
      <c r="G330" s="61" t="s">
        <v>2730</v>
      </c>
      <c r="H330" s="61" t="s">
        <v>42</v>
      </c>
      <c r="I330" s="61" t="s">
        <v>2733</v>
      </c>
      <c r="J330" s="61" t="s">
        <v>3538</v>
      </c>
      <c r="K330" s="61"/>
      <c r="L330" s="61"/>
    </row>
    <row r="331" spans="1:12" ht="27" customHeight="1">
      <c r="A331" s="61"/>
      <c r="B331" s="61" t="s">
        <v>3539</v>
      </c>
      <c r="C331" s="61" t="s">
        <v>487</v>
      </c>
      <c r="D331" s="61" t="s">
        <v>3540</v>
      </c>
      <c r="E331" s="61" t="str">
        <f t="shared" si="5"/>
        <v>417983122</v>
      </c>
      <c r="F331" s="61" t="s">
        <v>488</v>
      </c>
      <c r="G331" s="61" t="s">
        <v>2746</v>
      </c>
      <c r="H331" s="61" t="s">
        <v>42</v>
      </c>
      <c r="I331" s="61" t="s">
        <v>2733</v>
      </c>
      <c r="J331" s="61" t="s">
        <v>3541</v>
      </c>
      <c r="K331" s="61"/>
      <c r="L331" s="61"/>
    </row>
    <row r="332" spans="1:12" ht="27" customHeight="1">
      <c r="A332" s="61"/>
      <c r="B332" s="61" t="s">
        <v>2734</v>
      </c>
      <c r="C332" s="61" t="s">
        <v>1603</v>
      </c>
      <c r="D332" s="61" t="s">
        <v>3542</v>
      </c>
      <c r="E332" s="61" t="str">
        <f t="shared" si="5"/>
        <v>400536584</v>
      </c>
      <c r="F332" s="61" t="s">
        <v>488</v>
      </c>
      <c r="G332" s="61" t="s">
        <v>2746</v>
      </c>
      <c r="H332" s="61" t="s">
        <v>42</v>
      </c>
      <c r="I332" s="61" t="s">
        <v>2733</v>
      </c>
      <c r="J332" s="61" t="s">
        <v>1332</v>
      </c>
      <c r="K332" s="61"/>
      <c r="L332" s="61"/>
    </row>
    <row r="333" spans="1:12" ht="27" customHeight="1">
      <c r="A333" s="61"/>
      <c r="B333" s="61" t="s">
        <v>2734</v>
      </c>
      <c r="C333" s="61" t="s">
        <v>1602</v>
      </c>
      <c r="D333" s="61" t="s">
        <v>3543</v>
      </c>
      <c r="E333" s="61" t="str">
        <f t="shared" si="5"/>
        <v>400326236</v>
      </c>
      <c r="F333" s="61" t="s">
        <v>488</v>
      </c>
      <c r="G333" s="61" t="s">
        <v>2746</v>
      </c>
      <c r="H333" s="61" t="s">
        <v>42</v>
      </c>
      <c r="I333" s="61" t="s">
        <v>2733</v>
      </c>
      <c r="J333" s="61" t="s">
        <v>1332</v>
      </c>
      <c r="K333" s="61"/>
      <c r="L333" s="61"/>
    </row>
    <row r="334" spans="1:12" ht="27" customHeight="1">
      <c r="A334" s="61"/>
      <c r="B334" s="61" t="s">
        <v>3544</v>
      </c>
      <c r="C334" s="61" t="s">
        <v>435</v>
      </c>
      <c r="D334" s="61" t="s">
        <v>3545</v>
      </c>
      <c r="E334" s="61" t="str">
        <f t="shared" si="5"/>
        <v>400538384</v>
      </c>
      <c r="F334" s="61" t="s">
        <v>436</v>
      </c>
      <c r="G334" s="61" t="s">
        <v>2727</v>
      </c>
      <c r="H334" s="61" t="s">
        <v>42</v>
      </c>
      <c r="I334" s="61" t="s">
        <v>2733</v>
      </c>
      <c r="J334" s="61" t="s">
        <v>3546</v>
      </c>
      <c r="K334" s="61"/>
      <c r="L334" s="61"/>
    </row>
    <row r="335" spans="1:12" ht="72.95" customHeight="1">
      <c r="A335" s="61"/>
      <c r="B335" s="61" t="s">
        <v>3547</v>
      </c>
      <c r="C335" s="61" t="s">
        <v>437</v>
      </c>
      <c r="D335" s="61" t="s">
        <v>3548</v>
      </c>
      <c r="E335" s="61" t="str">
        <f t="shared" si="5"/>
        <v>400326307</v>
      </c>
      <c r="F335" s="61" t="s">
        <v>438</v>
      </c>
      <c r="G335" s="61" t="s">
        <v>2863</v>
      </c>
      <c r="H335" s="61" t="s">
        <v>42</v>
      </c>
      <c r="I335" s="61" t="s">
        <v>2733</v>
      </c>
      <c r="J335" s="61" t="s">
        <v>3549</v>
      </c>
      <c r="K335" s="61"/>
      <c r="L335" s="61"/>
    </row>
    <row r="336" spans="1:12" ht="27" customHeight="1">
      <c r="A336" s="61"/>
      <c r="B336" s="61" t="s">
        <v>2734</v>
      </c>
      <c r="C336" s="61" t="s">
        <v>1614</v>
      </c>
      <c r="D336" s="61" t="s">
        <v>3550</v>
      </c>
      <c r="E336" s="61" t="str">
        <f t="shared" si="5"/>
        <v>400536588</v>
      </c>
      <c r="F336" s="61" t="s">
        <v>438</v>
      </c>
      <c r="G336" s="61" t="s">
        <v>2863</v>
      </c>
      <c r="H336" s="61" t="s">
        <v>42</v>
      </c>
      <c r="I336" s="61" t="s">
        <v>2733</v>
      </c>
      <c r="J336" s="61" t="s">
        <v>1332</v>
      </c>
      <c r="K336" s="61"/>
      <c r="L336" s="61"/>
    </row>
    <row r="337" spans="1:12" ht="27" customHeight="1">
      <c r="A337" s="61"/>
      <c r="B337" s="61" t="s">
        <v>2734</v>
      </c>
      <c r="C337" s="61" t="s">
        <v>1616</v>
      </c>
      <c r="D337" s="61" t="s">
        <v>3551</v>
      </c>
      <c r="E337" s="61" t="str">
        <f t="shared" si="5"/>
        <v>401172740</v>
      </c>
      <c r="F337" s="61" t="s">
        <v>438</v>
      </c>
      <c r="G337" s="61" t="s">
        <v>2863</v>
      </c>
      <c r="H337" s="61" t="s">
        <v>42</v>
      </c>
      <c r="I337" s="61" t="s">
        <v>2733</v>
      </c>
      <c r="J337" s="61" t="s">
        <v>1332</v>
      </c>
      <c r="K337" s="61"/>
      <c r="L337" s="61"/>
    </row>
    <row r="338" spans="1:12" ht="27" customHeight="1">
      <c r="A338" s="61"/>
      <c r="B338" s="61" t="s">
        <v>2734</v>
      </c>
      <c r="C338" s="61" t="s">
        <v>1618</v>
      </c>
      <c r="D338" s="61" t="s">
        <v>3552</v>
      </c>
      <c r="E338" s="61" t="str">
        <f t="shared" si="5"/>
        <v>417983125</v>
      </c>
      <c r="F338" s="61" t="s">
        <v>3553</v>
      </c>
      <c r="G338" s="61" t="s">
        <v>2863</v>
      </c>
      <c r="H338" s="61" t="s">
        <v>42</v>
      </c>
      <c r="I338" s="61" t="s">
        <v>2733</v>
      </c>
      <c r="J338" s="61" t="s">
        <v>1332</v>
      </c>
      <c r="K338" s="61"/>
      <c r="L338" s="61"/>
    </row>
    <row r="339" spans="1:12" ht="27" customHeight="1">
      <c r="A339" s="61"/>
      <c r="B339" s="61" t="s">
        <v>3554</v>
      </c>
      <c r="C339" s="61" t="s">
        <v>439</v>
      </c>
      <c r="D339" s="61" t="s">
        <v>3555</v>
      </c>
      <c r="E339" s="61" t="str">
        <f t="shared" si="5"/>
        <v>400737813</v>
      </c>
      <c r="F339" s="61" t="s">
        <v>440</v>
      </c>
      <c r="G339" s="61" t="s">
        <v>2730</v>
      </c>
      <c r="H339" s="61" t="s">
        <v>42</v>
      </c>
      <c r="I339" s="61" t="s">
        <v>2733</v>
      </c>
      <c r="J339" s="61" t="s">
        <v>3556</v>
      </c>
      <c r="K339" s="61"/>
      <c r="L339" s="61"/>
    </row>
    <row r="340" spans="1:12" ht="27" customHeight="1">
      <c r="A340" s="61"/>
      <c r="B340" s="61" t="s">
        <v>2734</v>
      </c>
      <c r="C340" s="61" t="s">
        <v>1665</v>
      </c>
      <c r="D340" s="61" t="s">
        <v>3557</v>
      </c>
      <c r="E340" s="61" t="str">
        <f t="shared" si="5"/>
        <v>400538380</v>
      </c>
      <c r="F340" s="61" t="s">
        <v>1663</v>
      </c>
      <c r="G340" s="61" t="s">
        <v>2730</v>
      </c>
      <c r="H340" s="61" t="s">
        <v>42</v>
      </c>
      <c r="I340" s="61" t="s">
        <v>2733</v>
      </c>
      <c r="J340" s="61" t="s">
        <v>1332</v>
      </c>
      <c r="K340" s="61"/>
      <c r="L340" s="61"/>
    </row>
    <row r="341" spans="1:12" ht="27" customHeight="1">
      <c r="A341" s="61"/>
      <c r="B341" s="61" t="s">
        <v>2734</v>
      </c>
      <c r="C341" s="61" t="s">
        <v>1664</v>
      </c>
      <c r="D341" s="61" t="s">
        <v>3558</v>
      </c>
      <c r="E341" s="61" t="str">
        <f t="shared" si="5"/>
        <v>400302975</v>
      </c>
      <c r="F341" s="61" t="s">
        <v>1663</v>
      </c>
      <c r="G341" s="61" t="s">
        <v>2730</v>
      </c>
      <c r="H341" s="61" t="s">
        <v>42</v>
      </c>
      <c r="I341" s="61" t="s">
        <v>2733</v>
      </c>
      <c r="J341" s="61" t="s">
        <v>1332</v>
      </c>
      <c r="K341" s="61"/>
      <c r="L341" s="61"/>
    </row>
    <row r="342" spans="1:12" ht="27" customHeight="1">
      <c r="A342" s="61"/>
      <c r="B342" s="61" t="s">
        <v>3559</v>
      </c>
      <c r="C342" s="61" t="s">
        <v>485</v>
      </c>
      <c r="D342" s="61" t="s">
        <v>3560</v>
      </c>
      <c r="E342" s="61" t="str">
        <f t="shared" si="5"/>
        <v>417983130</v>
      </c>
      <c r="F342" s="61" t="s">
        <v>486</v>
      </c>
      <c r="G342" s="61" t="s">
        <v>2727</v>
      </c>
      <c r="H342" s="61" t="s">
        <v>42</v>
      </c>
      <c r="I342" s="61" t="s">
        <v>2733</v>
      </c>
      <c r="J342" s="61" t="s">
        <v>3561</v>
      </c>
      <c r="K342" s="61"/>
      <c r="L342" s="61"/>
    </row>
    <row r="343" spans="1:12" ht="27" customHeight="1">
      <c r="A343" s="61"/>
      <c r="B343" s="61" t="s">
        <v>2734</v>
      </c>
      <c r="C343" s="61" t="s">
        <v>1678</v>
      </c>
      <c r="D343" s="61" t="s">
        <v>3562</v>
      </c>
      <c r="E343" s="61" t="str">
        <f t="shared" si="5"/>
        <v>400538390</v>
      </c>
      <c r="F343" s="61" t="s">
        <v>1676</v>
      </c>
      <c r="G343" s="61" t="s">
        <v>2727</v>
      </c>
      <c r="H343" s="61" t="s">
        <v>42</v>
      </c>
      <c r="I343" s="61" t="s">
        <v>2733</v>
      </c>
      <c r="J343" s="61" t="s">
        <v>1332</v>
      </c>
      <c r="K343" s="61"/>
      <c r="L343" s="61"/>
    </row>
    <row r="344" spans="1:12" ht="27" customHeight="1">
      <c r="A344" s="61"/>
      <c r="B344" s="61" t="s">
        <v>2734</v>
      </c>
      <c r="C344" s="61" t="s">
        <v>1677</v>
      </c>
      <c r="D344" s="61" t="s">
        <v>3563</v>
      </c>
      <c r="E344" s="61" t="str">
        <f t="shared" si="5"/>
        <v>400305908</v>
      </c>
      <c r="F344" s="61" t="s">
        <v>1676</v>
      </c>
      <c r="G344" s="61" t="s">
        <v>2727</v>
      </c>
      <c r="H344" s="61" t="s">
        <v>42</v>
      </c>
      <c r="I344" s="61" t="s">
        <v>2733</v>
      </c>
      <c r="J344" s="61" t="s">
        <v>1332</v>
      </c>
      <c r="K344" s="61"/>
      <c r="L344" s="61"/>
    </row>
    <row r="345" spans="1:12" ht="27" customHeight="1">
      <c r="A345" s="61"/>
      <c r="B345" s="61" t="s">
        <v>3564</v>
      </c>
      <c r="C345" s="61" t="s">
        <v>497</v>
      </c>
      <c r="D345" s="61" t="s">
        <v>3565</v>
      </c>
      <c r="E345" s="61" t="str">
        <f t="shared" si="5"/>
        <v>417983131</v>
      </c>
      <c r="F345" s="61" t="s">
        <v>498</v>
      </c>
      <c r="G345" s="61" t="s">
        <v>2730</v>
      </c>
      <c r="H345" s="61" t="s">
        <v>42</v>
      </c>
      <c r="I345" s="61" t="s">
        <v>2733</v>
      </c>
      <c r="J345" s="61" t="s">
        <v>3566</v>
      </c>
      <c r="K345" s="61"/>
      <c r="L345" s="61"/>
    </row>
    <row r="346" spans="1:12" ht="27" customHeight="1">
      <c r="A346" s="61"/>
      <c r="B346" s="61" t="s">
        <v>2734</v>
      </c>
      <c r="C346" s="61" t="s">
        <v>1631</v>
      </c>
      <c r="D346" s="61" t="s">
        <v>3567</v>
      </c>
      <c r="E346" s="61" t="str">
        <f t="shared" si="5"/>
        <v>400737825</v>
      </c>
      <c r="F346" s="61" t="s">
        <v>498</v>
      </c>
      <c r="G346" s="61" t="s">
        <v>2730</v>
      </c>
      <c r="H346" s="61" t="s">
        <v>42</v>
      </c>
      <c r="I346" s="61" t="s">
        <v>2733</v>
      </c>
      <c r="J346" s="61" t="s">
        <v>1332</v>
      </c>
      <c r="K346" s="61"/>
      <c r="L346" s="61"/>
    </row>
    <row r="347" spans="1:12" ht="27" customHeight="1">
      <c r="A347" s="61"/>
      <c r="B347" s="61" t="s">
        <v>2734</v>
      </c>
      <c r="C347" s="61" t="s">
        <v>1626</v>
      </c>
      <c r="D347" s="61" t="s">
        <v>3568</v>
      </c>
      <c r="E347" s="61" t="str">
        <f t="shared" si="5"/>
        <v>400305931</v>
      </c>
      <c r="F347" s="61" t="s">
        <v>1625</v>
      </c>
      <c r="G347" s="61" t="s">
        <v>2730</v>
      </c>
      <c r="H347" s="61" t="s">
        <v>42</v>
      </c>
      <c r="I347" s="61" t="s">
        <v>2733</v>
      </c>
      <c r="J347" s="61" t="s">
        <v>1332</v>
      </c>
      <c r="K347" s="61"/>
      <c r="L347" s="61"/>
    </row>
    <row r="348" spans="1:12" ht="50.1" customHeight="1">
      <c r="A348" s="61"/>
      <c r="B348" s="61" t="s">
        <v>3569</v>
      </c>
      <c r="C348" s="61" t="s">
        <v>441</v>
      </c>
      <c r="D348" s="61" t="s">
        <v>3570</v>
      </c>
      <c r="E348" s="61" t="str">
        <f t="shared" si="5"/>
        <v>400538385</v>
      </c>
      <c r="F348" s="61" t="s">
        <v>442</v>
      </c>
      <c r="G348" s="61" t="s">
        <v>2794</v>
      </c>
      <c r="H348" s="61" t="s">
        <v>42</v>
      </c>
      <c r="I348" s="61" t="s">
        <v>2733</v>
      </c>
      <c r="J348" s="61" t="s">
        <v>3571</v>
      </c>
      <c r="K348" s="61"/>
      <c r="L348" s="61"/>
    </row>
    <row r="349" spans="1:12" ht="27" customHeight="1">
      <c r="A349" s="61"/>
      <c r="B349" s="61" t="s">
        <v>2734</v>
      </c>
      <c r="C349" s="61" t="s">
        <v>1673</v>
      </c>
      <c r="D349" s="61" t="s">
        <v>1671</v>
      </c>
      <c r="E349" s="61" t="str">
        <f t="shared" si="5"/>
        <v>N62145149</v>
      </c>
      <c r="F349" s="61" t="s">
        <v>3572</v>
      </c>
      <c r="G349" s="61" t="s">
        <v>2794</v>
      </c>
      <c r="H349" s="61" t="s">
        <v>42</v>
      </c>
      <c r="I349" s="61" t="s">
        <v>2733</v>
      </c>
      <c r="J349" s="61" t="s">
        <v>1332</v>
      </c>
      <c r="K349" s="61"/>
      <c r="L349" s="61"/>
    </row>
    <row r="350" spans="1:12" ht="27" customHeight="1">
      <c r="A350" s="61"/>
      <c r="B350" s="61" t="s">
        <v>3573</v>
      </c>
      <c r="C350" s="61" t="s">
        <v>499</v>
      </c>
      <c r="D350" s="61" t="s">
        <v>3574</v>
      </c>
      <c r="E350" s="61" t="str">
        <f t="shared" si="5"/>
        <v>417983135</v>
      </c>
      <c r="F350" s="61" t="s">
        <v>500</v>
      </c>
      <c r="G350" s="61" t="s">
        <v>2751</v>
      </c>
      <c r="H350" s="61" t="s">
        <v>42</v>
      </c>
      <c r="I350" s="61" t="s">
        <v>2733</v>
      </c>
      <c r="J350" s="61" t="s">
        <v>3575</v>
      </c>
      <c r="K350" s="61"/>
      <c r="L350" s="61"/>
    </row>
    <row r="351" spans="1:12" ht="27" customHeight="1">
      <c r="A351" s="61"/>
      <c r="B351" s="61" t="s">
        <v>2734</v>
      </c>
      <c r="C351" s="61" t="s">
        <v>1643</v>
      </c>
      <c r="D351" s="61" t="s">
        <v>3576</v>
      </c>
      <c r="E351" s="61" t="str">
        <f t="shared" si="5"/>
        <v>401172733</v>
      </c>
      <c r="F351" s="61" t="s">
        <v>500</v>
      </c>
      <c r="G351" s="61" t="s">
        <v>2751</v>
      </c>
      <c r="H351" s="61" t="s">
        <v>42</v>
      </c>
      <c r="I351" s="61" t="s">
        <v>2733</v>
      </c>
      <c r="J351" s="61" t="s">
        <v>1332</v>
      </c>
      <c r="K351" s="61"/>
      <c r="L351" s="61"/>
    </row>
    <row r="352" spans="1:12" ht="27" customHeight="1">
      <c r="A352" s="61"/>
      <c r="B352" s="61" t="s">
        <v>2734</v>
      </c>
      <c r="C352" s="61" t="s">
        <v>1641</v>
      </c>
      <c r="D352" s="61" t="s">
        <v>3577</v>
      </c>
      <c r="E352" s="61" t="str">
        <f t="shared" si="5"/>
        <v>400538430</v>
      </c>
      <c r="F352" s="61" t="s">
        <v>500</v>
      </c>
      <c r="G352" s="61" t="s">
        <v>2751</v>
      </c>
      <c r="H352" s="61" t="s">
        <v>42</v>
      </c>
      <c r="I352" s="61" t="s">
        <v>2733</v>
      </c>
      <c r="J352" s="61" t="s">
        <v>1332</v>
      </c>
      <c r="K352" s="61"/>
      <c r="L352" s="61"/>
    </row>
    <row r="353" spans="1:12" ht="27" customHeight="1">
      <c r="A353" s="61"/>
      <c r="B353" s="61" t="s">
        <v>2734</v>
      </c>
      <c r="C353" s="61" t="s">
        <v>1640</v>
      </c>
      <c r="D353" s="61" t="s">
        <v>3578</v>
      </c>
      <c r="E353" s="61" t="str">
        <f t="shared" si="5"/>
        <v>400326313</v>
      </c>
      <c r="F353" s="61" t="s">
        <v>500</v>
      </c>
      <c r="G353" s="61" t="s">
        <v>2751</v>
      </c>
      <c r="H353" s="61" t="s">
        <v>42</v>
      </c>
      <c r="I353" s="61" t="s">
        <v>2733</v>
      </c>
      <c r="J353" s="61" t="s">
        <v>1332</v>
      </c>
      <c r="K353" s="61"/>
      <c r="L353" s="61"/>
    </row>
    <row r="354" spans="1:12" ht="318" customHeight="1">
      <c r="A354" s="61"/>
      <c r="B354" s="61" t="s">
        <v>3579</v>
      </c>
      <c r="C354" s="61" t="s">
        <v>84</v>
      </c>
      <c r="D354" s="61" t="s">
        <v>3580</v>
      </c>
      <c r="E354" s="61" t="str">
        <f t="shared" si="5"/>
        <v>414202262</v>
      </c>
      <c r="F354" s="61" t="s">
        <v>85</v>
      </c>
      <c r="G354" s="61" t="s">
        <v>3581</v>
      </c>
      <c r="H354" s="61" t="s">
        <v>42</v>
      </c>
      <c r="I354" s="61" t="s">
        <v>2733</v>
      </c>
      <c r="J354" s="61" t="s">
        <v>3582</v>
      </c>
      <c r="K354" s="61"/>
      <c r="L354" s="61"/>
    </row>
    <row r="355" spans="1:12" ht="27" customHeight="1">
      <c r="A355" s="61"/>
      <c r="B355" s="61" t="s">
        <v>2734</v>
      </c>
      <c r="C355" s="61" t="s">
        <v>1943</v>
      </c>
      <c r="D355" s="61" t="s">
        <v>3583</v>
      </c>
      <c r="E355" s="61" t="str">
        <f t="shared" si="5"/>
        <v>401494941</v>
      </c>
      <c r="F355" s="61" t="s">
        <v>1942</v>
      </c>
      <c r="G355" s="61" t="s">
        <v>3581</v>
      </c>
      <c r="H355" s="61" t="s">
        <v>42</v>
      </c>
      <c r="I355" s="61" t="s">
        <v>2733</v>
      </c>
      <c r="J355" s="61" t="s">
        <v>1332</v>
      </c>
      <c r="K355" s="61"/>
      <c r="L355" s="61"/>
    </row>
    <row r="356" spans="1:12" ht="27" customHeight="1">
      <c r="A356" s="61"/>
      <c r="B356" s="61" t="s">
        <v>2734</v>
      </c>
      <c r="C356" s="61" t="s">
        <v>1945</v>
      </c>
      <c r="D356" s="61" t="s">
        <v>3584</v>
      </c>
      <c r="E356" s="61" t="str">
        <f t="shared" si="5"/>
        <v>401507374</v>
      </c>
      <c r="F356" s="61" t="s">
        <v>85</v>
      </c>
      <c r="G356" s="61" t="s">
        <v>3581</v>
      </c>
      <c r="H356" s="61" t="s">
        <v>42</v>
      </c>
      <c r="I356" s="61" t="s">
        <v>2733</v>
      </c>
      <c r="J356" s="61" t="s">
        <v>1332</v>
      </c>
      <c r="K356" s="61"/>
      <c r="L356" s="61"/>
    </row>
    <row r="357" spans="1:12" ht="72.95" customHeight="1">
      <c r="A357" s="61"/>
      <c r="B357" s="61" t="s">
        <v>3585</v>
      </c>
      <c r="C357" s="61" t="s">
        <v>443</v>
      </c>
      <c r="D357" s="61" t="s">
        <v>3586</v>
      </c>
      <c r="E357" s="61" t="str">
        <f t="shared" si="5"/>
        <v>400468493</v>
      </c>
      <c r="F357" s="61" t="s">
        <v>444</v>
      </c>
      <c r="G357" s="61" t="s">
        <v>2860</v>
      </c>
      <c r="H357" s="61" t="s">
        <v>42</v>
      </c>
      <c r="I357" s="61" t="s">
        <v>2733</v>
      </c>
      <c r="J357" s="61" t="s">
        <v>3587</v>
      </c>
      <c r="K357" s="61"/>
      <c r="L357" s="61"/>
    </row>
    <row r="358" spans="1:12" ht="27" customHeight="1">
      <c r="A358" s="61"/>
      <c r="B358" s="61" t="s">
        <v>2734</v>
      </c>
      <c r="C358" s="61" t="s">
        <v>1822</v>
      </c>
      <c r="D358" s="61" t="s">
        <v>1820</v>
      </c>
      <c r="E358" s="61" t="str">
        <f t="shared" si="5"/>
        <v>N62149992</v>
      </c>
      <c r="F358" s="61" t="s">
        <v>3588</v>
      </c>
      <c r="G358" s="61" t="s">
        <v>2860</v>
      </c>
      <c r="H358" s="61" t="s">
        <v>42</v>
      </c>
      <c r="I358" s="61" t="s">
        <v>2733</v>
      </c>
      <c r="J358" s="61" t="s">
        <v>1332</v>
      </c>
      <c r="K358" s="61"/>
      <c r="L358" s="61"/>
    </row>
    <row r="359" spans="1:12" ht="27" customHeight="1">
      <c r="A359" s="61"/>
      <c r="B359" s="61" t="s">
        <v>3589</v>
      </c>
      <c r="C359" s="61" t="s">
        <v>445</v>
      </c>
      <c r="D359" s="61" t="s">
        <v>3590</v>
      </c>
      <c r="E359" s="61" t="str">
        <f t="shared" si="5"/>
        <v>400668884</v>
      </c>
      <c r="F359" s="61" t="s">
        <v>446</v>
      </c>
      <c r="G359" s="61" t="s">
        <v>2787</v>
      </c>
      <c r="H359" s="61" t="s">
        <v>42</v>
      </c>
      <c r="I359" s="61" t="s">
        <v>2733</v>
      </c>
      <c r="J359" s="61" t="s">
        <v>3591</v>
      </c>
      <c r="K359" s="61"/>
      <c r="L359" s="61"/>
    </row>
    <row r="360" spans="1:12" ht="27" customHeight="1">
      <c r="A360" s="61"/>
      <c r="B360" s="61" t="s">
        <v>3592</v>
      </c>
      <c r="C360" s="61" t="s">
        <v>447</v>
      </c>
      <c r="D360" s="61" t="s">
        <v>3593</v>
      </c>
      <c r="E360" s="61" t="str">
        <f t="shared" si="5"/>
        <v>401554938</v>
      </c>
      <c r="F360" s="61" t="s">
        <v>448</v>
      </c>
      <c r="G360" s="61" t="s">
        <v>2776</v>
      </c>
      <c r="H360" s="61" t="s">
        <v>42</v>
      </c>
      <c r="I360" s="61" t="s">
        <v>2733</v>
      </c>
      <c r="J360" s="61" t="s">
        <v>3594</v>
      </c>
      <c r="K360" s="61"/>
      <c r="L360" s="61"/>
    </row>
    <row r="361" spans="1:12" ht="27" customHeight="1">
      <c r="A361" s="61"/>
      <c r="B361" s="61" t="s">
        <v>2734</v>
      </c>
      <c r="C361" s="61" t="s">
        <v>1952</v>
      </c>
      <c r="D361" s="61" t="s">
        <v>3595</v>
      </c>
      <c r="E361" s="61" t="str">
        <f t="shared" si="5"/>
        <v>401503301</v>
      </c>
      <c r="F361" s="61" t="s">
        <v>448</v>
      </c>
      <c r="G361" s="61" t="s">
        <v>2776</v>
      </c>
      <c r="H361" s="61" t="s">
        <v>42</v>
      </c>
      <c r="I361" s="61" t="s">
        <v>2733</v>
      </c>
      <c r="J361" s="61" t="s">
        <v>1332</v>
      </c>
      <c r="K361" s="61"/>
      <c r="L361" s="61"/>
    </row>
    <row r="362" spans="1:12" ht="62.1" customHeight="1">
      <c r="A362" s="61"/>
      <c r="B362" s="61" t="s">
        <v>3596</v>
      </c>
      <c r="C362" s="61" t="s">
        <v>453</v>
      </c>
      <c r="D362" s="61" t="s">
        <v>3597</v>
      </c>
      <c r="E362" s="61" t="str">
        <f t="shared" si="5"/>
        <v>401571697</v>
      </c>
      <c r="F362" s="61" t="s">
        <v>454</v>
      </c>
      <c r="G362" s="61" t="s">
        <v>3051</v>
      </c>
      <c r="H362" s="61" t="s">
        <v>42</v>
      </c>
      <c r="I362" s="61" t="s">
        <v>2733</v>
      </c>
      <c r="J362" s="61" t="s">
        <v>3598</v>
      </c>
      <c r="K362" s="61"/>
      <c r="L362" s="61"/>
    </row>
    <row r="363" spans="1:12" ht="27" customHeight="1">
      <c r="A363" s="61"/>
      <c r="B363" s="61" t="s">
        <v>3599</v>
      </c>
      <c r="C363" s="61" t="s">
        <v>501</v>
      </c>
      <c r="D363" s="61" t="s">
        <v>3600</v>
      </c>
      <c r="E363" s="61" t="str">
        <f t="shared" si="5"/>
        <v>417983139</v>
      </c>
      <c r="F363" s="61" t="s">
        <v>502</v>
      </c>
      <c r="G363" s="61" t="s">
        <v>2746</v>
      </c>
      <c r="H363" s="61" t="s">
        <v>42</v>
      </c>
      <c r="I363" s="61" t="s">
        <v>2733</v>
      </c>
      <c r="J363" s="61" t="s">
        <v>3601</v>
      </c>
      <c r="K363" s="61"/>
      <c r="L363" s="61"/>
    </row>
    <row r="364" spans="1:12" ht="27" customHeight="1">
      <c r="A364" s="61"/>
      <c r="B364" s="61" t="s">
        <v>2734</v>
      </c>
      <c r="C364" s="61" t="s">
        <v>1702</v>
      </c>
      <c r="D364" s="61" t="s">
        <v>3602</v>
      </c>
      <c r="E364" s="61" t="str">
        <f t="shared" si="5"/>
        <v>401194640</v>
      </c>
      <c r="F364" s="61" t="s">
        <v>502</v>
      </c>
      <c r="G364" s="61" t="s">
        <v>2746</v>
      </c>
      <c r="H364" s="61" t="s">
        <v>42</v>
      </c>
      <c r="I364" s="61" t="s">
        <v>2733</v>
      </c>
      <c r="J364" s="61" t="s">
        <v>1332</v>
      </c>
      <c r="K364" s="61"/>
      <c r="L364" s="61"/>
    </row>
    <row r="365" spans="1:12" ht="27" customHeight="1">
      <c r="A365" s="61"/>
      <c r="B365" s="61" t="s">
        <v>2734</v>
      </c>
      <c r="C365" s="61" t="s">
        <v>1699</v>
      </c>
      <c r="D365" s="61" t="s">
        <v>3603</v>
      </c>
      <c r="E365" s="61" t="str">
        <f t="shared" si="5"/>
        <v>400663400</v>
      </c>
      <c r="F365" s="61" t="s">
        <v>1696</v>
      </c>
      <c r="G365" s="61" t="s">
        <v>2746</v>
      </c>
      <c r="H365" s="61" t="s">
        <v>42</v>
      </c>
      <c r="I365" s="61" t="s">
        <v>2733</v>
      </c>
      <c r="J365" s="61" t="s">
        <v>1332</v>
      </c>
      <c r="K365" s="61"/>
      <c r="L365" s="61"/>
    </row>
    <row r="366" spans="1:12" ht="27" customHeight="1">
      <c r="A366" s="61"/>
      <c r="B366" s="61" t="s">
        <v>3604</v>
      </c>
      <c r="C366" s="61" t="s">
        <v>455</v>
      </c>
      <c r="D366" s="61" t="s">
        <v>3605</v>
      </c>
      <c r="E366" s="61" t="str">
        <f t="shared" si="5"/>
        <v>400617087</v>
      </c>
      <c r="F366" s="61" t="s">
        <v>3606</v>
      </c>
      <c r="G366" s="61" t="s">
        <v>2730</v>
      </c>
      <c r="H366" s="61" t="s">
        <v>42</v>
      </c>
      <c r="I366" s="61" t="s">
        <v>2733</v>
      </c>
      <c r="J366" s="61" t="s">
        <v>3607</v>
      </c>
      <c r="K366" s="61"/>
      <c r="L366" s="61"/>
    </row>
    <row r="367" spans="1:12" ht="27" customHeight="1">
      <c r="A367" s="61"/>
      <c r="B367" s="61" t="s">
        <v>2734</v>
      </c>
      <c r="C367" s="61" t="s">
        <v>2622</v>
      </c>
      <c r="D367" s="61" t="s">
        <v>3608</v>
      </c>
      <c r="E367" s="61" t="str">
        <f t="shared" si="5"/>
        <v>400306761</v>
      </c>
      <c r="F367" s="61" t="s">
        <v>2621</v>
      </c>
      <c r="G367" s="61" t="s">
        <v>2730</v>
      </c>
      <c r="H367" s="61" t="s">
        <v>42</v>
      </c>
      <c r="I367" s="61" t="s">
        <v>2733</v>
      </c>
      <c r="J367" s="61" t="s">
        <v>1332</v>
      </c>
      <c r="K367" s="61"/>
      <c r="L367" s="61"/>
    </row>
    <row r="368" spans="1:12" ht="27" customHeight="1">
      <c r="A368" s="61"/>
      <c r="B368" s="61" t="s">
        <v>3609</v>
      </c>
      <c r="C368" s="61" t="s">
        <v>463</v>
      </c>
      <c r="D368" s="61" t="s">
        <v>3610</v>
      </c>
      <c r="E368" s="61" t="str">
        <f t="shared" si="5"/>
        <v>401551290</v>
      </c>
      <c r="F368" s="61" t="s">
        <v>464</v>
      </c>
      <c r="G368" s="61" t="s">
        <v>2757</v>
      </c>
      <c r="H368" s="61" t="s">
        <v>42</v>
      </c>
      <c r="I368" s="61" t="s">
        <v>2733</v>
      </c>
      <c r="J368" s="61" t="s">
        <v>3611</v>
      </c>
      <c r="K368" s="61"/>
      <c r="L368" s="61"/>
    </row>
    <row r="369" spans="1:12" ht="38.1" customHeight="1">
      <c r="A369" s="61"/>
      <c r="B369" s="61" t="s">
        <v>3612</v>
      </c>
      <c r="C369" s="61" t="s">
        <v>235</v>
      </c>
      <c r="D369" s="61" t="s">
        <v>3613</v>
      </c>
      <c r="E369" s="61" t="str">
        <f t="shared" si="5"/>
        <v>417983176</v>
      </c>
      <c r="F369" s="61" t="s">
        <v>236</v>
      </c>
      <c r="G369" s="61" t="s">
        <v>2827</v>
      </c>
      <c r="H369" s="61" t="s">
        <v>42</v>
      </c>
      <c r="I369" s="61" t="s">
        <v>2733</v>
      </c>
      <c r="J369" s="61" t="s">
        <v>3614</v>
      </c>
      <c r="K369" s="61"/>
      <c r="L369" s="61"/>
    </row>
    <row r="370" spans="1:12" ht="15.95" customHeight="1">
      <c r="A370" s="61"/>
      <c r="B370" s="61" t="s">
        <v>2734</v>
      </c>
      <c r="C370" s="61" t="s">
        <v>1726</v>
      </c>
      <c r="D370" s="61" t="s">
        <v>3615</v>
      </c>
      <c r="E370" s="61" t="str">
        <f t="shared" si="5"/>
        <v>400341082</v>
      </c>
      <c r="F370" s="61" t="s">
        <v>236</v>
      </c>
      <c r="G370" s="61" t="s">
        <v>2827</v>
      </c>
      <c r="H370" s="61" t="s">
        <v>42</v>
      </c>
      <c r="I370" s="61" t="s">
        <v>2733</v>
      </c>
      <c r="J370" s="61" t="s">
        <v>1332</v>
      </c>
      <c r="K370" s="61"/>
      <c r="L370" s="61"/>
    </row>
    <row r="371" spans="1:12" ht="15.95" customHeight="1">
      <c r="A371" s="61"/>
      <c r="B371" s="61" t="s">
        <v>3616</v>
      </c>
      <c r="C371" s="61" t="s">
        <v>1062</v>
      </c>
      <c r="D371" s="61" t="s">
        <v>3617</v>
      </c>
      <c r="E371" s="61" t="str">
        <f t="shared" si="5"/>
        <v>400341072</v>
      </c>
      <c r="F371" s="61" t="s">
        <v>1063</v>
      </c>
      <c r="G371" s="61" t="s">
        <v>2727</v>
      </c>
      <c r="H371" s="61" t="s">
        <v>42</v>
      </c>
      <c r="I371" s="61" t="s">
        <v>2733</v>
      </c>
      <c r="J371" s="61" t="s">
        <v>3618</v>
      </c>
      <c r="K371" s="61"/>
      <c r="L371" s="61"/>
    </row>
    <row r="372" spans="1:12" ht="27" customHeight="1">
      <c r="A372" s="61"/>
      <c r="B372" s="61" t="s">
        <v>3581</v>
      </c>
      <c r="C372" s="61" t="s">
        <v>251</v>
      </c>
      <c r="D372" s="61" t="s">
        <v>3619</v>
      </c>
      <c r="E372" s="61" t="str">
        <f t="shared" si="5"/>
        <v>417531783</v>
      </c>
      <c r="F372" s="61" t="s">
        <v>252</v>
      </c>
      <c r="G372" s="61" t="s">
        <v>2730</v>
      </c>
      <c r="H372" s="61" t="s">
        <v>42</v>
      </c>
      <c r="I372" s="61" t="s">
        <v>2733</v>
      </c>
      <c r="J372" s="61" t="s">
        <v>3620</v>
      </c>
      <c r="K372" s="61"/>
      <c r="L372" s="61"/>
    </row>
    <row r="373" spans="1:12" ht="15.95" customHeight="1">
      <c r="A373" s="61"/>
      <c r="B373" s="61" t="s">
        <v>2734</v>
      </c>
      <c r="C373" s="61" t="s">
        <v>3621</v>
      </c>
      <c r="D373" s="61" t="s">
        <v>3622</v>
      </c>
      <c r="E373" s="61" t="str">
        <f t="shared" si="5"/>
        <v>400026229</v>
      </c>
      <c r="F373" s="61" t="s">
        <v>252</v>
      </c>
      <c r="G373" s="61" t="s">
        <v>2730</v>
      </c>
      <c r="H373" s="61" t="s">
        <v>42</v>
      </c>
      <c r="I373" s="61" t="s">
        <v>2733</v>
      </c>
      <c r="J373" s="61" t="s">
        <v>1332</v>
      </c>
      <c r="K373" s="61"/>
      <c r="L373" s="61"/>
    </row>
    <row r="374" spans="1:12" ht="15.95" customHeight="1">
      <c r="A374" s="61"/>
      <c r="B374" s="61" t="s">
        <v>2734</v>
      </c>
      <c r="C374" s="61" t="s">
        <v>1749</v>
      </c>
      <c r="D374" s="61" t="s">
        <v>3623</v>
      </c>
      <c r="E374" s="61" t="str">
        <f t="shared" si="5"/>
        <v>400973894</v>
      </c>
      <c r="F374" s="61" t="s">
        <v>252</v>
      </c>
      <c r="G374" s="61" t="s">
        <v>2730</v>
      </c>
      <c r="H374" s="61" t="s">
        <v>42</v>
      </c>
      <c r="I374" s="61" t="s">
        <v>2733</v>
      </c>
      <c r="J374" s="61" t="s">
        <v>1332</v>
      </c>
      <c r="K374" s="61"/>
      <c r="L374" s="61"/>
    </row>
    <row r="375" spans="1:12" ht="15.95" customHeight="1">
      <c r="A375" s="61"/>
      <c r="B375" s="61" t="s">
        <v>3624</v>
      </c>
      <c r="C375" s="61" t="s">
        <v>1064</v>
      </c>
      <c r="D375" s="61" t="s">
        <v>3625</v>
      </c>
      <c r="E375" s="61" t="str">
        <f t="shared" si="5"/>
        <v>400253610</v>
      </c>
      <c r="F375" s="61" t="s">
        <v>1065</v>
      </c>
      <c r="G375" s="61" t="s">
        <v>2760</v>
      </c>
      <c r="H375" s="61" t="s">
        <v>42</v>
      </c>
      <c r="I375" s="61" t="s">
        <v>2733</v>
      </c>
      <c r="J375" s="61" t="s">
        <v>3626</v>
      </c>
      <c r="K375" s="61"/>
      <c r="L375" s="61"/>
    </row>
    <row r="376" spans="1:12" ht="27" customHeight="1">
      <c r="A376" s="61"/>
      <c r="B376" s="61" t="s">
        <v>3627</v>
      </c>
      <c r="C376" s="61" t="s">
        <v>243</v>
      </c>
      <c r="D376" s="61" t="s">
        <v>3628</v>
      </c>
      <c r="E376" s="61" t="str">
        <f t="shared" si="5"/>
        <v>417983172</v>
      </c>
      <c r="F376" s="61" t="s">
        <v>244</v>
      </c>
      <c r="G376" s="61" t="s">
        <v>3187</v>
      </c>
      <c r="H376" s="61" t="s">
        <v>42</v>
      </c>
      <c r="I376" s="61" t="s">
        <v>2733</v>
      </c>
      <c r="J376" s="61" t="s">
        <v>3629</v>
      </c>
      <c r="K376" s="61"/>
      <c r="L376" s="61"/>
    </row>
    <row r="377" spans="1:12" ht="15.95" customHeight="1">
      <c r="A377" s="61"/>
      <c r="B377" s="61" t="s">
        <v>2734</v>
      </c>
      <c r="C377" s="61" t="s">
        <v>1719</v>
      </c>
      <c r="D377" s="61" t="s">
        <v>3630</v>
      </c>
      <c r="E377" s="61" t="str">
        <f t="shared" si="5"/>
        <v>400073690</v>
      </c>
      <c r="F377" s="61" t="s">
        <v>244</v>
      </c>
      <c r="G377" s="61" t="s">
        <v>3187</v>
      </c>
      <c r="H377" s="61" t="s">
        <v>42</v>
      </c>
      <c r="I377" s="61" t="s">
        <v>2733</v>
      </c>
      <c r="J377" s="61" t="s">
        <v>1332</v>
      </c>
      <c r="K377" s="61"/>
      <c r="L377" s="61"/>
    </row>
    <row r="378" spans="1:12" ht="15.95" customHeight="1">
      <c r="A378" s="61"/>
      <c r="B378" s="61" t="s">
        <v>2734</v>
      </c>
      <c r="C378" s="61" t="s">
        <v>1720</v>
      </c>
      <c r="D378" s="61" t="s">
        <v>3631</v>
      </c>
      <c r="E378" s="61" t="str">
        <f t="shared" si="5"/>
        <v>400284360</v>
      </c>
      <c r="F378" s="61" t="s">
        <v>244</v>
      </c>
      <c r="G378" s="61" t="s">
        <v>3187</v>
      </c>
      <c r="H378" s="61" t="s">
        <v>42</v>
      </c>
      <c r="I378" s="61" t="s">
        <v>2733</v>
      </c>
      <c r="J378" s="61" t="s">
        <v>1332</v>
      </c>
      <c r="K378" s="61"/>
      <c r="L378" s="61"/>
    </row>
    <row r="379" spans="1:12" ht="27" customHeight="1">
      <c r="A379" s="61"/>
      <c r="B379" s="61" t="s">
        <v>3632</v>
      </c>
      <c r="C379" s="61" t="s">
        <v>254</v>
      </c>
      <c r="D379" s="61" t="s">
        <v>3633</v>
      </c>
      <c r="E379" s="61" t="str">
        <f t="shared" si="5"/>
        <v>417531779</v>
      </c>
      <c r="F379" s="61" t="s">
        <v>255</v>
      </c>
      <c r="G379" s="61" t="s">
        <v>2744</v>
      </c>
      <c r="H379" s="61" t="s">
        <v>42</v>
      </c>
      <c r="I379" s="61" t="s">
        <v>2733</v>
      </c>
      <c r="J379" s="61" t="s">
        <v>3634</v>
      </c>
      <c r="K379" s="61"/>
      <c r="L379" s="61"/>
    </row>
    <row r="380" spans="1:12" ht="15.95" customHeight="1">
      <c r="A380" s="61"/>
      <c r="B380" s="61" t="s">
        <v>2734</v>
      </c>
      <c r="C380" s="61" t="s">
        <v>1717</v>
      </c>
      <c r="D380" s="61" t="s">
        <v>3635</v>
      </c>
      <c r="E380" s="61" t="str">
        <f t="shared" si="5"/>
        <v>400341086</v>
      </c>
      <c r="F380" s="61" t="s">
        <v>1716</v>
      </c>
      <c r="G380" s="61" t="s">
        <v>2744</v>
      </c>
      <c r="H380" s="61" t="s">
        <v>42</v>
      </c>
      <c r="I380" s="61" t="s">
        <v>2733</v>
      </c>
      <c r="J380" s="61" t="s">
        <v>1332</v>
      </c>
      <c r="K380" s="61"/>
      <c r="L380" s="61"/>
    </row>
    <row r="381" spans="1:12" ht="15.95" customHeight="1">
      <c r="A381" s="61"/>
      <c r="B381" s="61" t="s">
        <v>3636</v>
      </c>
      <c r="C381" s="61" t="s">
        <v>1067</v>
      </c>
      <c r="D381" s="61" t="s">
        <v>3637</v>
      </c>
      <c r="E381" s="61" t="str">
        <f t="shared" si="5"/>
        <v>400341043</v>
      </c>
      <c r="F381" s="61" t="s">
        <v>1068</v>
      </c>
      <c r="G381" s="61" t="s">
        <v>2751</v>
      </c>
      <c r="H381" s="61" t="s">
        <v>42</v>
      </c>
      <c r="I381" s="61" t="s">
        <v>2733</v>
      </c>
      <c r="J381" s="61" t="s">
        <v>3638</v>
      </c>
      <c r="K381" s="61"/>
      <c r="L381" s="61"/>
    </row>
    <row r="382" spans="1:12" ht="15.95" customHeight="1">
      <c r="A382" s="61"/>
      <c r="B382" s="61" t="s">
        <v>3639</v>
      </c>
      <c r="C382" s="61" t="s">
        <v>1069</v>
      </c>
      <c r="D382" s="61" t="s">
        <v>3640</v>
      </c>
      <c r="E382" s="61" t="str">
        <f t="shared" si="5"/>
        <v>400073673</v>
      </c>
      <c r="F382" s="61" t="s">
        <v>1070</v>
      </c>
      <c r="G382" s="61" t="s">
        <v>2748</v>
      </c>
      <c r="H382" s="61" t="s">
        <v>42</v>
      </c>
      <c r="I382" s="61" t="s">
        <v>2733</v>
      </c>
      <c r="J382" s="61" t="s">
        <v>3641</v>
      </c>
      <c r="K382" s="61"/>
      <c r="L382" s="61"/>
    </row>
    <row r="383" spans="1:12" ht="50.1" customHeight="1">
      <c r="A383" s="61"/>
      <c r="B383" s="61" t="s">
        <v>3642</v>
      </c>
      <c r="C383" s="61" t="s">
        <v>1071</v>
      </c>
      <c r="D383" s="61" t="s">
        <v>3643</v>
      </c>
      <c r="E383" s="61" t="str">
        <f t="shared" si="5"/>
        <v>420905006</v>
      </c>
      <c r="F383" s="61" t="s">
        <v>1072</v>
      </c>
      <c r="G383" s="61" t="s">
        <v>2790</v>
      </c>
      <c r="H383" s="61" t="s">
        <v>42</v>
      </c>
      <c r="I383" s="61" t="s">
        <v>2733</v>
      </c>
      <c r="J383" s="61" t="s">
        <v>3644</v>
      </c>
      <c r="K383" s="61"/>
      <c r="L383" s="61"/>
    </row>
    <row r="384" spans="1:12" ht="38.1" customHeight="1">
      <c r="A384" s="61"/>
      <c r="B384" s="61" t="s">
        <v>3645</v>
      </c>
      <c r="C384" s="61" t="s">
        <v>1074</v>
      </c>
      <c r="D384" s="61" t="s">
        <v>3646</v>
      </c>
      <c r="E384" s="61" t="str">
        <f t="shared" si="5"/>
        <v>417531785</v>
      </c>
      <c r="F384" s="61" t="s">
        <v>1075</v>
      </c>
      <c r="G384" s="61" t="s">
        <v>2924</v>
      </c>
      <c r="H384" s="61" t="s">
        <v>42</v>
      </c>
      <c r="I384" s="61" t="s">
        <v>2733</v>
      </c>
      <c r="J384" s="61" t="s">
        <v>3647</v>
      </c>
      <c r="K384" s="61"/>
      <c r="L384" s="61"/>
    </row>
    <row r="385" spans="1:12" ht="27" customHeight="1">
      <c r="A385" s="61"/>
      <c r="B385" s="61" t="s">
        <v>2734</v>
      </c>
      <c r="C385" s="61" t="s">
        <v>2082</v>
      </c>
      <c r="D385" s="61" t="s">
        <v>3648</v>
      </c>
      <c r="E385" s="61" t="str">
        <f t="shared" si="5"/>
        <v>411142198</v>
      </c>
      <c r="F385" s="61" t="s">
        <v>2080</v>
      </c>
      <c r="G385" s="61" t="s">
        <v>2924</v>
      </c>
      <c r="H385" s="61" t="s">
        <v>42</v>
      </c>
      <c r="I385" s="61" t="s">
        <v>2733</v>
      </c>
      <c r="J385" s="61" t="s">
        <v>1332</v>
      </c>
      <c r="K385" s="61"/>
      <c r="L385" s="61"/>
    </row>
    <row r="386" spans="1:12" ht="27" customHeight="1">
      <c r="A386" s="61"/>
      <c r="B386" s="61" t="s">
        <v>2734</v>
      </c>
      <c r="C386" s="61" t="s">
        <v>2081</v>
      </c>
      <c r="D386" s="61" t="s">
        <v>3649</v>
      </c>
      <c r="E386" s="61" t="str">
        <f t="shared" si="5"/>
        <v>400675977</v>
      </c>
      <c r="F386" s="61" t="s">
        <v>2080</v>
      </c>
      <c r="G386" s="61" t="s">
        <v>2924</v>
      </c>
      <c r="H386" s="61" t="s">
        <v>42</v>
      </c>
      <c r="I386" s="61" t="s">
        <v>2733</v>
      </c>
      <c r="J386" s="61" t="s">
        <v>1332</v>
      </c>
      <c r="K386" s="61"/>
      <c r="L386" s="61"/>
    </row>
    <row r="387" spans="1:12" ht="50.1" customHeight="1">
      <c r="A387" s="61"/>
      <c r="B387" s="61" t="s">
        <v>3650</v>
      </c>
      <c r="C387" s="61" t="s">
        <v>461</v>
      </c>
      <c r="D387" s="61" t="s">
        <v>3651</v>
      </c>
      <c r="E387" s="61" t="str">
        <f t="shared" ref="E387:E450" si="6">LEFT(D387,9)</f>
        <v>405656805</v>
      </c>
      <c r="F387" s="61" t="s">
        <v>462</v>
      </c>
      <c r="G387" s="61" t="s">
        <v>2790</v>
      </c>
      <c r="H387" s="61" t="s">
        <v>42</v>
      </c>
      <c r="I387" s="61" t="s">
        <v>2733</v>
      </c>
      <c r="J387" s="61" t="s">
        <v>3652</v>
      </c>
      <c r="K387" s="61"/>
      <c r="L387" s="61"/>
    </row>
    <row r="388" spans="1:12" ht="15.95" customHeight="1">
      <c r="A388" s="61"/>
      <c r="B388" s="61" t="s">
        <v>2734</v>
      </c>
      <c r="C388" s="61" t="s">
        <v>1994</v>
      </c>
      <c r="D388" s="61" t="s">
        <v>3653</v>
      </c>
      <c r="E388" s="61" t="str">
        <f t="shared" si="6"/>
        <v>402192622</v>
      </c>
      <c r="F388" s="61" t="s">
        <v>462</v>
      </c>
      <c r="G388" s="61" t="s">
        <v>2790</v>
      </c>
      <c r="H388" s="61" t="s">
        <v>42</v>
      </c>
      <c r="I388" s="61" t="s">
        <v>2733</v>
      </c>
      <c r="J388" s="61" t="s">
        <v>1332</v>
      </c>
      <c r="K388" s="61"/>
      <c r="L388" s="61"/>
    </row>
    <row r="389" spans="1:12" ht="27" customHeight="1">
      <c r="A389" s="61"/>
      <c r="B389" s="61" t="s">
        <v>2734</v>
      </c>
      <c r="C389" s="61" t="s">
        <v>1993</v>
      </c>
      <c r="D389" s="61" t="s">
        <v>3654</v>
      </c>
      <c r="E389" s="61" t="str">
        <f t="shared" si="6"/>
        <v>401354469</v>
      </c>
      <c r="F389" s="61" t="s">
        <v>1991</v>
      </c>
      <c r="G389" s="61" t="s">
        <v>2790</v>
      </c>
      <c r="H389" s="61" t="s">
        <v>42</v>
      </c>
      <c r="I389" s="61" t="s">
        <v>2733</v>
      </c>
      <c r="J389" s="61" t="s">
        <v>1332</v>
      </c>
      <c r="K389" s="61"/>
      <c r="L389" s="61"/>
    </row>
    <row r="390" spans="1:12" ht="50.1" customHeight="1">
      <c r="A390" s="61"/>
      <c r="B390" s="61" t="s">
        <v>3655</v>
      </c>
      <c r="C390" s="61" t="s">
        <v>81</v>
      </c>
      <c r="D390" s="61" t="s">
        <v>3656</v>
      </c>
      <c r="E390" s="61" t="str">
        <f t="shared" si="6"/>
        <v>413658119</v>
      </c>
      <c r="F390" s="61" t="s">
        <v>82</v>
      </c>
      <c r="G390" s="61" t="s">
        <v>2790</v>
      </c>
      <c r="H390" s="61" t="s">
        <v>42</v>
      </c>
      <c r="I390" s="61" t="s">
        <v>2733</v>
      </c>
      <c r="J390" s="61" t="s">
        <v>3657</v>
      </c>
      <c r="K390" s="61"/>
      <c r="L390" s="61"/>
    </row>
    <row r="391" spans="1:12" ht="27" customHeight="1">
      <c r="A391" s="61"/>
      <c r="B391" s="61" t="s">
        <v>2734</v>
      </c>
      <c r="C391" s="61" t="s">
        <v>1961</v>
      </c>
      <c r="D391" s="61" t="s">
        <v>3658</v>
      </c>
      <c r="E391" s="61" t="str">
        <f t="shared" si="6"/>
        <v>401545790</v>
      </c>
      <c r="F391" s="61" t="s">
        <v>82</v>
      </c>
      <c r="G391" s="61" t="s">
        <v>2790</v>
      </c>
      <c r="H391" s="61" t="s">
        <v>42</v>
      </c>
      <c r="I391" s="61" t="s">
        <v>2733</v>
      </c>
      <c r="J391" s="61" t="s">
        <v>1332</v>
      </c>
      <c r="K391" s="61"/>
      <c r="L391" s="61"/>
    </row>
    <row r="392" spans="1:12" ht="50.1" customHeight="1">
      <c r="A392" s="61"/>
      <c r="B392" s="61" t="s">
        <v>3659</v>
      </c>
      <c r="C392" s="61" t="s">
        <v>449</v>
      </c>
      <c r="D392" s="61" t="s">
        <v>3660</v>
      </c>
      <c r="E392" s="61" t="str">
        <f t="shared" si="6"/>
        <v>403515526</v>
      </c>
      <c r="F392" s="61" t="s">
        <v>450</v>
      </c>
      <c r="G392" s="61" t="s">
        <v>2860</v>
      </c>
      <c r="H392" s="61" t="s">
        <v>42</v>
      </c>
      <c r="I392" s="61" t="s">
        <v>2733</v>
      </c>
      <c r="J392" s="61" t="s">
        <v>3661</v>
      </c>
      <c r="K392" s="61"/>
      <c r="L392" s="61"/>
    </row>
    <row r="393" spans="1:12" ht="270.95" customHeight="1">
      <c r="A393" s="61"/>
      <c r="B393" s="61" t="s">
        <v>3662</v>
      </c>
      <c r="C393" s="61" t="s">
        <v>523</v>
      </c>
      <c r="D393" s="61" t="s">
        <v>3663</v>
      </c>
      <c r="E393" s="61" t="str">
        <f t="shared" si="6"/>
        <v>400709578</v>
      </c>
      <c r="F393" s="61" t="s">
        <v>524</v>
      </c>
      <c r="G393" s="61" t="s">
        <v>3664</v>
      </c>
      <c r="H393" s="61" t="s">
        <v>42</v>
      </c>
      <c r="I393" s="61" t="s">
        <v>2733</v>
      </c>
      <c r="J393" s="61" t="s">
        <v>3665</v>
      </c>
      <c r="K393" s="61"/>
      <c r="L393" s="61"/>
    </row>
    <row r="394" spans="1:12" ht="15.95" customHeight="1">
      <c r="A394" s="61"/>
      <c r="B394" s="61" t="s">
        <v>2734</v>
      </c>
      <c r="C394" s="61" t="s">
        <v>1370</v>
      </c>
      <c r="D394" s="61" t="s">
        <v>3666</v>
      </c>
      <c r="E394" s="61" t="str">
        <f t="shared" si="6"/>
        <v>411170044</v>
      </c>
      <c r="F394" s="61" t="s">
        <v>721</v>
      </c>
      <c r="G394" s="61" t="s">
        <v>3664</v>
      </c>
      <c r="H394" s="61" t="s">
        <v>42</v>
      </c>
      <c r="I394" s="61" t="s">
        <v>2733</v>
      </c>
      <c r="J394" s="61" t="s">
        <v>1332</v>
      </c>
      <c r="K394" s="61"/>
      <c r="L394" s="61"/>
    </row>
    <row r="395" spans="1:12" ht="27" customHeight="1">
      <c r="A395" s="61"/>
      <c r="B395" s="61" t="s">
        <v>2734</v>
      </c>
      <c r="C395" s="61" t="s">
        <v>1368</v>
      </c>
      <c r="D395" s="61" t="s">
        <v>3667</v>
      </c>
      <c r="E395" s="61" t="str">
        <f t="shared" si="6"/>
        <v>400249752</v>
      </c>
      <c r="F395" s="61" t="s">
        <v>721</v>
      </c>
      <c r="G395" s="61" t="s">
        <v>3664</v>
      </c>
      <c r="H395" s="61" t="s">
        <v>42</v>
      </c>
      <c r="I395" s="61" t="s">
        <v>2733</v>
      </c>
      <c r="J395" s="61" t="s">
        <v>1332</v>
      </c>
      <c r="K395" s="61"/>
      <c r="L395" s="61"/>
    </row>
    <row r="396" spans="1:12" ht="62.1" customHeight="1">
      <c r="A396" s="61"/>
      <c r="B396" s="61" t="s">
        <v>3668</v>
      </c>
      <c r="C396" s="61" t="s">
        <v>531</v>
      </c>
      <c r="D396" s="61" t="s">
        <v>3669</v>
      </c>
      <c r="E396" s="61" t="str">
        <f t="shared" si="6"/>
        <v>400656752</v>
      </c>
      <c r="F396" s="61" t="s">
        <v>532</v>
      </c>
      <c r="G396" s="61" t="s">
        <v>2856</v>
      </c>
      <c r="H396" s="61" t="s">
        <v>42</v>
      </c>
      <c r="I396" s="61" t="s">
        <v>2733</v>
      </c>
      <c r="J396" s="61" t="s">
        <v>3670</v>
      </c>
      <c r="K396" s="61"/>
      <c r="L396" s="61"/>
    </row>
    <row r="397" spans="1:12" ht="27" customHeight="1">
      <c r="A397" s="61"/>
      <c r="B397" s="61" t="s">
        <v>2734</v>
      </c>
      <c r="C397" s="61" t="s">
        <v>1389</v>
      </c>
      <c r="D397" s="61" t="s">
        <v>3671</v>
      </c>
      <c r="E397" s="61" t="str">
        <f t="shared" si="6"/>
        <v>411170045</v>
      </c>
      <c r="F397" s="61" t="s">
        <v>3672</v>
      </c>
      <c r="G397" s="61" t="s">
        <v>2856</v>
      </c>
      <c r="H397" s="61" t="s">
        <v>42</v>
      </c>
      <c r="I397" s="61" t="s">
        <v>2733</v>
      </c>
      <c r="J397" s="61" t="s">
        <v>1332</v>
      </c>
      <c r="K397" s="61"/>
      <c r="L397" s="61"/>
    </row>
    <row r="398" spans="1:12" ht="27" customHeight="1">
      <c r="A398" s="61"/>
      <c r="B398" s="61" t="s">
        <v>2734</v>
      </c>
      <c r="C398" s="61" t="s">
        <v>1388</v>
      </c>
      <c r="D398" s="61" t="s">
        <v>3673</v>
      </c>
      <c r="E398" s="61" t="str">
        <f t="shared" si="6"/>
        <v>400263980</v>
      </c>
      <c r="F398" s="61" t="s">
        <v>3674</v>
      </c>
      <c r="G398" s="61" t="s">
        <v>2856</v>
      </c>
      <c r="H398" s="61" t="s">
        <v>42</v>
      </c>
      <c r="I398" s="61" t="s">
        <v>2733</v>
      </c>
      <c r="J398" s="61" t="s">
        <v>1332</v>
      </c>
      <c r="K398" s="61"/>
      <c r="L398" s="61"/>
    </row>
    <row r="399" spans="1:12" ht="84.95" customHeight="1">
      <c r="A399" s="61"/>
      <c r="B399" s="61" t="s">
        <v>3675</v>
      </c>
      <c r="C399" s="61" t="s">
        <v>533</v>
      </c>
      <c r="D399" s="61" t="s">
        <v>3676</v>
      </c>
      <c r="E399" s="61" t="str">
        <f t="shared" si="6"/>
        <v>400656753</v>
      </c>
      <c r="F399" s="61" t="s">
        <v>534</v>
      </c>
      <c r="G399" s="61" t="s">
        <v>3111</v>
      </c>
      <c r="H399" s="61" t="s">
        <v>42</v>
      </c>
      <c r="I399" s="61" t="s">
        <v>2733</v>
      </c>
      <c r="J399" s="61" t="s">
        <v>3677</v>
      </c>
      <c r="K399" s="61"/>
      <c r="L399" s="61"/>
    </row>
    <row r="400" spans="1:12" ht="27" customHeight="1">
      <c r="A400" s="61"/>
      <c r="B400" s="61" t="s">
        <v>2734</v>
      </c>
      <c r="C400" s="61" t="s">
        <v>1397</v>
      </c>
      <c r="D400" s="61" t="s">
        <v>3678</v>
      </c>
      <c r="E400" s="61" t="str">
        <f t="shared" si="6"/>
        <v>411170046</v>
      </c>
      <c r="F400" s="61" t="s">
        <v>1395</v>
      </c>
      <c r="G400" s="61" t="s">
        <v>3111</v>
      </c>
      <c r="H400" s="61" t="s">
        <v>42</v>
      </c>
      <c r="I400" s="61" t="s">
        <v>2733</v>
      </c>
      <c r="J400" s="61" t="s">
        <v>1332</v>
      </c>
      <c r="K400" s="61"/>
      <c r="L400" s="61"/>
    </row>
    <row r="401" spans="1:12" ht="27" customHeight="1">
      <c r="A401" s="61"/>
      <c r="B401" s="61" t="s">
        <v>2734</v>
      </c>
      <c r="C401" s="61" t="s">
        <v>1396</v>
      </c>
      <c r="D401" s="61" t="s">
        <v>3679</v>
      </c>
      <c r="E401" s="61" t="str">
        <f t="shared" si="6"/>
        <v>400249775</v>
      </c>
      <c r="F401" s="61" t="s">
        <v>1395</v>
      </c>
      <c r="G401" s="61" t="s">
        <v>3111</v>
      </c>
      <c r="H401" s="61" t="s">
        <v>42</v>
      </c>
      <c r="I401" s="61" t="s">
        <v>2733</v>
      </c>
      <c r="J401" s="61" t="s">
        <v>1332</v>
      </c>
      <c r="K401" s="61"/>
      <c r="L401" s="61"/>
    </row>
    <row r="402" spans="1:12" ht="189.95" customHeight="1">
      <c r="A402" s="61"/>
      <c r="B402" s="61" t="s">
        <v>3680</v>
      </c>
      <c r="C402" s="61" t="s">
        <v>535</v>
      </c>
      <c r="D402" s="61" t="s">
        <v>3681</v>
      </c>
      <c r="E402" s="61" t="str">
        <f t="shared" si="6"/>
        <v>400656755</v>
      </c>
      <c r="F402" s="61" t="s">
        <v>536</v>
      </c>
      <c r="G402" s="61" t="s">
        <v>3366</v>
      </c>
      <c r="H402" s="61" t="s">
        <v>42</v>
      </c>
      <c r="I402" s="61" t="s">
        <v>2733</v>
      </c>
      <c r="J402" s="61" t="s">
        <v>3682</v>
      </c>
      <c r="K402" s="61"/>
      <c r="L402" s="61"/>
    </row>
    <row r="403" spans="1:12" ht="27" customHeight="1">
      <c r="A403" s="61"/>
      <c r="B403" s="61" t="s">
        <v>2734</v>
      </c>
      <c r="C403" s="61" t="s">
        <v>2566</v>
      </c>
      <c r="D403" s="61" t="s">
        <v>3683</v>
      </c>
      <c r="E403" s="61" t="str">
        <f t="shared" si="6"/>
        <v>411170047</v>
      </c>
      <c r="F403" s="61" t="s">
        <v>536</v>
      </c>
      <c r="G403" s="61" t="s">
        <v>3366</v>
      </c>
      <c r="H403" s="61" t="s">
        <v>42</v>
      </c>
      <c r="I403" s="61" t="s">
        <v>2733</v>
      </c>
      <c r="J403" s="61" t="s">
        <v>1332</v>
      </c>
      <c r="K403" s="61"/>
      <c r="L403" s="61"/>
    </row>
    <row r="404" spans="1:12" ht="27" customHeight="1">
      <c r="A404" s="61"/>
      <c r="B404" s="61" t="s">
        <v>2734</v>
      </c>
      <c r="C404" s="61" t="s">
        <v>2565</v>
      </c>
      <c r="D404" s="61" t="s">
        <v>3684</v>
      </c>
      <c r="E404" s="61" t="str">
        <f t="shared" si="6"/>
        <v>400249778</v>
      </c>
      <c r="F404" s="61" t="s">
        <v>2564</v>
      </c>
      <c r="G404" s="61" t="s">
        <v>3366</v>
      </c>
      <c r="H404" s="61" t="s">
        <v>42</v>
      </c>
      <c r="I404" s="61" t="s">
        <v>2733</v>
      </c>
      <c r="J404" s="61" t="s">
        <v>1332</v>
      </c>
      <c r="K404" s="61"/>
      <c r="L404" s="61"/>
    </row>
    <row r="405" spans="1:12" ht="72.95" customHeight="1">
      <c r="A405" s="61"/>
      <c r="B405" s="61" t="s">
        <v>3685</v>
      </c>
      <c r="C405" s="61" t="s">
        <v>538</v>
      </c>
      <c r="D405" s="61" t="s">
        <v>3686</v>
      </c>
      <c r="E405" s="61" t="str">
        <f t="shared" si="6"/>
        <v>400656757</v>
      </c>
      <c r="F405" s="61" t="s">
        <v>539</v>
      </c>
      <c r="G405" s="61" t="s">
        <v>2869</v>
      </c>
      <c r="H405" s="61" t="s">
        <v>42</v>
      </c>
      <c r="I405" s="61" t="s">
        <v>2733</v>
      </c>
      <c r="J405" s="61" t="s">
        <v>3687</v>
      </c>
      <c r="K405" s="61"/>
      <c r="L405" s="61"/>
    </row>
    <row r="406" spans="1:12" ht="27" customHeight="1">
      <c r="A406" s="61"/>
      <c r="B406" s="61" t="s">
        <v>2734</v>
      </c>
      <c r="C406" s="61" t="s">
        <v>2558</v>
      </c>
      <c r="D406" s="61" t="s">
        <v>3688</v>
      </c>
      <c r="E406" s="61" t="str">
        <f t="shared" si="6"/>
        <v>411170048</v>
      </c>
      <c r="F406" s="61" t="s">
        <v>2556</v>
      </c>
      <c r="G406" s="61" t="s">
        <v>2869</v>
      </c>
      <c r="H406" s="61" t="s">
        <v>42</v>
      </c>
      <c r="I406" s="61" t="s">
        <v>2733</v>
      </c>
      <c r="J406" s="61" t="s">
        <v>1332</v>
      </c>
      <c r="K406" s="61"/>
      <c r="L406" s="61"/>
    </row>
    <row r="407" spans="1:12" ht="27" customHeight="1">
      <c r="A407" s="61"/>
      <c r="B407" s="61" t="s">
        <v>2734</v>
      </c>
      <c r="C407" s="61" t="s">
        <v>2557</v>
      </c>
      <c r="D407" s="61" t="s">
        <v>3689</v>
      </c>
      <c r="E407" s="61" t="str">
        <f t="shared" si="6"/>
        <v>400270178</v>
      </c>
      <c r="F407" s="61" t="s">
        <v>2556</v>
      </c>
      <c r="G407" s="61" t="s">
        <v>2869</v>
      </c>
      <c r="H407" s="61" t="s">
        <v>42</v>
      </c>
      <c r="I407" s="61" t="s">
        <v>2733</v>
      </c>
      <c r="J407" s="61" t="s">
        <v>1332</v>
      </c>
      <c r="K407" s="61"/>
      <c r="L407" s="61"/>
    </row>
    <row r="408" spans="1:12" ht="96.95" customHeight="1">
      <c r="A408" s="61"/>
      <c r="B408" s="61" t="s">
        <v>3690</v>
      </c>
      <c r="C408" s="61" t="s">
        <v>544</v>
      </c>
      <c r="D408" s="61" t="s">
        <v>3691</v>
      </c>
      <c r="E408" s="61" t="str">
        <f t="shared" si="6"/>
        <v>401479713</v>
      </c>
      <c r="F408" s="61" t="s">
        <v>545</v>
      </c>
      <c r="G408" s="61" t="s">
        <v>2946</v>
      </c>
      <c r="H408" s="61" t="s">
        <v>42</v>
      </c>
      <c r="I408" s="61" t="s">
        <v>2733</v>
      </c>
      <c r="J408" s="61" t="s">
        <v>3692</v>
      </c>
      <c r="K408" s="61"/>
      <c r="L408" s="61"/>
    </row>
    <row r="409" spans="1:12" ht="27" customHeight="1">
      <c r="A409" s="61"/>
      <c r="B409" s="61" t="s">
        <v>2734</v>
      </c>
      <c r="C409" s="61" t="s">
        <v>1531</v>
      </c>
      <c r="D409" s="61" t="s">
        <v>3693</v>
      </c>
      <c r="E409" s="61" t="str">
        <f t="shared" si="6"/>
        <v>411170052</v>
      </c>
      <c r="F409" s="61" t="s">
        <v>545</v>
      </c>
      <c r="G409" s="61" t="s">
        <v>2946</v>
      </c>
      <c r="H409" s="61" t="s">
        <v>42</v>
      </c>
      <c r="I409" s="61" t="s">
        <v>2733</v>
      </c>
      <c r="J409" s="61" t="s">
        <v>1332</v>
      </c>
      <c r="K409" s="61"/>
      <c r="L409" s="61"/>
    </row>
    <row r="410" spans="1:12" ht="27" customHeight="1">
      <c r="A410" s="61"/>
      <c r="B410" s="61" t="s">
        <v>2734</v>
      </c>
      <c r="C410" s="61" t="s">
        <v>1530</v>
      </c>
      <c r="D410" s="61" t="s">
        <v>3694</v>
      </c>
      <c r="E410" s="61" t="str">
        <f t="shared" si="6"/>
        <v>400292412</v>
      </c>
      <c r="F410" s="61" t="s">
        <v>545</v>
      </c>
      <c r="G410" s="61" t="s">
        <v>2946</v>
      </c>
      <c r="H410" s="61" t="s">
        <v>42</v>
      </c>
      <c r="I410" s="61" t="s">
        <v>2733</v>
      </c>
      <c r="J410" s="61" t="s">
        <v>1332</v>
      </c>
      <c r="K410" s="61"/>
      <c r="L410" s="61"/>
    </row>
    <row r="411" spans="1:12" ht="27" customHeight="1">
      <c r="A411" s="61"/>
      <c r="B411" s="61" t="s">
        <v>3695</v>
      </c>
      <c r="C411" s="61" t="s">
        <v>546</v>
      </c>
      <c r="D411" s="61" t="s">
        <v>3696</v>
      </c>
      <c r="E411" s="61" t="str">
        <f t="shared" si="6"/>
        <v>401553982</v>
      </c>
      <c r="F411" s="61" t="s">
        <v>547</v>
      </c>
      <c r="G411" s="61" t="s">
        <v>2748</v>
      </c>
      <c r="H411" s="61" t="s">
        <v>42</v>
      </c>
      <c r="I411" s="61" t="s">
        <v>2733</v>
      </c>
      <c r="J411" s="61" t="s">
        <v>3697</v>
      </c>
      <c r="K411" s="61"/>
      <c r="L411" s="61"/>
    </row>
    <row r="412" spans="1:12" ht="27" customHeight="1">
      <c r="A412" s="61"/>
      <c r="B412" s="61" t="s">
        <v>2734</v>
      </c>
      <c r="C412" s="61" t="s">
        <v>1410</v>
      </c>
      <c r="D412" s="61" t="s">
        <v>3698</v>
      </c>
      <c r="E412" s="61" t="str">
        <f t="shared" si="6"/>
        <v>411170053</v>
      </c>
      <c r="F412" s="61" t="s">
        <v>547</v>
      </c>
      <c r="G412" s="61" t="s">
        <v>2748</v>
      </c>
      <c r="H412" s="61" t="s">
        <v>42</v>
      </c>
      <c r="I412" s="61" t="s">
        <v>2733</v>
      </c>
      <c r="J412" s="61" t="s">
        <v>1332</v>
      </c>
      <c r="K412" s="61"/>
      <c r="L412" s="61"/>
    </row>
    <row r="413" spans="1:12" ht="27" customHeight="1">
      <c r="A413" s="61"/>
      <c r="B413" s="61" t="s">
        <v>2734</v>
      </c>
      <c r="C413" s="61" t="s">
        <v>1409</v>
      </c>
      <c r="D413" s="61" t="s">
        <v>3699</v>
      </c>
      <c r="E413" s="61" t="str">
        <f t="shared" si="6"/>
        <v>400271524</v>
      </c>
      <c r="F413" s="61" t="s">
        <v>547</v>
      </c>
      <c r="G413" s="61" t="s">
        <v>2748</v>
      </c>
      <c r="H413" s="61" t="s">
        <v>42</v>
      </c>
      <c r="I413" s="61" t="s">
        <v>2733</v>
      </c>
      <c r="J413" s="61" t="s">
        <v>1332</v>
      </c>
      <c r="K413" s="61"/>
      <c r="L413" s="61"/>
    </row>
    <row r="414" spans="1:12" ht="27" customHeight="1">
      <c r="A414" s="61"/>
      <c r="B414" s="61" t="s">
        <v>3700</v>
      </c>
      <c r="C414" s="61" t="s">
        <v>548</v>
      </c>
      <c r="D414" s="61" t="s">
        <v>3701</v>
      </c>
      <c r="E414" s="61" t="str">
        <f t="shared" si="6"/>
        <v>401234987</v>
      </c>
      <c r="F414" s="61" t="s">
        <v>549</v>
      </c>
      <c r="G414" s="61" t="s">
        <v>2757</v>
      </c>
      <c r="H414" s="61" t="s">
        <v>42</v>
      </c>
      <c r="I414" s="61" t="s">
        <v>2733</v>
      </c>
      <c r="J414" s="61" t="s">
        <v>3702</v>
      </c>
      <c r="K414" s="61"/>
      <c r="L414" s="61"/>
    </row>
    <row r="415" spans="1:12" ht="27" customHeight="1">
      <c r="A415" s="61"/>
      <c r="B415" s="61" t="s">
        <v>2734</v>
      </c>
      <c r="C415" s="61" t="s">
        <v>1425</v>
      </c>
      <c r="D415" s="61" t="s">
        <v>3703</v>
      </c>
      <c r="E415" s="61" t="str">
        <f t="shared" si="6"/>
        <v>411170061</v>
      </c>
      <c r="F415" s="61" t="s">
        <v>1423</v>
      </c>
      <c r="G415" s="61" t="s">
        <v>2757</v>
      </c>
      <c r="H415" s="61" t="s">
        <v>42</v>
      </c>
      <c r="I415" s="61" t="s">
        <v>2733</v>
      </c>
      <c r="J415" s="61" t="s">
        <v>1332</v>
      </c>
      <c r="K415" s="61"/>
      <c r="L415" s="61"/>
    </row>
    <row r="416" spans="1:12" ht="27" customHeight="1">
      <c r="A416" s="61"/>
      <c r="B416" s="61" t="s">
        <v>2734</v>
      </c>
      <c r="C416" s="61" t="s">
        <v>1424</v>
      </c>
      <c r="D416" s="61" t="s">
        <v>3704</v>
      </c>
      <c r="E416" s="61" t="str">
        <f t="shared" si="6"/>
        <v>400271533</v>
      </c>
      <c r="F416" s="61" t="s">
        <v>1423</v>
      </c>
      <c r="G416" s="61" t="s">
        <v>2757</v>
      </c>
      <c r="H416" s="61" t="s">
        <v>42</v>
      </c>
      <c r="I416" s="61" t="s">
        <v>2733</v>
      </c>
      <c r="J416" s="61" t="s">
        <v>1332</v>
      </c>
      <c r="K416" s="61"/>
      <c r="L416" s="61"/>
    </row>
    <row r="417" spans="1:12" ht="96.95" customHeight="1">
      <c r="A417" s="61"/>
      <c r="B417" s="61" t="s">
        <v>3705</v>
      </c>
      <c r="C417" s="61" t="s">
        <v>550</v>
      </c>
      <c r="D417" s="61" t="s">
        <v>3706</v>
      </c>
      <c r="E417" s="61" t="str">
        <f t="shared" si="6"/>
        <v>401553983</v>
      </c>
      <c r="F417" s="61" t="s">
        <v>551</v>
      </c>
      <c r="G417" s="61" t="s">
        <v>2881</v>
      </c>
      <c r="H417" s="61" t="s">
        <v>42</v>
      </c>
      <c r="I417" s="61" t="s">
        <v>2733</v>
      </c>
      <c r="J417" s="61" t="s">
        <v>3707</v>
      </c>
      <c r="K417" s="61"/>
      <c r="L417" s="61"/>
    </row>
    <row r="418" spans="1:12" ht="27" customHeight="1">
      <c r="A418" s="61"/>
      <c r="B418" s="61" t="s">
        <v>2734</v>
      </c>
      <c r="C418" s="61" t="s">
        <v>1511</v>
      </c>
      <c r="D418" s="61" t="s">
        <v>3708</v>
      </c>
      <c r="E418" s="61" t="str">
        <f t="shared" si="6"/>
        <v>411170063</v>
      </c>
      <c r="F418" s="61" t="s">
        <v>551</v>
      </c>
      <c r="G418" s="61" t="s">
        <v>2881</v>
      </c>
      <c r="H418" s="61" t="s">
        <v>42</v>
      </c>
      <c r="I418" s="61" t="s">
        <v>2733</v>
      </c>
      <c r="J418" s="61" t="s">
        <v>1332</v>
      </c>
      <c r="K418" s="61"/>
      <c r="L418" s="61"/>
    </row>
    <row r="419" spans="1:12" ht="27" customHeight="1">
      <c r="A419" s="61"/>
      <c r="B419" s="61" t="s">
        <v>2734</v>
      </c>
      <c r="C419" s="61" t="s">
        <v>1510</v>
      </c>
      <c r="D419" s="61" t="s">
        <v>3709</v>
      </c>
      <c r="E419" s="61" t="str">
        <f t="shared" si="6"/>
        <v>400292464</v>
      </c>
      <c r="F419" s="61" t="s">
        <v>551</v>
      </c>
      <c r="G419" s="61" t="s">
        <v>2881</v>
      </c>
      <c r="H419" s="61" t="s">
        <v>42</v>
      </c>
      <c r="I419" s="61" t="s">
        <v>2733</v>
      </c>
      <c r="J419" s="61" t="s">
        <v>1332</v>
      </c>
      <c r="K419" s="61"/>
      <c r="L419" s="61"/>
    </row>
    <row r="420" spans="1:12" ht="131.1" customHeight="1">
      <c r="A420" s="61"/>
      <c r="B420" s="61" t="s">
        <v>3710</v>
      </c>
      <c r="C420" s="61" t="s">
        <v>552</v>
      </c>
      <c r="D420" s="61" t="s">
        <v>3711</v>
      </c>
      <c r="E420" s="61" t="str">
        <f t="shared" si="6"/>
        <v>400656760</v>
      </c>
      <c r="F420" s="61" t="s">
        <v>553</v>
      </c>
      <c r="G420" s="61" t="s">
        <v>3483</v>
      </c>
      <c r="H420" s="61" t="s">
        <v>42</v>
      </c>
      <c r="I420" s="61" t="s">
        <v>2733</v>
      </c>
      <c r="J420" s="61" t="s">
        <v>3712</v>
      </c>
      <c r="K420" s="61"/>
      <c r="L420" s="61"/>
    </row>
    <row r="421" spans="1:12" ht="27" customHeight="1">
      <c r="A421" s="61"/>
      <c r="B421" s="61" t="s">
        <v>2734</v>
      </c>
      <c r="C421" s="61" t="s">
        <v>2537</v>
      </c>
      <c r="D421" s="61" t="s">
        <v>3713</v>
      </c>
      <c r="E421" s="61" t="str">
        <f t="shared" si="6"/>
        <v>411170066</v>
      </c>
      <c r="F421" s="61" t="s">
        <v>2535</v>
      </c>
      <c r="G421" s="61" t="s">
        <v>3483</v>
      </c>
      <c r="H421" s="61" t="s">
        <v>42</v>
      </c>
      <c r="I421" s="61" t="s">
        <v>2733</v>
      </c>
      <c r="J421" s="61" t="s">
        <v>1332</v>
      </c>
      <c r="K421" s="61"/>
      <c r="L421" s="61"/>
    </row>
    <row r="422" spans="1:12" ht="27" customHeight="1">
      <c r="A422" s="61"/>
      <c r="B422" s="61" t="s">
        <v>2734</v>
      </c>
      <c r="C422" s="61" t="s">
        <v>2536</v>
      </c>
      <c r="D422" s="61" t="s">
        <v>3714</v>
      </c>
      <c r="E422" s="61" t="str">
        <f t="shared" si="6"/>
        <v>400249781</v>
      </c>
      <c r="F422" s="61" t="s">
        <v>2535</v>
      </c>
      <c r="G422" s="61" t="s">
        <v>3483</v>
      </c>
      <c r="H422" s="61" t="s">
        <v>42</v>
      </c>
      <c r="I422" s="61" t="s">
        <v>2733</v>
      </c>
      <c r="J422" s="61" t="s">
        <v>1332</v>
      </c>
      <c r="K422" s="61"/>
      <c r="L422" s="61"/>
    </row>
    <row r="423" spans="1:12" ht="27" customHeight="1">
      <c r="A423" s="61"/>
      <c r="B423" s="61" t="s">
        <v>3463</v>
      </c>
      <c r="C423" s="61" t="s">
        <v>555</v>
      </c>
      <c r="D423" s="61" t="s">
        <v>3715</v>
      </c>
      <c r="E423" s="61" t="str">
        <f t="shared" si="6"/>
        <v>401234957</v>
      </c>
      <c r="F423" s="61" t="s">
        <v>556</v>
      </c>
      <c r="G423" s="61" t="s">
        <v>2979</v>
      </c>
      <c r="H423" s="61" t="s">
        <v>42</v>
      </c>
      <c r="I423" s="61" t="s">
        <v>2733</v>
      </c>
      <c r="J423" s="61" t="s">
        <v>3716</v>
      </c>
      <c r="K423" s="61"/>
      <c r="L423" s="61"/>
    </row>
    <row r="424" spans="1:12" ht="27" customHeight="1">
      <c r="A424" s="61"/>
      <c r="B424" s="61" t="s">
        <v>2734</v>
      </c>
      <c r="C424" s="61" t="s">
        <v>1404</v>
      </c>
      <c r="D424" s="61" t="s">
        <v>3717</v>
      </c>
      <c r="E424" s="61" t="str">
        <f t="shared" si="6"/>
        <v>411170068</v>
      </c>
      <c r="F424" s="61" t="s">
        <v>556</v>
      </c>
      <c r="G424" s="61" t="s">
        <v>2979</v>
      </c>
      <c r="H424" s="61" t="s">
        <v>42</v>
      </c>
      <c r="I424" s="61" t="s">
        <v>2733</v>
      </c>
      <c r="J424" s="61" t="s">
        <v>1332</v>
      </c>
      <c r="K424" s="61"/>
      <c r="L424" s="61"/>
    </row>
    <row r="425" spans="1:12" ht="27" customHeight="1">
      <c r="A425" s="61"/>
      <c r="B425" s="61" t="s">
        <v>2734</v>
      </c>
      <c r="C425" s="61" t="s">
        <v>1403</v>
      </c>
      <c r="D425" s="61" t="s">
        <v>3718</v>
      </c>
      <c r="E425" s="61" t="str">
        <f t="shared" si="6"/>
        <v>400263990</v>
      </c>
      <c r="F425" s="61" t="s">
        <v>556</v>
      </c>
      <c r="G425" s="61" t="s">
        <v>2979</v>
      </c>
      <c r="H425" s="61" t="s">
        <v>42</v>
      </c>
      <c r="I425" s="61" t="s">
        <v>2733</v>
      </c>
      <c r="J425" s="61" t="s">
        <v>1332</v>
      </c>
      <c r="K425" s="61"/>
      <c r="L425" s="61"/>
    </row>
    <row r="426" spans="1:12" ht="27" customHeight="1">
      <c r="A426" s="61"/>
      <c r="B426" s="61" t="s">
        <v>3719</v>
      </c>
      <c r="C426" s="61" t="s">
        <v>557</v>
      </c>
      <c r="D426" s="61" t="s">
        <v>3720</v>
      </c>
      <c r="E426" s="61" t="str">
        <f t="shared" si="6"/>
        <v>400658318</v>
      </c>
      <c r="F426" s="61" t="s">
        <v>558</v>
      </c>
      <c r="G426" s="61" t="s">
        <v>2744</v>
      </c>
      <c r="H426" s="61" t="s">
        <v>42</v>
      </c>
      <c r="I426" s="61" t="s">
        <v>2733</v>
      </c>
      <c r="J426" s="61" t="s">
        <v>3721</v>
      </c>
      <c r="K426" s="61"/>
      <c r="L426" s="61"/>
    </row>
    <row r="427" spans="1:12" ht="27" customHeight="1">
      <c r="A427" s="61"/>
      <c r="B427" s="61" t="s">
        <v>2734</v>
      </c>
      <c r="C427" s="61" t="s">
        <v>1419</v>
      </c>
      <c r="D427" s="61" t="s">
        <v>3722</v>
      </c>
      <c r="E427" s="61" t="str">
        <f t="shared" si="6"/>
        <v>411170077</v>
      </c>
      <c r="F427" s="61" t="s">
        <v>1417</v>
      </c>
      <c r="G427" s="61" t="s">
        <v>2744</v>
      </c>
      <c r="H427" s="61" t="s">
        <v>42</v>
      </c>
      <c r="I427" s="61" t="s">
        <v>2733</v>
      </c>
      <c r="J427" s="61" t="s">
        <v>1332</v>
      </c>
      <c r="K427" s="61"/>
      <c r="L427" s="61"/>
    </row>
    <row r="428" spans="1:12" ht="27" customHeight="1">
      <c r="A428" s="61"/>
      <c r="B428" s="61" t="s">
        <v>2734</v>
      </c>
      <c r="C428" s="61" t="s">
        <v>1418</v>
      </c>
      <c r="D428" s="61" t="s">
        <v>3723</v>
      </c>
      <c r="E428" s="61" t="str">
        <f t="shared" si="6"/>
        <v>400271563</v>
      </c>
      <c r="F428" s="61" t="s">
        <v>1417</v>
      </c>
      <c r="G428" s="61" t="s">
        <v>2744</v>
      </c>
      <c r="H428" s="61" t="s">
        <v>42</v>
      </c>
      <c r="I428" s="61" t="s">
        <v>2733</v>
      </c>
      <c r="J428" s="61" t="s">
        <v>1332</v>
      </c>
      <c r="K428" s="61"/>
      <c r="L428" s="61"/>
    </row>
    <row r="429" spans="1:12" ht="155.1" customHeight="1">
      <c r="A429" s="61"/>
      <c r="B429" s="61" t="s">
        <v>3724</v>
      </c>
      <c r="C429" s="61" t="s">
        <v>559</v>
      </c>
      <c r="D429" s="61" t="s">
        <v>3725</v>
      </c>
      <c r="E429" s="61" t="str">
        <f t="shared" si="6"/>
        <v>401447389</v>
      </c>
      <c r="F429" s="61" t="s">
        <v>560</v>
      </c>
      <c r="G429" s="61" t="s">
        <v>3726</v>
      </c>
      <c r="H429" s="61" t="s">
        <v>42</v>
      </c>
      <c r="I429" s="61" t="s">
        <v>2733</v>
      </c>
      <c r="J429" s="61" t="s">
        <v>3727</v>
      </c>
      <c r="K429" s="61"/>
      <c r="L429" s="61"/>
    </row>
    <row r="430" spans="1:12" ht="27" customHeight="1">
      <c r="A430" s="61"/>
      <c r="B430" s="61" t="s">
        <v>2734</v>
      </c>
      <c r="C430" s="61" t="s">
        <v>1430</v>
      </c>
      <c r="D430" s="61" t="s">
        <v>3728</v>
      </c>
      <c r="E430" s="61" t="str">
        <f t="shared" si="6"/>
        <v>411170079</v>
      </c>
      <c r="F430" s="61" t="s">
        <v>560</v>
      </c>
      <c r="G430" s="61" t="s">
        <v>3726</v>
      </c>
      <c r="H430" s="61" t="s">
        <v>42</v>
      </c>
      <c r="I430" s="61" t="s">
        <v>2733</v>
      </c>
      <c r="J430" s="61" t="s">
        <v>1332</v>
      </c>
      <c r="K430" s="61"/>
      <c r="L430" s="61"/>
    </row>
    <row r="431" spans="1:12" ht="27" customHeight="1">
      <c r="A431" s="61"/>
      <c r="B431" s="61" t="s">
        <v>2734</v>
      </c>
      <c r="C431" s="61" t="s">
        <v>1429</v>
      </c>
      <c r="D431" s="61" t="s">
        <v>3729</v>
      </c>
      <c r="E431" s="61" t="str">
        <f t="shared" si="6"/>
        <v>400292465</v>
      </c>
      <c r="F431" s="61" t="s">
        <v>560</v>
      </c>
      <c r="G431" s="61" t="s">
        <v>3726</v>
      </c>
      <c r="H431" s="61" t="s">
        <v>42</v>
      </c>
      <c r="I431" s="61" t="s">
        <v>2733</v>
      </c>
      <c r="J431" s="61" t="s">
        <v>1332</v>
      </c>
      <c r="K431" s="61"/>
      <c r="L431" s="61"/>
    </row>
    <row r="432" spans="1:12" ht="27" customHeight="1">
      <c r="A432" s="61"/>
      <c r="B432" s="61" t="s">
        <v>3730</v>
      </c>
      <c r="C432" s="61" t="s">
        <v>561</v>
      </c>
      <c r="D432" s="61" t="s">
        <v>3731</v>
      </c>
      <c r="E432" s="61" t="str">
        <f t="shared" si="6"/>
        <v>401308900</v>
      </c>
      <c r="F432" s="61" t="s">
        <v>562</v>
      </c>
      <c r="G432" s="61" t="s">
        <v>2727</v>
      </c>
      <c r="H432" s="61" t="s">
        <v>42</v>
      </c>
      <c r="I432" s="61" t="s">
        <v>2733</v>
      </c>
      <c r="J432" s="61" t="s">
        <v>3732</v>
      </c>
      <c r="K432" s="61"/>
      <c r="L432" s="61"/>
    </row>
    <row r="433" spans="1:12" ht="27" customHeight="1">
      <c r="A433" s="61"/>
      <c r="B433" s="61" t="s">
        <v>2734</v>
      </c>
      <c r="C433" s="61" t="s">
        <v>2523</v>
      </c>
      <c r="D433" s="61" t="s">
        <v>3733</v>
      </c>
      <c r="E433" s="61" t="str">
        <f t="shared" si="6"/>
        <v>411170081</v>
      </c>
      <c r="F433" s="61" t="s">
        <v>2520</v>
      </c>
      <c r="G433" s="61" t="s">
        <v>2727</v>
      </c>
      <c r="H433" s="61" t="s">
        <v>42</v>
      </c>
      <c r="I433" s="61" t="s">
        <v>2733</v>
      </c>
      <c r="J433" s="61" t="s">
        <v>1332</v>
      </c>
      <c r="K433" s="61"/>
      <c r="L433" s="61"/>
    </row>
    <row r="434" spans="1:12" ht="27" customHeight="1">
      <c r="A434" s="61"/>
      <c r="B434" s="61" t="s">
        <v>2734</v>
      </c>
      <c r="C434" s="61" t="s">
        <v>2521</v>
      </c>
      <c r="D434" s="61" t="s">
        <v>3734</v>
      </c>
      <c r="E434" s="61" t="str">
        <f t="shared" si="6"/>
        <v>400271572</v>
      </c>
      <c r="F434" s="61" t="s">
        <v>2520</v>
      </c>
      <c r="G434" s="61" t="s">
        <v>2727</v>
      </c>
      <c r="H434" s="61" t="s">
        <v>42</v>
      </c>
      <c r="I434" s="61" t="s">
        <v>2733</v>
      </c>
      <c r="J434" s="61" t="s">
        <v>1332</v>
      </c>
      <c r="K434" s="61"/>
      <c r="L434" s="61"/>
    </row>
    <row r="435" spans="1:12" ht="72.95" customHeight="1">
      <c r="A435" s="61"/>
      <c r="B435" s="61" t="s">
        <v>3735</v>
      </c>
      <c r="C435" s="61" t="s">
        <v>564</v>
      </c>
      <c r="D435" s="61" t="s">
        <v>3736</v>
      </c>
      <c r="E435" s="61" t="str">
        <f t="shared" si="6"/>
        <v>401481543</v>
      </c>
      <c r="F435" s="61" t="s">
        <v>565</v>
      </c>
      <c r="G435" s="61" t="s">
        <v>2952</v>
      </c>
      <c r="H435" s="61" t="s">
        <v>42</v>
      </c>
      <c r="I435" s="61" t="s">
        <v>2733</v>
      </c>
      <c r="J435" s="61" t="s">
        <v>3737</v>
      </c>
      <c r="K435" s="61"/>
      <c r="L435" s="61"/>
    </row>
    <row r="436" spans="1:12" ht="27" customHeight="1">
      <c r="A436" s="61"/>
      <c r="B436" s="61" t="s">
        <v>2734</v>
      </c>
      <c r="C436" s="61" t="s">
        <v>1436</v>
      </c>
      <c r="D436" s="61" t="s">
        <v>3738</v>
      </c>
      <c r="E436" s="61" t="str">
        <f t="shared" si="6"/>
        <v>411170082</v>
      </c>
      <c r="F436" s="61" t="s">
        <v>565</v>
      </c>
      <c r="G436" s="61" t="s">
        <v>2952</v>
      </c>
      <c r="H436" s="61" t="s">
        <v>42</v>
      </c>
      <c r="I436" s="61" t="s">
        <v>2733</v>
      </c>
      <c r="J436" s="61" t="s">
        <v>1332</v>
      </c>
      <c r="K436" s="61"/>
      <c r="L436" s="61"/>
    </row>
    <row r="437" spans="1:12" ht="27" customHeight="1">
      <c r="A437" s="61"/>
      <c r="B437" s="61" t="s">
        <v>2734</v>
      </c>
      <c r="C437" s="61" t="s">
        <v>1435</v>
      </c>
      <c r="D437" s="61" t="s">
        <v>3739</v>
      </c>
      <c r="E437" s="61" t="str">
        <f t="shared" si="6"/>
        <v>400279622</v>
      </c>
      <c r="F437" s="61" t="s">
        <v>565</v>
      </c>
      <c r="G437" s="61" t="s">
        <v>2952</v>
      </c>
      <c r="H437" s="61" t="s">
        <v>42</v>
      </c>
      <c r="I437" s="61" t="s">
        <v>2733</v>
      </c>
      <c r="J437" s="61" t="s">
        <v>1332</v>
      </c>
      <c r="K437" s="61"/>
      <c r="L437" s="61"/>
    </row>
    <row r="438" spans="1:12" ht="27" customHeight="1">
      <c r="A438" s="61"/>
      <c r="B438" s="61" t="s">
        <v>3740</v>
      </c>
      <c r="C438" s="61" t="s">
        <v>566</v>
      </c>
      <c r="D438" s="61" t="s">
        <v>3741</v>
      </c>
      <c r="E438" s="61" t="str">
        <f t="shared" si="6"/>
        <v>405295603</v>
      </c>
      <c r="F438" s="61" t="s">
        <v>567</v>
      </c>
      <c r="G438" s="61" t="s">
        <v>2757</v>
      </c>
      <c r="H438" s="61" t="s">
        <v>42</v>
      </c>
      <c r="I438" s="61" t="s">
        <v>2733</v>
      </c>
      <c r="J438" s="61" t="s">
        <v>3742</v>
      </c>
      <c r="K438" s="61"/>
      <c r="L438" s="61"/>
    </row>
    <row r="439" spans="1:12" ht="27" customHeight="1">
      <c r="A439" s="61"/>
      <c r="B439" s="61" t="s">
        <v>2734</v>
      </c>
      <c r="C439" s="61" t="s">
        <v>1441</v>
      </c>
      <c r="D439" s="61" t="s">
        <v>3743</v>
      </c>
      <c r="E439" s="61" t="str">
        <f t="shared" si="6"/>
        <v>411170084</v>
      </c>
      <c r="F439" s="61" t="s">
        <v>567</v>
      </c>
      <c r="G439" s="61" t="s">
        <v>2757</v>
      </c>
      <c r="H439" s="61" t="s">
        <v>42</v>
      </c>
      <c r="I439" s="61" t="s">
        <v>2733</v>
      </c>
      <c r="J439" s="61" t="s">
        <v>1332</v>
      </c>
      <c r="K439" s="61"/>
      <c r="L439" s="61"/>
    </row>
    <row r="440" spans="1:12" ht="27" customHeight="1">
      <c r="A440" s="61"/>
      <c r="B440" s="61" t="s">
        <v>2734</v>
      </c>
      <c r="C440" s="61" t="s">
        <v>1440</v>
      </c>
      <c r="D440" s="61" t="s">
        <v>3744</v>
      </c>
      <c r="E440" s="61" t="str">
        <f t="shared" si="6"/>
        <v>400292466</v>
      </c>
      <c r="F440" s="61" t="s">
        <v>567</v>
      </c>
      <c r="G440" s="61" t="s">
        <v>2757</v>
      </c>
      <c r="H440" s="61" t="s">
        <v>42</v>
      </c>
      <c r="I440" s="61" t="s">
        <v>2733</v>
      </c>
      <c r="J440" s="61" t="s">
        <v>1332</v>
      </c>
      <c r="K440" s="61"/>
      <c r="L440" s="61"/>
    </row>
    <row r="441" spans="1:12" ht="131.1" customHeight="1">
      <c r="A441" s="61"/>
      <c r="B441" s="61" t="s">
        <v>3745</v>
      </c>
      <c r="C441" s="61" t="s">
        <v>568</v>
      </c>
      <c r="D441" s="61" t="s">
        <v>3746</v>
      </c>
      <c r="E441" s="61" t="str">
        <f t="shared" si="6"/>
        <v>401553986</v>
      </c>
      <c r="F441" s="61" t="s">
        <v>569</v>
      </c>
      <c r="G441" s="61" t="s">
        <v>3039</v>
      </c>
      <c r="H441" s="61" t="s">
        <v>42</v>
      </c>
      <c r="I441" s="61" t="s">
        <v>2733</v>
      </c>
      <c r="J441" s="61" t="s">
        <v>3747</v>
      </c>
      <c r="K441" s="61"/>
      <c r="L441" s="61"/>
    </row>
    <row r="442" spans="1:12" ht="27" customHeight="1">
      <c r="A442" s="61"/>
      <c r="B442" s="61" t="s">
        <v>2734</v>
      </c>
      <c r="C442" s="61" t="s">
        <v>1536</v>
      </c>
      <c r="D442" s="61" t="s">
        <v>3748</v>
      </c>
      <c r="E442" s="61" t="str">
        <f t="shared" si="6"/>
        <v>411170088</v>
      </c>
      <c r="F442" s="61" t="s">
        <v>3749</v>
      </c>
      <c r="G442" s="61" t="s">
        <v>3039</v>
      </c>
      <c r="H442" s="61" t="s">
        <v>42</v>
      </c>
      <c r="I442" s="61" t="s">
        <v>2733</v>
      </c>
      <c r="J442" s="61" t="s">
        <v>1332</v>
      </c>
      <c r="K442" s="61"/>
      <c r="L442" s="61"/>
    </row>
    <row r="443" spans="1:12" ht="27" customHeight="1">
      <c r="A443" s="61"/>
      <c r="B443" s="61" t="s">
        <v>2734</v>
      </c>
      <c r="C443" s="61" t="s">
        <v>1535</v>
      </c>
      <c r="D443" s="61" t="s">
        <v>3750</v>
      </c>
      <c r="E443" s="61" t="str">
        <f t="shared" si="6"/>
        <v>400292469</v>
      </c>
      <c r="F443" s="61" t="s">
        <v>569</v>
      </c>
      <c r="G443" s="61" t="s">
        <v>3039</v>
      </c>
      <c r="H443" s="61" t="s">
        <v>42</v>
      </c>
      <c r="I443" s="61" t="s">
        <v>2733</v>
      </c>
      <c r="J443" s="61" t="s">
        <v>1332</v>
      </c>
      <c r="K443" s="61"/>
      <c r="L443" s="61"/>
    </row>
    <row r="444" spans="1:12" ht="27" customHeight="1">
      <c r="A444" s="61"/>
      <c r="B444" s="61" t="s">
        <v>3751</v>
      </c>
      <c r="C444" s="61" t="s">
        <v>570</v>
      </c>
      <c r="D444" s="61" t="s">
        <v>3752</v>
      </c>
      <c r="E444" s="61" t="str">
        <f t="shared" si="6"/>
        <v>400658323</v>
      </c>
      <c r="F444" s="61" t="s">
        <v>571</v>
      </c>
      <c r="G444" s="61" t="s">
        <v>2764</v>
      </c>
      <c r="H444" s="61" t="s">
        <v>42</v>
      </c>
      <c r="I444" s="61" t="s">
        <v>2733</v>
      </c>
      <c r="J444" s="61" t="s">
        <v>3753</v>
      </c>
      <c r="K444" s="61"/>
      <c r="L444" s="61"/>
    </row>
    <row r="445" spans="1:12" ht="27" customHeight="1">
      <c r="A445" s="61"/>
      <c r="B445" s="61" t="s">
        <v>2734</v>
      </c>
      <c r="C445" s="61" t="s">
        <v>1337</v>
      </c>
      <c r="D445" s="61" t="s">
        <v>3754</v>
      </c>
      <c r="E445" s="61" t="str">
        <f t="shared" si="6"/>
        <v>411170089</v>
      </c>
      <c r="F445" s="61" t="s">
        <v>1334</v>
      </c>
      <c r="G445" s="61" t="s">
        <v>2764</v>
      </c>
      <c r="H445" s="61" t="s">
        <v>42</v>
      </c>
      <c r="I445" s="61" t="s">
        <v>2733</v>
      </c>
      <c r="J445" s="61" t="s">
        <v>1332</v>
      </c>
      <c r="K445" s="61"/>
      <c r="L445" s="61"/>
    </row>
    <row r="446" spans="1:12" ht="27" customHeight="1">
      <c r="A446" s="61"/>
      <c r="B446" s="61" t="s">
        <v>2734</v>
      </c>
      <c r="C446" s="61" t="s">
        <v>1335</v>
      </c>
      <c r="D446" s="61" t="s">
        <v>3755</v>
      </c>
      <c r="E446" s="61" t="str">
        <f t="shared" si="6"/>
        <v>400263993</v>
      </c>
      <c r="F446" s="61" t="s">
        <v>1334</v>
      </c>
      <c r="G446" s="61" t="s">
        <v>2764</v>
      </c>
      <c r="H446" s="61" t="s">
        <v>42</v>
      </c>
      <c r="I446" s="61" t="s">
        <v>2733</v>
      </c>
      <c r="J446" s="61" t="s">
        <v>1332</v>
      </c>
      <c r="K446" s="61"/>
      <c r="L446" s="61"/>
    </row>
    <row r="447" spans="1:12" ht="108" customHeight="1">
      <c r="A447" s="61"/>
      <c r="B447" s="61" t="s">
        <v>3756</v>
      </c>
      <c r="C447" s="61" t="s">
        <v>572</v>
      </c>
      <c r="D447" s="61" t="s">
        <v>3757</v>
      </c>
      <c r="E447" s="61" t="str">
        <f t="shared" si="6"/>
        <v>401053359</v>
      </c>
      <c r="F447" s="61" t="s">
        <v>573</v>
      </c>
      <c r="G447" s="61" t="s">
        <v>2960</v>
      </c>
      <c r="H447" s="61" t="s">
        <v>42</v>
      </c>
      <c r="I447" s="61" t="s">
        <v>2733</v>
      </c>
      <c r="J447" s="61" t="s">
        <v>3758</v>
      </c>
      <c r="K447" s="61"/>
      <c r="L447" s="61"/>
    </row>
    <row r="448" spans="1:12" ht="27" customHeight="1">
      <c r="A448" s="61"/>
      <c r="B448" s="61" t="s">
        <v>2734</v>
      </c>
      <c r="C448" s="61" t="s">
        <v>1456</v>
      </c>
      <c r="D448" s="61" t="s">
        <v>3759</v>
      </c>
      <c r="E448" s="61" t="str">
        <f t="shared" si="6"/>
        <v>411170095</v>
      </c>
      <c r="F448" s="61" t="s">
        <v>573</v>
      </c>
      <c r="G448" s="61" t="s">
        <v>2960</v>
      </c>
      <c r="H448" s="61" t="s">
        <v>42</v>
      </c>
      <c r="I448" s="61" t="s">
        <v>2733</v>
      </c>
      <c r="J448" s="61" t="s">
        <v>1332</v>
      </c>
      <c r="K448" s="61"/>
      <c r="L448" s="61"/>
    </row>
    <row r="449" spans="1:12" ht="27" customHeight="1">
      <c r="A449" s="61"/>
      <c r="B449" s="61" t="s">
        <v>2734</v>
      </c>
      <c r="C449" s="61" t="s">
        <v>1455</v>
      </c>
      <c r="D449" s="61" t="s">
        <v>3760</v>
      </c>
      <c r="E449" s="61" t="str">
        <f t="shared" si="6"/>
        <v>400271632</v>
      </c>
      <c r="F449" s="61" t="s">
        <v>573</v>
      </c>
      <c r="G449" s="61" t="s">
        <v>2960</v>
      </c>
      <c r="H449" s="61" t="s">
        <v>42</v>
      </c>
      <c r="I449" s="61" t="s">
        <v>2733</v>
      </c>
      <c r="J449" s="61" t="s">
        <v>1332</v>
      </c>
      <c r="K449" s="61"/>
      <c r="L449" s="61"/>
    </row>
    <row r="450" spans="1:12" ht="72.95" customHeight="1">
      <c r="A450" s="61"/>
      <c r="B450" s="61" t="s">
        <v>3761</v>
      </c>
      <c r="C450" s="61" t="s">
        <v>574</v>
      </c>
      <c r="D450" s="61" t="s">
        <v>3762</v>
      </c>
      <c r="E450" s="61" t="str">
        <f t="shared" si="6"/>
        <v>400658325</v>
      </c>
      <c r="F450" s="61" t="s">
        <v>575</v>
      </c>
      <c r="G450" s="61" t="s">
        <v>2860</v>
      </c>
      <c r="H450" s="61" t="s">
        <v>42</v>
      </c>
      <c r="I450" s="61" t="s">
        <v>2733</v>
      </c>
      <c r="J450" s="61" t="s">
        <v>3763</v>
      </c>
      <c r="K450" s="61"/>
      <c r="L450" s="61"/>
    </row>
    <row r="451" spans="1:12" ht="27" customHeight="1">
      <c r="A451" s="61"/>
      <c r="B451" s="61" t="s">
        <v>2734</v>
      </c>
      <c r="C451" s="61" t="s">
        <v>1464</v>
      </c>
      <c r="D451" s="61" t="s">
        <v>3764</v>
      </c>
      <c r="E451" s="61" t="str">
        <f t="shared" ref="E451:E514" si="7">LEFT(D451,9)</f>
        <v>411170097</v>
      </c>
      <c r="F451" s="61" t="s">
        <v>1462</v>
      </c>
      <c r="G451" s="61" t="s">
        <v>2860</v>
      </c>
      <c r="H451" s="61" t="s">
        <v>42</v>
      </c>
      <c r="I451" s="61" t="s">
        <v>2733</v>
      </c>
      <c r="J451" s="61" t="s">
        <v>1332</v>
      </c>
      <c r="K451" s="61"/>
      <c r="L451" s="61"/>
    </row>
    <row r="452" spans="1:12" ht="27" customHeight="1">
      <c r="A452" s="61"/>
      <c r="B452" s="61" t="s">
        <v>2734</v>
      </c>
      <c r="C452" s="61" t="s">
        <v>1463</v>
      </c>
      <c r="D452" s="61" t="s">
        <v>3765</v>
      </c>
      <c r="E452" s="61" t="str">
        <f t="shared" si="7"/>
        <v>400264006</v>
      </c>
      <c r="F452" s="61" t="s">
        <v>1462</v>
      </c>
      <c r="G452" s="61" t="s">
        <v>2860</v>
      </c>
      <c r="H452" s="61" t="s">
        <v>42</v>
      </c>
      <c r="I452" s="61" t="s">
        <v>2733</v>
      </c>
      <c r="J452" s="61" t="s">
        <v>1332</v>
      </c>
      <c r="K452" s="61"/>
      <c r="L452" s="61"/>
    </row>
    <row r="453" spans="1:12" ht="27" customHeight="1">
      <c r="A453" s="61"/>
      <c r="B453" s="61" t="s">
        <v>3766</v>
      </c>
      <c r="C453" s="61" t="s">
        <v>576</v>
      </c>
      <c r="D453" s="61" t="s">
        <v>3767</v>
      </c>
      <c r="E453" s="61" t="str">
        <f t="shared" si="7"/>
        <v>401041455</v>
      </c>
      <c r="F453" s="61" t="s">
        <v>577</v>
      </c>
      <c r="G453" s="61" t="s">
        <v>3043</v>
      </c>
      <c r="H453" s="61" t="s">
        <v>42</v>
      </c>
      <c r="I453" s="61" t="s">
        <v>2733</v>
      </c>
      <c r="J453" s="61" t="s">
        <v>3768</v>
      </c>
      <c r="K453" s="61"/>
      <c r="L453" s="61"/>
    </row>
    <row r="454" spans="1:12" ht="27" customHeight="1">
      <c r="A454" s="61"/>
      <c r="B454" s="61" t="s">
        <v>2734</v>
      </c>
      <c r="C454" s="61" t="s">
        <v>1951</v>
      </c>
      <c r="D454" s="61" t="s">
        <v>3769</v>
      </c>
      <c r="E454" s="61" t="str">
        <f t="shared" si="7"/>
        <v>411170101</v>
      </c>
      <c r="F454" s="61" t="s">
        <v>577</v>
      </c>
      <c r="G454" s="61" t="s">
        <v>3043</v>
      </c>
      <c r="H454" s="61" t="s">
        <v>42</v>
      </c>
      <c r="I454" s="61" t="s">
        <v>2733</v>
      </c>
      <c r="J454" s="61" t="s">
        <v>1332</v>
      </c>
      <c r="K454" s="61"/>
      <c r="L454" s="61"/>
    </row>
    <row r="455" spans="1:12" ht="27" customHeight="1">
      <c r="A455" s="61"/>
      <c r="B455" s="61" t="s">
        <v>2734</v>
      </c>
      <c r="C455" s="61" t="s">
        <v>1950</v>
      </c>
      <c r="D455" s="61" t="s">
        <v>3770</v>
      </c>
      <c r="E455" s="61" t="str">
        <f t="shared" si="7"/>
        <v>400274354</v>
      </c>
      <c r="F455" s="61" t="s">
        <v>577</v>
      </c>
      <c r="G455" s="61" t="s">
        <v>3043</v>
      </c>
      <c r="H455" s="61" t="s">
        <v>42</v>
      </c>
      <c r="I455" s="61" t="s">
        <v>2733</v>
      </c>
      <c r="J455" s="61" t="s">
        <v>1332</v>
      </c>
      <c r="K455" s="61"/>
      <c r="L455" s="61"/>
    </row>
    <row r="456" spans="1:12" ht="50.1" customHeight="1">
      <c r="A456" s="61"/>
      <c r="B456" s="61" t="s">
        <v>3771</v>
      </c>
      <c r="C456" s="61" t="s">
        <v>578</v>
      </c>
      <c r="D456" s="61" t="s">
        <v>3772</v>
      </c>
      <c r="E456" s="61" t="str">
        <f t="shared" si="7"/>
        <v>400693192</v>
      </c>
      <c r="F456" s="61" t="s">
        <v>579</v>
      </c>
      <c r="G456" s="61" t="s">
        <v>2818</v>
      </c>
      <c r="H456" s="61" t="s">
        <v>42</v>
      </c>
      <c r="I456" s="61" t="s">
        <v>2733</v>
      </c>
      <c r="J456" s="61" t="s">
        <v>3773</v>
      </c>
      <c r="K456" s="61"/>
      <c r="L456" s="61"/>
    </row>
    <row r="457" spans="1:12" ht="27" customHeight="1">
      <c r="A457" s="61"/>
      <c r="B457" s="61" t="s">
        <v>2734</v>
      </c>
      <c r="C457" s="61" t="s">
        <v>1449</v>
      </c>
      <c r="D457" s="61" t="s">
        <v>3774</v>
      </c>
      <c r="E457" s="61" t="str">
        <f t="shared" si="7"/>
        <v>411170107</v>
      </c>
      <c r="F457" s="61" t="s">
        <v>579</v>
      </c>
      <c r="G457" s="61" t="s">
        <v>2818</v>
      </c>
      <c r="H457" s="61" t="s">
        <v>42</v>
      </c>
      <c r="I457" s="61" t="s">
        <v>2733</v>
      </c>
      <c r="J457" s="61" t="s">
        <v>1332</v>
      </c>
      <c r="K457" s="61"/>
      <c r="L457" s="61"/>
    </row>
    <row r="458" spans="1:12" ht="27" customHeight="1">
      <c r="A458" s="61"/>
      <c r="B458" s="61" t="s">
        <v>2734</v>
      </c>
      <c r="C458" s="61" t="s">
        <v>1448</v>
      </c>
      <c r="D458" s="61" t="s">
        <v>3775</v>
      </c>
      <c r="E458" s="61" t="str">
        <f t="shared" si="7"/>
        <v>400271641</v>
      </c>
      <c r="F458" s="61" t="s">
        <v>579</v>
      </c>
      <c r="G458" s="61" t="s">
        <v>2818</v>
      </c>
      <c r="H458" s="61" t="s">
        <v>42</v>
      </c>
      <c r="I458" s="61" t="s">
        <v>2733</v>
      </c>
      <c r="J458" s="61" t="s">
        <v>1332</v>
      </c>
      <c r="K458" s="61"/>
      <c r="L458" s="61"/>
    </row>
    <row r="459" spans="1:12" ht="108" customHeight="1">
      <c r="A459" s="61"/>
      <c r="B459" s="61" t="s">
        <v>3776</v>
      </c>
      <c r="C459" s="61" t="s">
        <v>580</v>
      </c>
      <c r="D459" s="61" t="s">
        <v>3777</v>
      </c>
      <c r="E459" s="61" t="str">
        <f t="shared" si="7"/>
        <v>401372496</v>
      </c>
      <c r="F459" s="61" t="s">
        <v>581</v>
      </c>
      <c r="G459" s="61" t="s">
        <v>3141</v>
      </c>
      <c r="H459" s="61" t="s">
        <v>42</v>
      </c>
      <c r="I459" s="61" t="s">
        <v>2733</v>
      </c>
      <c r="J459" s="61" t="s">
        <v>3778</v>
      </c>
      <c r="K459" s="61"/>
      <c r="L459" s="61"/>
    </row>
    <row r="460" spans="1:12" ht="27" customHeight="1">
      <c r="A460" s="61"/>
      <c r="B460" s="61" t="s">
        <v>2734</v>
      </c>
      <c r="C460" s="61" t="s">
        <v>1517</v>
      </c>
      <c r="D460" s="61" t="s">
        <v>3779</v>
      </c>
      <c r="E460" s="61" t="str">
        <f t="shared" si="7"/>
        <v>411170111</v>
      </c>
      <c r="F460" s="61" t="s">
        <v>1515</v>
      </c>
      <c r="G460" s="61" t="s">
        <v>3141</v>
      </c>
      <c r="H460" s="61" t="s">
        <v>42</v>
      </c>
      <c r="I460" s="61" t="s">
        <v>2733</v>
      </c>
      <c r="J460" s="61" t="s">
        <v>1332</v>
      </c>
      <c r="K460" s="61"/>
      <c r="L460" s="61"/>
    </row>
    <row r="461" spans="1:12" ht="27" customHeight="1">
      <c r="A461" s="61"/>
      <c r="B461" s="61" t="s">
        <v>2734</v>
      </c>
      <c r="C461" s="61" t="s">
        <v>1516</v>
      </c>
      <c r="D461" s="61" t="s">
        <v>3780</v>
      </c>
      <c r="E461" s="61" t="str">
        <f t="shared" si="7"/>
        <v>400292477</v>
      </c>
      <c r="F461" s="61" t="s">
        <v>1515</v>
      </c>
      <c r="G461" s="61" t="s">
        <v>3141</v>
      </c>
      <c r="H461" s="61" t="s">
        <v>42</v>
      </c>
      <c r="I461" s="61" t="s">
        <v>2733</v>
      </c>
      <c r="J461" s="61" t="s">
        <v>1332</v>
      </c>
      <c r="K461" s="61"/>
      <c r="L461" s="61"/>
    </row>
    <row r="462" spans="1:12" ht="62.1" customHeight="1">
      <c r="A462" s="61"/>
      <c r="B462" s="61" t="s">
        <v>3781</v>
      </c>
      <c r="C462" s="61" t="s">
        <v>582</v>
      </c>
      <c r="D462" s="61" t="s">
        <v>3782</v>
      </c>
      <c r="E462" s="61" t="str">
        <f t="shared" si="7"/>
        <v>400658327</v>
      </c>
      <c r="F462" s="61" t="s">
        <v>583</v>
      </c>
      <c r="G462" s="61" t="s">
        <v>3026</v>
      </c>
      <c r="H462" s="61" t="s">
        <v>42</v>
      </c>
      <c r="I462" s="61" t="s">
        <v>2733</v>
      </c>
      <c r="J462" s="61" t="s">
        <v>3783</v>
      </c>
      <c r="K462" s="61"/>
      <c r="L462" s="61"/>
    </row>
    <row r="463" spans="1:12" ht="27" customHeight="1">
      <c r="A463" s="61"/>
      <c r="B463" s="61" t="s">
        <v>2734</v>
      </c>
      <c r="C463" s="61" t="s">
        <v>1492</v>
      </c>
      <c r="D463" s="61" t="s">
        <v>3784</v>
      </c>
      <c r="E463" s="61" t="str">
        <f t="shared" si="7"/>
        <v>411170116</v>
      </c>
      <c r="F463" s="61" t="s">
        <v>1490</v>
      </c>
      <c r="G463" s="61" t="s">
        <v>3026</v>
      </c>
      <c r="H463" s="61" t="s">
        <v>42</v>
      </c>
      <c r="I463" s="61" t="s">
        <v>2733</v>
      </c>
      <c r="J463" s="61" t="s">
        <v>1332</v>
      </c>
      <c r="K463" s="61"/>
      <c r="L463" s="61"/>
    </row>
    <row r="464" spans="1:12" ht="27" customHeight="1">
      <c r="A464" s="61"/>
      <c r="B464" s="61" t="s">
        <v>2734</v>
      </c>
      <c r="C464" s="61" t="s">
        <v>1491</v>
      </c>
      <c r="D464" s="61" t="s">
        <v>3785</v>
      </c>
      <c r="E464" s="61" t="str">
        <f t="shared" si="7"/>
        <v>400271662</v>
      </c>
      <c r="F464" s="61" t="s">
        <v>1490</v>
      </c>
      <c r="G464" s="61" t="s">
        <v>3026</v>
      </c>
      <c r="H464" s="61" t="s">
        <v>42</v>
      </c>
      <c r="I464" s="61" t="s">
        <v>2733</v>
      </c>
      <c r="J464" s="61" t="s">
        <v>1332</v>
      </c>
      <c r="K464" s="61"/>
      <c r="L464" s="61"/>
    </row>
    <row r="465" spans="1:12" ht="72.95" customHeight="1">
      <c r="A465" s="61"/>
      <c r="B465" s="61" t="s">
        <v>3786</v>
      </c>
      <c r="C465" s="61" t="s">
        <v>584</v>
      </c>
      <c r="D465" s="61" t="s">
        <v>3787</v>
      </c>
      <c r="E465" s="61" t="str">
        <f t="shared" si="7"/>
        <v>400658330</v>
      </c>
      <c r="F465" s="61" t="s">
        <v>585</v>
      </c>
      <c r="G465" s="61" t="s">
        <v>3788</v>
      </c>
      <c r="H465" s="61" t="s">
        <v>42</v>
      </c>
      <c r="I465" s="61" t="s">
        <v>2733</v>
      </c>
      <c r="J465" s="61" t="s">
        <v>3789</v>
      </c>
      <c r="K465" s="61"/>
      <c r="L465" s="61"/>
    </row>
    <row r="466" spans="1:12" ht="27" customHeight="1">
      <c r="A466" s="61"/>
      <c r="B466" s="61" t="s">
        <v>2734</v>
      </c>
      <c r="C466" s="61" t="s">
        <v>1506</v>
      </c>
      <c r="D466" s="61" t="s">
        <v>3790</v>
      </c>
      <c r="E466" s="61" t="str">
        <f t="shared" si="7"/>
        <v>411170118</v>
      </c>
      <c r="F466" s="61" t="s">
        <v>1504</v>
      </c>
      <c r="G466" s="61" t="s">
        <v>3788</v>
      </c>
      <c r="H466" s="61" t="s">
        <v>42</v>
      </c>
      <c r="I466" s="61" t="s">
        <v>2733</v>
      </c>
      <c r="J466" s="61" t="s">
        <v>1332</v>
      </c>
      <c r="K466" s="61"/>
      <c r="L466" s="61"/>
    </row>
    <row r="467" spans="1:12" ht="27" customHeight="1">
      <c r="A467" s="61"/>
      <c r="B467" s="61" t="s">
        <v>2734</v>
      </c>
      <c r="C467" s="61" t="s">
        <v>1505</v>
      </c>
      <c r="D467" s="61" t="s">
        <v>3791</v>
      </c>
      <c r="E467" s="61" t="str">
        <f t="shared" si="7"/>
        <v>400264010</v>
      </c>
      <c r="F467" s="61" t="s">
        <v>1504</v>
      </c>
      <c r="G467" s="61" t="s">
        <v>3788</v>
      </c>
      <c r="H467" s="61" t="s">
        <v>42</v>
      </c>
      <c r="I467" s="61" t="s">
        <v>2733</v>
      </c>
      <c r="J467" s="61" t="s">
        <v>1332</v>
      </c>
      <c r="K467" s="61"/>
      <c r="L467" s="61"/>
    </row>
    <row r="468" spans="1:12" ht="50.1" customHeight="1">
      <c r="A468" s="61"/>
      <c r="B468" s="61" t="s">
        <v>3792</v>
      </c>
      <c r="C468" s="61" t="s">
        <v>586</v>
      </c>
      <c r="D468" s="61" t="s">
        <v>3793</v>
      </c>
      <c r="E468" s="61" t="str">
        <f t="shared" si="7"/>
        <v>401282161</v>
      </c>
      <c r="F468" s="61" t="s">
        <v>587</v>
      </c>
      <c r="G468" s="61" t="s">
        <v>2794</v>
      </c>
      <c r="H468" s="61" t="s">
        <v>42</v>
      </c>
      <c r="I468" s="61" t="s">
        <v>2733</v>
      </c>
      <c r="J468" s="61" t="s">
        <v>3794</v>
      </c>
      <c r="K468" s="61"/>
      <c r="L468" s="61"/>
    </row>
    <row r="469" spans="1:12" ht="27" customHeight="1">
      <c r="A469" s="61"/>
      <c r="B469" s="61" t="s">
        <v>2734</v>
      </c>
      <c r="C469" s="61" t="s">
        <v>1476</v>
      </c>
      <c r="D469" s="61" t="s">
        <v>3795</v>
      </c>
      <c r="E469" s="61" t="str">
        <f t="shared" si="7"/>
        <v>400292480</v>
      </c>
      <c r="F469" s="61" t="s">
        <v>1475</v>
      </c>
      <c r="G469" s="61" t="s">
        <v>2794</v>
      </c>
      <c r="H469" s="61" t="s">
        <v>42</v>
      </c>
      <c r="I469" s="61" t="s">
        <v>2733</v>
      </c>
      <c r="J469" s="61" t="s">
        <v>1332</v>
      </c>
      <c r="K469" s="61"/>
      <c r="L469" s="61"/>
    </row>
    <row r="470" spans="1:12" ht="27" customHeight="1">
      <c r="A470" s="61"/>
      <c r="B470" s="61" t="s">
        <v>3796</v>
      </c>
      <c r="C470" s="61" t="s">
        <v>588</v>
      </c>
      <c r="D470" s="61" t="s">
        <v>3797</v>
      </c>
      <c r="E470" s="61" t="str">
        <f t="shared" si="7"/>
        <v>401308902</v>
      </c>
      <c r="F470" s="61" t="s">
        <v>589</v>
      </c>
      <c r="G470" s="61" t="s">
        <v>2881</v>
      </c>
      <c r="H470" s="61" t="s">
        <v>42</v>
      </c>
      <c r="I470" s="61" t="s">
        <v>2733</v>
      </c>
      <c r="J470" s="61" t="s">
        <v>3798</v>
      </c>
      <c r="K470" s="61"/>
      <c r="L470" s="61"/>
    </row>
    <row r="471" spans="1:12" ht="27" customHeight="1">
      <c r="A471" s="61"/>
      <c r="B471" s="61" t="s">
        <v>2734</v>
      </c>
      <c r="C471" s="61" t="s">
        <v>1482</v>
      </c>
      <c r="D471" s="61" t="s">
        <v>3799</v>
      </c>
      <c r="E471" s="61" t="str">
        <f t="shared" si="7"/>
        <v>411170123</v>
      </c>
      <c r="F471" s="61" t="s">
        <v>1480</v>
      </c>
      <c r="G471" s="61" t="s">
        <v>2881</v>
      </c>
      <c r="H471" s="61" t="s">
        <v>42</v>
      </c>
      <c r="I471" s="61" t="s">
        <v>2733</v>
      </c>
      <c r="J471" s="61" t="s">
        <v>1332</v>
      </c>
      <c r="K471" s="61"/>
      <c r="L471" s="61"/>
    </row>
    <row r="472" spans="1:12" ht="27" customHeight="1">
      <c r="A472" s="61"/>
      <c r="B472" s="61" t="s">
        <v>2734</v>
      </c>
      <c r="C472" s="61" t="s">
        <v>1481</v>
      </c>
      <c r="D472" s="61" t="s">
        <v>3800</v>
      </c>
      <c r="E472" s="61" t="str">
        <f t="shared" si="7"/>
        <v>400271675</v>
      </c>
      <c r="F472" s="61" t="s">
        <v>1480</v>
      </c>
      <c r="G472" s="61" t="s">
        <v>2881</v>
      </c>
      <c r="H472" s="61" t="s">
        <v>42</v>
      </c>
      <c r="I472" s="61" t="s">
        <v>2733</v>
      </c>
      <c r="J472" s="61" t="s">
        <v>1332</v>
      </c>
      <c r="K472" s="61"/>
      <c r="L472" s="61"/>
    </row>
    <row r="473" spans="1:12" ht="27" customHeight="1">
      <c r="A473" s="61"/>
      <c r="B473" s="61" t="s">
        <v>3801</v>
      </c>
      <c r="C473" s="61" t="s">
        <v>590</v>
      </c>
      <c r="D473" s="61" t="s">
        <v>3802</v>
      </c>
      <c r="E473" s="61" t="str">
        <f t="shared" si="7"/>
        <v>400658331</v>
      </c>
      <c r="F473" s="61" t="s">
        <v>591</v>
      </c>
      <c r="G473" s="61" t="s">
        <v>2727</v>
      </c>
      <c r="H473" s="61" t="s">
        <v>42</v>
      </c>
      <c r="I473" s="61" t="s">
        <v>2733</v>
      </c>
      <c r="J473" s="61" t="s">
        <v>3803</v>
      </c>
      <c r="K473" s="61"/>
      <c r="L473" s="61"/>
    </row>
    <row r="474" spans="1:12" ht="27" customHeight="1">
      <c r="A474" s="61"/>
      <c r="B474" s="61" t="s">
        <v>2734</v>
      </c>
      <c r="C474" s="61" t="s">
        <v>1498</v>
      </c>
      <c r="D474" s="61" t="s">
        <v>3804</v>
      </c>
      <c r="E474" s="61" t="str">
        <f t="shared" si="7"/>
        <v>411170124</v>
      </c>
      <c r="F474" s="61" t="s">
        <v>1496</v>
      </c>
      <c r="G474" s="61" t="s">
        <v>2727</v>
      </c>
      <c r="H474" s="61" t="s">
        <v>42</v>
      </c>
      <c r="I474" s="61" t="s">
        <v>2733</v>
      </c>
      <c r="J474" s="61" t="s">
        <v>1332</v>
      </c>
      <c r="K474" s="61"/>
      <c r="L474" s="61"/>
    </row>
    <row r="475" spans="1:12" ht="27" customHeight="1">
      <c r="A475" s="61"/>
      <c r="B475" s="61" t="s">
        <v>2734</v>
      </c>
      <c r="C475" s="61" t="s">
        <v>1497</v>
      </c>
      <c r="D475" s="61" t="s">
        <v>3805</v>
      </c>
      <c r="E475" s="61" t="str">
        <f t="shared" si="7"/>
        <v>400276784</v>
      </c>
      <c r="F475" s="61" t="s">
        <v>1496</v>
      </c>
      <c r="G475" s="61" t="s">
        <v>2727</v>
      </c>
      <c r="H475" s="61" t="s">
        <v>42</v>
      </c>
      <c r="I475" s="61" t="s">
        <v>2733</v>
      </c>
      <c r="J475" s="61" t="s">
        <v>1332</v>
      </c>
      <c r="K475" s="61"/>
      <c r="L475" s="61"/>
    </row>
    <row r="476" spans="1:12" ht="27" customHeight="1">
      <c r="A476" s="61"/>
      <c r="B476" s="61" t="s">
        <v>3806</v>
      </c>
      <c r="C476" s="61" t="s">
        <v>592</v>
      </c>
      <c r="D476" s="61" t="s">
        <v>3807</v>
      </c>
      <c r="E476" s="61" t="str">
        <f t="shared" si="7"/>
        <v>401234955</v>
      </c>
      <c r="F476" s="61" t="s">
        <v>593</v>
      </c>
      <c r="G476" s="61" t="s">
        <v>2746</v>
      </c>
      <c r="H476" s="61" t="s">
        <v>42</v>
      </c>
      <c r="I476" s="61" t="s">
        <v>2733</v>
      </c>
      <c r="J476" s="61" t="s">
        <v>3808</v>
      </c>
      <c r="K476" s="61"/>
      <c r="L476" s="61"/>
    </row>
    <row r="477" spans="1:12" ht="27" customHeight="1">
      <c r="A477" s="61"/>
      <c r="B477" s="61" t="s">
        <v>2734</v>
      </c>
      <c r="C477" s="61" t="s">
        <v>1471</v>
      </c>
      <c r="D477" s="61" t="s">
        <v>3809</v>
      </c>
      <c r="E477" s="61" t="str">
        <f t="shared" si="7"/>
        <v>411170146</v>
      </c>
      <c r="F477" s="61" t="s">
        <v>593</v>
      </c>
      <c r="G477" s="61" t="s">
        <v>2746</v>
      </c>
      <c r="H477" s="61" t="s">
        <v>42</v>
      </c>
      <c r="I477" s="61" t="s">
        <v>2733</v>
      </c>
      <c r="J477" s="61" t="s">
        <v>1332</v>
      </c>
      <c r="K477" s="61"/>
      <c r="L477" s="61"/>
    </row>
    <row r="478" spans="1:12" ht="27" customHeight="1">
      <c r="A478" s="61"/>
      <c r="B478" s="61" t="s">
        <v>2734</v>
      </c>
      <c r="C478" s="61" t="s">
        <v>1470</v>
      </c>
      <c r="D478" s="61" t="s">
        <v>3810</v>
      </c>
      <c r="E478" s="61" t="str">
        <f t="shared" si="7"/>
        <v>400271710</v>
      </c>
      <c r="F478" s="61" t="s">
        <v>593</v>
      </c>
      <c r="G478" s="61" t="s">
        <v>2746</v>
      </c>
      <c r="H478" s="61" t="s">
        <v>42</v>
      </c>
      <c r="I478" s="61" t="s">
        <v>2733</v>
      </c>
      <c r="J478" s="61" t="s">
        <v>1332</v>
      </c>
      <c r="K478" s="61"/>
      <c r="L478" s="61"/>
    </row>
    <row r="479" spans="1:12" ht="38.1" customHeight="1">
      <c r="A479" s="61"/>
      <c r="B479" s="61" t="s">
        <v>3811</v>
      </c>
      <c r="C479" s="61" t="s">
        <v>594</v>
      </c>
      <c r="D479" s="61" t="s">
        <v>3812</v>
      </c>
      <c r="E479" s="61" t="str">
        <f t="shared" si="7"/>
        <v>401679598</v>
      </c>
      <c r="F479" s="61" t="s">
        <v>595</v>
      </c>
      <c r="G479" s="61" t="s">
        <v>2783</v>
      </c>
      <c r="H479" s="61" t="s">
        <v>42</v>
      </c>
      <c r="I479" s="61" t="s">
        <v>2733</v>
      </c>
      <c r="J479" s="61" t="s">
        <v>3813</v>
      </c>
      <c r="K479" s="61"/>
      <c r="L479" s="61"/>
    </row>
    <row r="480" spans="1:12" ht="27" customHeight="1">
      <c r="A480" s="61"/>
      <c r="B480" s="61" t="s">
        <v>2734</v>
      </c>
      <c r="C480" s="61" t="s">
        <v>1521</v>
      </c>
      <c r="D480" s="61" t="s">
        <v>3814</v>
      </c>
      <c r="E480" s="61" t="str">
        <f t="shared" si="7"/>
        <v>400292486</v>
      </c>
      <c r="F480" s="61" t="s">
        <v>595</v>
      </c>
      <c r="G480" s="61" t="s">
        <v>2783</v>
      </c>
      <c r="H480" s="61" t="s">
        <v>42</v>
      </c>
      <c r="I480" s="61" t="s">
        <v>2733</v>
      </c>
      <c r="J480" s="61" t="s">
        <v>1332</v>
      </c>
      <c r="K480" s="61"/>
      <c r="L480" s="61"/>
    </row>
    <row r="481" spans="1:12" ht="27" customHeight="1">
      <c r="A481" s="61"/>
      <c r="B481" s="61" t="s">
        <v>3815</v>
      </c>
      <c r="C481" s="61" t="s">
        <v>596</v>
      </c>
      <c r="D481" s="61" t="s">
        <v>3816</v>
      </c>
      <c r="E481" s="61" t="str">
        <f t="shared" si="7"/>
        <v>414258414</v>
      </c>
      <c r="F481" s="61" t="s">
        <v>597</v>
      </c>
      <c r="G481" s="61" t="s">
        <v>2787</v>
      </c>
      <c r="H481" s="61" t="s">
        <v>42</v>
      </c>
      <c r="I481" s="61" t="s">
        <v>2733</v>
      </c>
      <c r="J481" s="61" t="s">
        <v>3817</v>
      </c>
      <c r="K481" s="61"/>
      <c r="L481" s="61"/>
    </row>
    <row r="482" spans="1:12" ht="27" customHeight="1">
      <c r="A482" s="61"/>
      <c r="B482" s="61" t="s">
        <v>2734</v>
      </c>
      <c r="C482" s="61" t="s">
        <v>1526</v>
      </c>
      <c r="D482" s="61" t="s">
        <v>3818</v>
      </c>
      <c r="E482" s="61" t="str">
        <f t="shared" si="7"/>
        <v>411170155</v>
      </c>
      <c r="F482" s="61" t="s">
        <v>597</v>
      </c>
      <c r="G482" s="61" t="s">
        <v>2787</v>
      </c>
      <c r="H482" s="61" t="s">
        <v>42</v>
      </c>
      <c r="I482" s="61" t="s">
        <v>2733</v>
      </c>
      <c r="J482" s="61" t="s">
        <v>1332</v>
      </c>
      <c r="K482" s="61"/>
      <c r="L482" s="61"/>
    </row>
    <row r="483" spans="1:12" ht="27" customHeight="1">
      <c r="A483" s="61"/>
      <c r="B483" s="61" t="s">
        <v>2734</v>
      </c>
      <c r="C483" s="61" t="s">
        <v>1525</v>
      </c>
      <c r="D483" s="61" t="s">
        <v>3819</v>
      </c>
      <c r="E483" s="61" t="str">
        <f t="shared" si="7"/>
        <v>400292491</v>
      </c>
      <c r="F483" s="61" t="s">
        <v>597</v>
      </c>
      <c r="G483" s="61" t="s">
        <v>2787</v>
      </c>
      <c r="H483" s="61" t="s">
        <v>42</v>
      </c>
      <c r="I483" s="61" t="s">
        <v>2733</v>
      </c>
      <c r="J483" s="61" t="s">
        <v>1332</v>
      </c>
      <c r="K483" s="61"/>
      <c r="L483" s="61"/>
    </row>
    <row r="484" spans="1:12" ht="96.95" customHeight="1">
      <c r="A484" s="61"/>
      <c r="B484" s="61" t="s">
        <v>3820</v>
      </c>
      <c r="C484" s="61" t="s">
        <v>599</v>
      </c>
      <c r="D484" s="61" t="s">
        <v>3821</v>
      </c>
      <c r="E484" s="61" t="str">
        <f t="shared" si="7"/>
        <v>400679613</v>
      </c>
      <c r="F484" s="61" t="s">
        <v>600</v>
      </c>
      <c r="G484" s="61" t="s">
        <v>2968</v>
      </c>
      <c r="H484" s="61" t="s">
        <v>42</v>
      </c>
      <c r="I484" s="61" t="s">
        <v>2733</v>
      </c>
      <c r="J484" s="61" t="s">
        <v>3822</v>
      </c>
      <c r="K484" s="61"/>
      <c r="L484" s="61"/>
    </row>
    <row r="485" spans="1:12" ht="27" customHeight="1">
      <c r="A485" s="61"/>
      <c r="B485" s="61" t="s">
        <v>2734</v>
      </c>
      <c r="C485" s="61" t="s">
        <v>2669</v>
      </c>
      <c r="D485" s="61" t="s">
        <v>3823</v>
      </c>
      <c r="E485" s="61" t="str">
        <f t="shared" si="7"/>
        <v>400264013</v>
      </c>
      <c r="F485" s="61" t="s">
        <v>600</v>
      </c>
      <c r="G485" s="61" t="s">
        <v>2968</v>
      </c>
      <c r="H485" s="61" t="s">
        <v>42</v>
      </c>
      <c r="I485" s="61" t="s">
        <v>2733</v>
      </c>
      <c r="J485" s="61" t="s">
        <v>1332</v>
      </c>
      <c r="K485" s="61"/>
      <c r="L485" s="61"/>
    </row>
    <row r="486" spans="1:12" ht="50.1" customHeight="1">
      <c r="A486" s="61"/>
      <c r="B486" s="61" t="s">
        <v>3824</v>
      </c>
      <c r="C486" s="61" t="s">
        <v>602</v>
      </c>
      <c r="D486" s="61" t="s">
        <v>3825</v>
      </c>
      <c r="E486" s="61" t="str">
        <f t="shared" si="7"/>
        <v>400693196</v>
      </c>
      <c r="F486" s="61" t="s">
        <v>603</v>
      </c>
      <c r="G486" s="61" t="s">
        <v>2845</v>
      </c>
      <c r="H486" s="61" t="s">
        <v>42</v>
      </c>
      <c r="I486" s="61" t="s">
        <v>2733</v>
      </c>
      <c r="J486" s="61" t="s">
        <v>3826</v>
      </c>
      <c r="K486" s="61"/>
      <c r="L486" s="61"/>
    </row>
    <row r="487" spans="1:12" ht="27" customHeight="1">
      <c r="A487" s="61"/>
      <c r="B487" s="61" t="s">
        <v>2734</v>
      </c>
      <c r="C487" s="61" t="s">
        <v>2380</v>
      </c>
      <c r="D487" s="61" t="s">
        <v>3827</v>
      </c>
      <c r="E487" s="61" t="str">
        <f t="shared" si="7"/>
        <v>400249794</v>
      </c>
      <c r="F487" s="61" t="s">
        <v>603</v>
      </c>
      <c r="G487" s="61" t="s">
        <v>2845</v>
      </c>
      <c r="H487" s="61" t="s">
        <v>42</v>
      </c>
      <c r="I487" s="61" t="s">
        <v>2733</v>
      </c>
      <c r="J487" s="61" t="s">
        <v>1332</v>
      </c>
      <c r="K487" s="61"/>
      <c r="L487" s="61"/>
    </row>
    <row r="488" spans="1:12" ht="27" customHeight="1">
      <c r="A488" s="61"/>
      <c r="B488" s="61" t="s">
        <v>3828</v>
      </c>
      <c r="C488" s="61" t="s">
        <v>605</v>
      </c>
      <c r="D488" s="61" t="s">
        <v>3829</v>
      </c>
      <c r="E488" s="61" t="str">
        <f t="shared" si="7"/>
        <v>400693201</v>
      </c>
      <c r="F488" s="61" t="s">
        <v>606</v>
      </c>
      <c r="G488" s="61" t="s">
        <v>2727</v>
      </c>
      <c r="H488" s="61" t="s">
        <v>42</v>
      </c>
      <c r="I488" s="61" t="s">
        <v>2733</v>
      </c>
      <c r="J488" s="61" t="s">
        <v>3830</v>
      </c>
      <c r="K488" s="61"/>
      <c r="L488" s="61"/>
    </row>
    <row r="489" spans="1:12" ht="27" customHeight="1">
      <c r="A489" s="61"/>
      <c r="B489" s="61" t="s">
        <v>2734</v>
      </c>
      <c r="C489" s="61" t="s">
        <v>2451</v>
      </c>
      <c r="D489" s="61" t="s">
        <v>3831</v>
      </c>
      <c r="E489" s="61" t="str">
        <f t="shared" si="7"/>
        <v>411170157</v>
      </c>
      <c r="F489" s="61" t="s">
        <v>606</v>
      </c>
      <c r="G489" s="61" t="s">
        <v>2727</v>
      </c>
      <c r="H489" s="61" t="s">
        <v>42</v>
      </c>
      <c r="I489" s="61" t="s">
        <v>2733</v>
      </c>
      <c r="J489" s="61" t="s">
        <v>1332</v>
      </c>
      <c r="K489" s="61"/>
      <c r="L489" s="61"/>
    </row>
    <row r="490" spans="1:12" ht="27" customHeight="1">
      <c r="A490" s="61"/>
      <c r="B490" s="61" t="s">
        <v>2734</v>
      </c>
      <c r="C490" s="61" t="s">
        <v>2450</v>
      </c>
      <c r="D490" s="61" t="s">
        <v>3832</v>
      </c>
      <c r="E490" s="61" t="str">
        <f t="shared" si="7"/>
        <v>400249974</v>
      </c>
      <c r="F490" s="61" t="s">
        <v>606</v>
      </c>
      <c r="G490" s="61" t="s">
        <v>2727</v>
      </c>
      <c r="H490" s="61" t="s">
        <v>42</v>
      </c>
      <c r="I490" s="61" t="s">
        <v>2733</v>
      </c>
      <c r="J490" s="61" t="s">
        <v>1332</v>
      </c>
      <c r="K490" s="61"/>
      <c r="L490" s="61"/>
    </row>
    <row r="491" spans="1:12" ht="27" customHeight="1">
      <c r="A491" s="61"/>
      <c r="B491" s="61" t="s">
        <v>3833</v>
      </c>
      <c r="C491" s="61" t="s">
        <v>608</v>
      </c>
      <c r="D491" s="61" t="s">
        <v>3834</v>
      </c>
      <c r="E491" s="61" t="str">
        <f t="shared" si="7"/>
        <v>401053474</v>
      </c>
      <c r="F491" s="61" t="s">
        <v>609</v>
      </c>
      <c r="G491" s="61" t="s">
        <v>2810</v>
      </c>
      <c r="H491" s="61" t="s">
        <v>42</v>
      </c>
      <c r="I491" s="61" t="s">
        <v>2733</v>
      </c>
      <c r="J491" s="61" t="s">
        <v>3835</v>
      </c>
      <c r="K491" s="61"/>
      <c r="L491" s="61"/>
    </row>
    <row r="492" spans="1:12" ht="27" customHeight="1">
      <c r="A492" s="61"/>
      <c r="B492" s="61" t="s">
        <v>2734</v>
      </c>
      <c r="C492" s="61" t="s">
        <v>2162</v>
      </c>
      <c r="D492" s="61" t="s">
        <v>2160</v>
      </c>
      <c r="E492" s="61" t="str">
        <f t="shared" si="7"/>
        <v>N62094875</v>
      </c>
      <c r="F492" s="61" t="s">
        <v>2161</v>
      </c>
      <c r="G492" s="61" t="s">
        <v>2810</v>
      </c>
      <c r="H492" s="61" t="s">
        <v>42</v>
      </c>
      <c r="I492" s="61" t="s">
        <v>2733</v>
      </c>
      <c r="J492" s="61" t="s">
        <v>1332</v>
      </c>
      <c r="K492" s="61"/>
      <c r="L492" s="61"/>
    </row>
    <row r="493" spans="1:12" ht="27" customHeight="1">
      <c r="A493" s="61"/>
      <c r="B493" s="61" t="s">
        <v>2734</v>
      </c>
      <c r="C493" s="61" t="s">
        <v>2146</v>
      </c>
      <c r="D493" s="61" t="s">
        <v>3836</v>
      </c>
      <c r="E493" s="61" t="str">
        <f t="shared" si="7"/>
        <v>400264019</v>
      </c>
      <c r="F493" s="61" t="s">
        <v>609</v>
      </c>
      <c r="G493" s="61" t="s">
        <v>2810</v>
      </c>
      <c r="H493" s="61" t="s">
        <v>42</v>
      </c>
      <c r="I493" s="61" t="s">
        <v>2733</v>
      </c>
      <c r="J493" s="61" t="s">
        <v>1332</v>
      </c>
      <c r="K493" s="61"/>
      <c r="L493" s="61"/>
    </row>
    <row r="494" spans="1:12" ht="27" customHeight="1">
      <c r="A494" s="61"/>
      <c r="B494" s="61" t="s">
        <v>3837</v>
      </c>
      <c r="C494" s="61" t="s">
        <v>611</v>
      </c>
      <c r="D494" s="61" t="s">
        <v>3838</v>
      </c>
      <c r="E494" s="61" t="str">
        <f t="shared" si="7"/>
        <v>414258415</v>
      </c>
      <c r="F494" s="61" t="s">
        <v>612</v>
      </c>
      <c r="G494" s="61" t="s">
        <v>2727</v>
      </c>
      <c r="H494" s="61" t="s">
        <v>42</v>
      </c>
      <c r="I494" s="61" t="s">
        <v>2733</v>
      </c>
      <c r="J494" s="61" t="s">
        <v>3839</v>
      </c>
      <c r="K494" s="61"/>
      <c r="L494" s="61"/>
    </row>
    <row r="495" spans="1:12" ht="27" customHeight="1">
      <c r="A495" s="61"/>
      <c r="B495" s="61" t="s">
        <v>2734</v>
      </c>
      <c r="C495" s="61" t="s">
        <v>2330</v>
      </c>
      <c r="D495" s="61" t="s">
        <v>3840</v>
      </c>
      <c r="E495" s="61" t="str">
        <f t="shared" si="7"/>
        <v>400292492</v>
      </c>
      <c r="F495" s="61" t="s">
        <v>2329</v>
      </c>
      <c r="G495" s="61" t="s">
        <v>2727</v>
      </c>
      <c r="H495" s="61" t="s">
        <v>42</v>
      </c>
      <c r="I495" s="61" t="s">
        <v>2733</v>
      </c>
      <c r="J495" s="61" t="s">
        <v>1332</v>
      </c>
      <c r="K495" s="61"/>
      <c r="L495" s="61"/>
    </row>
    <row r="496" spans="1:12" ht="27" customHeight="1">
      <c r="A496" s="61"/>
      <c r="B496" s="61" t="s">
        <v>3841</v>
      </c>
      <c r="C496" s="61" t="s">
        <v>614</v>
      </c>
      <c r="D496" s="61" t="s">
        <v>3842</v>
      </c>
      <c r="E496" s="61" t="str">
        <f t="shared" si="7"/>
        <v>400693203</v>
      </c>
      <c r="F496" s="61" t="s">
        <v>615</v>
      </c>
      <c r="G496" s="61" t="s">
        <v>2751</v>
      </c>
      <c r="H496" s="61" t="s">
        <v>42</v>
      </c>
      <c r="I496" s="61" t="s">
        <v>2733</v>
      </c>
      <c r="J496" s="61" t="s">
        <v>3843</v>
      </c>
      <c r="K496" s="61"/>
      <c r="L496" s="61"/>
    </row>
    <row r="497" spans="1:12" ht="27" customHeight="1">
      <c r="A497" s="61"/>
      <c r="B497" s="61" t="s">
        <v>2734</v>
      </c>
      <c r="C497" s="61" t="s">
        <v>2463</v>
      </c>
      <c r="D497" s="61" t="s">
        <v>3844</v>
      </c>
      <c r="E497" s="61" t="str">
        <f t="shared" si="7"/>
        <v>400264060</v>
      </c>
      <c r="F497" s="61" t="s">
        <v>615</v>
      </c>
      <c r="G497" s="61" t="s">
        <v>2751</v>
      </c>
      <c r="H497" s="61" t="s">
        <v>42</v>
      </c>
      <c r="I497" s="61" t="s">
        <v>2733</v>
      </c>
      <c r="J497" s="61" t="s">
        <v>1332</v>
      </c>
      <c r="K497" s="61"/>
      <c r="L497" s="61"/>
    </row>
    <row r="498" spans="1:12" ht="62.1" customHeight="1">
      <c r="A498" s="61"/>
      <c r="B498" s="61" t="s">
        <v>3845</v>
      </c>
      <c r="C498" s="61" t="s">
        <v>617</v>
      </c>
      <c r="D498" s="61" t="s">
        <v>3846</v>
      </c>
      <c r="E498" s="61" t="str">
        <f t="shared" si="7"/>
        <v>400931576</v>
      </c>
      <c r="F498" s="61" t="s">
        <v>618</v>
      </c>
      <c r="G498" s="61" t="s">
        <v>2832</v>
      </c>
      <c r="H498" s="61" t="s">
        <v>42</v>
      </c>
      <c r="I498" s="61" t="s">
        <v>2733</v>
      </c>
      <c r="J498" s="61" t="s">
        <v>3847</v>
      </c>
      <c r="K498" s="61"/>
      <c r="L498" s="61"/>
    </row>
    <row r="499" spans="1:12" ht="27" customHeight="1">
      <c r="A499" s="61"/>
      <c r="B499" s="61" t="s">
        <v>2734</v>
      </c>
      <c r="C499" s="61" t="s">
        <v>2493</v>
      </c>
      <c r="D499" s="61" t="s">
        <v>3848</v>
      </c>
      <c r="E499" s="61" t="str">
        <f t="shared" si="7"/>
        <v>411170191</v>
      </c>
      <c r="F499" s="61" t="s">
        <v>3849</v>
      </c>
      <c r="G499" s="61" t="s">
        <v>2832</v>
      </c>
      <c r="H499" s="61" t="s">
        <v>42</v>
      </c>
      <c r="I499" s="61" t="s">
        <v>2733</v>
      </c>
      <c r="J499" s="61" t="s">
        <v>1332</v>
      </c>
      <c r="K499" s="61"/>
      <c r="L499" s="61"/>
    </row>
    <row r="500" spans="1:12" ht="27" customHeight="1">
      <c r="A500" s="61"/>
      <c r="B500" s="61" t="s">
        <v>2734</v>
      </c>
      <c r="C500" s="61" t="s">
        <v>2492</v>
      </c>
      <c r="D500" s="61" t="s">
        <v>3850</v>
      </c>
      <c r="E500" s="61" t="str">
        <f t="shared" si="7"/>
        <v>400264202</v>
      </c>
      <c r="F500" s="61" t="s">
        <v>618</v>
      </c>
      <c r="G500" s="61" t="s">
        <v>2832</v>
      </c>
      <c r="H500" s="61" t="s">
        <v>42</v>
      </c>
      <c r="I500" s="61" t="s">
        <v>2733</v>
      </c>
      <c r="J500" s="61" t="s">
        <v>1332</v>
      </c>
      <c r="K500" s="61"/>
      <c r="L500" s="61"/>
    </row>
    <row r="501" spans="1:12" ht="27" customHeight="1">
      <c r="A501" s="61"/>
      <c r="B501" s="61" t="s">
        <v>3851</v>
      </c>
      <c r="C501" s="61" t="s">
        <v>620</v>
      </c>
      <c r="D501" s="61" t="s">
        <v>3852</v>
      </c>
      <c r="E501" s="61" t="str">
        <f t="shared" si="7"/>
        <v>401235521</v>
      </c>
      <c r="F501" s="61" t="s">
        <v>621</v>
      </c>
      <c r="G501" s="61" t="s">
        <v>2730</v>
      </c>
      <c r="H501" s="61" t="s">
        <v>42</v>
      </c>
      <c r="I501" s="61" t="s">
        <v>2733</v>
      </c>
      <c r="J501" s="61" t="s">
        <v>3853</v>
      </c>
      <c r="K501" s="61"/>
      <c r="L501" s="61"/>
    </row>
    <row r="502" spans="1:12" ht="27" customHeight="1">
      <c r="A502" s="61"/>
      <c r="B502" s="61" t="s">
        <v>2734</v>
      </c>
      <c r="C502" s="61" t="s">
        <v>2257</v>
      </c>
      <c r="D502" s="61" t="s">
        <v>3854</v>
      </c>
      <c r="E502" s="61" t="str">
        <f t="shared" si="7"/>
        <v>400264204</v>
      </c>
      <c r="F502" s="61" t="s">
        <v>621</v>
      </c>
      <c r="G502" s="61" t="s">
        <v>2730</v>
      </c>
      <c r="H502" s="61" t="s">
        <v>42</v>
      </c>
      <c r="I502" s="61" t="s">
        <v>2733</v>
      </c>
      <c r="J502" s="61" t="s">
        <v>1332</v>
      </c>
      <c r="K502" s="61"/>
      <c r="L502" s="61"/>
    </row>
    <row r="503" spans="1:12" ht="27" customHeight="1">
      <c r="A503" s="61"/>
      <c r="B503" s="61" t="s">
        <v>2734</v>
      </c>
      <c r="C503" s="61" t="s">
        <v>2258</v>
      </c>
      <c r="D503" s="61" t="s">
        <v>3855</v>
      </c>
      <c r="E503" s="61" t="str">
        <f t="shared" si="7"/>
        <v>411170193</v>
      </c>
      <c r="F503" s="61" t="s">
        <v>621</v>
      </c>
      <c r="G503" s="61" t="s">
        <v>2730</v>
      </c>
      <c r="H503" s="61" t="s">
        <v>42</v>
      </c>
      <c r="I503" s="61" t="s">
        <v>2733</v>
      </c>
      <c r="J503" s="61" t="s">
        <v>1332</v>
      </c>
      <c r="K503" s="61"/>
      <c r="L503" s="61"/>
    </row>
    <row r="504" spans="1:12" ht="27" customHeight="1">
      <c r="A504" s="61"/>
      <c r="B504" s="61" t="s">
        <v>3856</v>
      </c>
      <c r="C504" s="61" t="s">
        <v>623</v>
      </c>
      <c r="D504" s="61" t="s">
        <v>3857</v>
      </c>
      <c r="E504" s="61" t="str">
        <f t="shared" si="7"/>
        <v>402515066</v>
      </c>
      <c r="F504" s="61" t="s">
        <v>624</v>
      </c>
      <c r="G504" s="61" t="s">
        <v>2746</v>
      </c>
      <c r="H504" s="61" t="s">
        <v>42</v>
      </c>
      <c r="I504" s="61" t="s">
        <v>2733</v>
      </c>
      <c r="J504" s="61" t="s">
        <v>3858</v>
      </c>
      <c r="K504" s="61"/>
      <c r="L504" s="61"/>
    </row>
    <row r="505" spans="1:12" ht="27" customHeight="1">
      <c r="A505" s="61"/>
      <c r="B505" s="61" t="s">
        <v>2734</v>
      </c>
      <c r="C505" s="61" t="s">
        <v>2528</v>
      </c>
      <c r="D505" s="61" t="s">
        <v>3859</v>
      </c>
      <c r="E505" s="61" t="str">
        <f t="shared" si="7"/>
        <v>400371666</v>
      </c>
      <c r="F505" s="61" t="s">
        <v>2527</v>
      </c>
      <c r="G505" s="61" t="s">
        <v>2746</v>
      </c>
      <c r="H505" s="61" t="s">
        <v>42</v>
      </c>
      <c r="I505" s="61" t="s">
        <v>2733</v>
      </c>
      <c r="J505" s="61" t="s">
        <v>1332</v>
      </c>
      <c r="K505" s="61"/>
      <c r="L505" s="61"/>
    </row>
    <row r="506" spans="1:12" ht="27" customHeight="1">
      <c r="A506" s="61"/>
      <c r="B506" s="61" t="s">
        <v>3860</v>
      </c>
      <c r="C506" s="61" t="s">
        <v>626</v>
      </c>
      <c r="D506" s="61" t="s">
        <v>3861</v>
      </c>
      <c r="E506" s="61" t="str">
        <f t="shared" si="7"/>
        <v>414258417</v>
      </c>
      <c r="F506" s="61" t="s">
        <v>627</v>
      </c>
      <c r="G506" s="61" t="s">
        <v>2727</v>
      </c>
      <c r="H506" s="61" t="s">
        <v>42</v>
      </c>
      <c r="I506" s="61" t="s">
        <v>2733</v>
      </c>
      <c r="J506" s="61" t="s">
        <v>3862</v>
      </c>
      <c r="K506" s="61"/>
      <c r="L506" s="61"/>
    </row>
    <row r="507" spans="1:12" ht="27" customHeight="1">
      <c r="A507" s="61"/>
      <c r="B507" s="61" t="s">
        <v>2734</v>
      </c>
      <c r="C507" s="61" t="s">
        <v>2546</v>
      </c>
      <c r="D507" s="61" t="s">
        <v>3863</v>
      </c>
      <c r="E507" s="61" t="str">
        <f t="shared" si="7"/>
        <v>400386911</v>
      </c>
      <c r="F507" s="61" t="s">
        <v>627</v>
      </c>
      <c r="G507" s="61" t="s">
        <v>2727</v>
      </c>
      <c r="H507" s="61" t="s">
        <v>42</v>
      </c>
      <c r="I507" s="61" t="s">
        <v>2733</v>
      </c>
      <c r="J507" s="61" t="s">
        <v>1332</v>
      </c>
      <c r="K507" s="61"/>
      <c r="L507" s="61"/>
    </row>
    <row r="508" spans="1:12" ht="27" customHeight="1">
      <c r="A508" s="61"/>
      <c r="B508" s="61" t="s">
        <v>3864</v>
      </c>
      <c r="C508" s="61" t="s">
        <v>629</v>
      </c>
      <c r="D508" s="61" t="s">
        <v>3865</v>
      </c>
      <c r="E508" s="61" t="str">
        <f t="shared" si="7"/>
        <v>401382479</v>
      </c>
      <c r="F508" s="61" t="s">
        <v>630</v>
      </c>
      <c r="G508" s="61" t="s">
        <v>2727</v>
      </c>
      <c r="H508" s="61" t="s">
        <v>42</v>
      </c>
      <c r="I508" s="61" t="s">
        <v>2733</v>
      </c>
      <c r="J508" s="61" t="s">
        <v>3866</v>
      </c>
      <c r="K508" s="61"/>
      <c r="L508" s="61"/>
    </row>
    <row r="509" spans="1:12" ht="27" customHeight="1">
      <c r="A509" s="61"/>
      <c r="B509" s="61" t="s">
        <v>2734</v>
      </c>
      <c r="C509" s="61" t="s">
        <v>2513</v>
      </c>
      <c r="D509" s="61" t="s">
        <v>3867</v>
      </c>
      <c r="E509" s="61" t="str">
        <f t="shared" si="7"/>
        <v>400264229</v>
      </c>
      <c r="F509" s="61" t="s">
        <v>2512</v>
      </c>
      <c r="G509" s="61" t="s">
        <v>2727</v>
      </c>
      <c r="H509" s="61" t="s">
        <v>42</v>
      </c>
      <c r="I509" s="61" t="s">
        <v>2733</v>
      </c>
      <c r="J509" s="61" t="s">
        <v>1332</v>
      </c>
      <c r="K509" s="61"/>
      <c r="L509" s="61"/>
    </row>
    <row r="510" spans="1:12" ht="27" customHeight="1">
      <c r="A510" s="61"/>
      <c r="B510" s="61" t="s">
        <v>3868</v>
      </c>
      <c r="C510" s="61" t="s">
        <v>632</v>
      </c>
      <c r="D510" s="61" t="s">
        <v>3869</v>
      </c>
      <c r="E510" s="61" t="str">
        <f t="shared" si="7"/>
        <v>400658342</v>
      </c>
      <c r="F510" s="61" t="s">
        <v>633</v>
      </c>
      <c r="G510" s="61" t="s">
        <v>2790</v>
      </c>
      <c r="H510" s="61" t="s">
        <v>42</v>
      </c>
      <c r="I510" s="61" t="s">
        <v>2733</v>
      </c>
      <c r="J510" s="61" t="s">
        <v>3870</v>
      </c>
      <c r="K510" s="61"/>
      <c r="L510" s="61"/>
    </row>
    <row r="511" spans="1:12" ht="27" customHeight="1">
      <c r="A511" s="61"/>
      <c r="B511" s="61" t="s">
        <v>2734</v>
      </c>
      <c r="C511" s="61" t="s">
        <v>2418</v>
      </c>
      <c r="D511" s="61" t="s">
        <v>3871</v>
      </c>
      <c r="E511" s="61" t="str">
        <f t="shared" si="7"/>
        <v>400264257</v>
      </c>
      <c r="F511" s="61" t="s">
        <v>2417</v>
      </c>
      <c r="G511" s="61" t="s">
        <v>2790</v>
      </c>
      <c r="H511" s="61" t="s">
        <v>42</v>
      </c>
      <c r="I511" s="61" t="s">
        <v>2733</v>
      </c>
      <c r="J511" s="61" t="s">
        <v>1332</v>
      </c>
      <c r="K511" s="61"/>
      <c r="L511" s="61"/>
    </row>
    <row r="512" spans="1:12" ht="38.1" customHeight="1">
      <c r="A512" s="61"/>
      <c r="B512" s="61" t="s">
        <v>3872</v>
      </c>
      <c r="C512" s="61" t="s">
        <v>635</v>
      </c>
      <c r="D512" s="61" t="s">
        <v>3873</v>
      </c>
      <c r="E512" s="61" t="str">
        <f t="shared" si="7"/>
        <v>401225493</v>
      </c>
      <c r="F512" s="61" t="s">
        <v>636</v>
      </c>
      <c r="G512" s="61" t="s">
        <v>2760</v>
      </c>
      <c r="H512" s="61" t="s">
        <v>42</v>
      </c>
      <c r="I512" s="61" t="s">
        <v>2733</v>
      </c>
      <c r="J512" s="61" t="s">
        <v>3874</v>
      </c>
      <c r="K512" s="61"/>
      <c r="L512" s="61"/>
    </row>
    <row r="513" spans="1:12" ht="27" customHeight="1">
      <c r="A513" s="61"/>
      <c r="B513" s="61" t="s">
        <v>2734</v>
      </c>
      <c r="C513" s="61" t="s">
        <v>2473</v>
      </c>
      <c r="D513" s="61" t="s">
        <v>3875</v>
      </c>
      <c r="E513" s="61" t="str">
        <f t="shared" si="7"/>
        <v>411170204</v>
      </c>
      <c r="F513" s="61" t="s">
        <v>636</v>
      </c>
      <c r="G513" s="61" t="s">
        <v>2760</v>
      </c>
      <c r="H513" s="61" t="s">
        <v>42</v>
      </c>
      <c r="I513" s="61" t="s">
        <v>2733</v>
      </c>
      <c r="J513" s="61" t="s">
        <v>1332</v>
      </c>
      <c r="K513" s="61"/>
      <c r="L513" s="61"/>
    </row>
    <row r="514" spans="1:12" ht="27" customHeight="1">
      <c r="A514" s="61"/>
      <c r="B514" s="61" t="s">
        <v>2734</v>
      </c>
      <c r="C514" s="61" t="s">
        <v>2472</v>
      </c>
      <c r="D514" s="61" t="s">
        <v>3876</v>
      </c>
      <c r="E514" s="61" t="str">
        <f t="shared" si="7"/>
        <v>400264264</v>
      </c>
      <c r="F514" s="61" t="s">
        <v>636</v>
      </c>
      <c r="G514" s="61" t="s">
        <v>2760</v>
      </c>
      <c r="H514" s="61" t="s">
        <v>42</v>
      </c>
      <c r="I514" s="61" t="s">
        <v>2733</v>
      </c>
      <c r="J514" s="61" t="s">
        <v>1332</v>
      </c>
      <c r="K514" s="61"/>
      <c r="L514" s="61"/>
    </row>
    <row r="515" spans="1:12" ht="27" customHeight="1">
      <c r="A515" s="61"/>
      <c r="B515" s="61" t="s">
        <v>3877</v>
      </c>
      <c r="C515" s="61" t="s">
        <v>638</v>
      </c>
      <c r="D515" s="61" t="s">
        <v>3878</v>
      </c>
      <c r="E515" s="61" t="str">
        <f t="shared" ref="E515:E578" si="8">LEFT(D515,9)</f>
        <v>401007782</v>
      </c>
      <c r="F515" s="61" t="s">
        <v>639</v>
      </c>
      <c r="G515" s="61" t="s">
        <v>2727</v>
      </c>
      <c r="H515" s="61" t="s">
        <v>42</v>
      </c>
      <c r="I515" s="61" t="s">
        <v>2733</v>
      </c>
      <c r="J515" s="61" t="s">
        <v>3879</v>
      </c>
      <c r="K515" s="61"/>
      <c r="L515" s="61"/>
    </row>
    <row r="516" spans="1:12" ht="27" customHeight="1">
      <c r="A516" s="61"/>
      <c r="B516" s="61" t="s">
        <v>2734</v>
      </c>
      <c r="C516" s="61" t="s">
        <v>2439</v>
      </c>
      <c r="D516" s="61" t="s">
        <v>3880</v>
      </c>
      <c r="E516" s="61" t="str">
        <f t="shared" si="8"/>
        <v>400249984</v>
      </c>
      <c r="F516" s="61" t="s">
        <v>639</v>
      </c>
      <c r="G516" s="61" t="s">
        <v>2727</v>
      </c>
      <c r="H516" s="61" t="s">
        <v>42</v>
      </c>
      <c r="I516" s="61" t="s">
        <v>2733</v>
      </c>
      <c r="J516" s="61" t="s">
        <v>1332</v>
      </c>
      <c r="K516" s="61"/>
      <c r="L516" s="61"/>
    </row>
    <row r="517" spans="1:12" ht="27" customHeight="1">
      <c r="A517" s="61"/>
      <c r="B517" s="61" t="s">
        <v>2734</v>
      </c>
      <c r="C517" s="61" t="s">
        <v>2441</v>
      </c>
      <c r="D517" s="61" t="s">
        <v>3881</v>
      </c>
      <c r="E517" s="61" t="str">
        <f t="shared" si="8"/>
        <v>403808004</v>
      </c>
      <c r="F517" s="61" t="s">
        <v>2440</v>
      </c>
      <c r="G517" s="61" t="s">
        <v>2727</v>
      </c>
      <c r="H517" s="61" t="s">
        <v>42</v>
      </c>
      <c r="I517" s="61" t="s">
        <v>2733</v>
      </c>
      <c r="J517" s="61" t="s">
        <v>1332</v>
      </c>
      <c r="K517" s="61"/>
      <c r="L517" s="61"/>
    </row>
    <row r="518" spans="1:12" ht="27" customHeight="1">
      <c r="A518" s="61"/>
      <c r="B518" s="61" t="s">
        <v>3882</v>
      </c>
      <c r="C518" s="61" t="s">
        <v>641</v>
      </c>
      <c r="D518" s="61" t="s">
        <v>3883</v>
      </c>
      <c r="E518" s="61" t="str">
        <f t="shared" si="8"/>
        <v>401459280</v>
      </c>
      <c r="F518" s="61" t="s">
        <v>642</v>
      </c>
      <c r="G518" s="61" t="s">
        <v>2806</v>
      </c>
      <c r="H518" s="61" t="s">
        <v>42</v>
      </c>
      <c r="I518" s="61" t="s">
        <v>2733</v>
      </c>
      <c r="J518" s="61" t="s">
        <v>3884</v>
      </c>
      <c r="K518" s="61"/>
      <c r="L518" s="61"/>
    </row>
    <row r="519" spans="1:12" ht="27" customHeight="1">
      <c r="A519" s="61"/>
      <c r="B519" s="61" t="s">
        <v>2734</v>
      </c>
      <c r="C519" s="61" t="s">
        <v>2282</v>
      </c>
      <c r="D519" s="61" t="s">
        <v>3885</v>
      </c>
      <c r="E519" s="61" t="str">
        <f t="shared" si="8"/>
        <v>400264276</v>
      </c>
      <c r="F519" s="61" t="s">
        <v>642</v>
      </c>
      <c r="G519" s="61" t="s">
        <v>2806</v>
      </c>
      <c r="H519" s="61" t="s">
        <v>42</v>
      </c>
      <c r="I519" s="61" t="s">
        <v>2733</v>
      </c>
      <c r="J519" s="61" t="s">
        <v>1332</v>
      </c>
      <c r="K519" s="61"/>
      <c r="L519" s="61"/>
    </row>
    <row r="520" spans="1:12" ht="27" customHeight="1">
      <c r="A520" s="61"/>
      <c r="B520" s="61" t="s">
        <v>2734</v>
      </c>
      <c r="C520" s="61" t="s">
        <v>2283</v>
      </c>
      <c r="D520" s="61" t="s">
        <v>3886</v>
      </c>
      <c r="E520" s="61" t="str">
        <f t="shared" si="8"/>
        <v>411170211</v>
      </c>
      <c r="F520" s="61" t="s">
        <v>642</v>
      </c>
      <c r="G520" s="61" t="s">
        <v>2806</v>
      </c>
      <c r="H520" s="61" t="s">
        <v>42</v>
      </c>
      <c r="I520" s="61" t="s">
        <v>2733</v>
      </c>
      <c r="J520" s="61" t="s">
        <v>1332</v>
      </c>
      <c r="K520" s="61"/>
      <c r="L520" s="61"/>
    </row>
    <row r="521" spans="1:12" ht="27" customHeight="1">
      <c r="A521" s="61"/>
      <c r="B521" s="61" t="s">
        <v>3887</v>
      </c>
      <c r="C521" s="61" t="s">
        <v>644</v>
      </c>
      <c r="D521" s="61" t="s">
        <v>3888</v>
      </c>
      <c r="E521" s="61" t="str">
        <f t="shared" si="8"/>
        <v>401470548</v>
      </c>
      <c r="F521" s="61" t="s">
        <v>645</v>
      </c>
      <c r="G521" s="61" t="s">
        <v>3187</v>
      </c>
      <c r="H521" s="61" t="s">
        <v>42</v>
      </c>
      <c r="I521" s="61" t="s">
        <v>2733</v>
      </c>
      <c r="J521" s="61" t="s">
        <v>3889</v>
      </c>
      <c r="K521" s="61"/>
      <c r="L521" s="61"/>
    </row>
    <row r="522" spans="1:12" ht="27" customHeight="1">
      <c r="A522" s="61"/>
      <c r="B522" s="61" t="s">
        <v>2734</v>
      </c>
      <c r="C522" s="61" t="s">
        <v>2224</v>
      </c>
      <c r="D522" s="61" t="s">
        <v>3890</v>
      </c>
      <c r="E522" s="61" t="str">
        <f t="shared" si="8"/>
        <v>400265670</v>
      </c>
      <c r="F522" s="61" t="s">
        <v>2223</v>
      </c>
      <c r="G522" s="61" t="s">
        <v>3187</v>
      </c>
      <c r="H522" s="61" t="s">
        <v>42</v>
      </c>
      <c r="I522" s="61" t="s">
        <v>2733</v>
      </c>
      <c r="J522" s="61" t="s">
        <v>1332</v>
      </c>
      <c r="K522" s="61"/>
      <c r="L522" s="61"/>
    </row>
    <row r="523" spans="1:12" ht="27" customHeight="1">
      <c r="A523" s="61"/>
      <c r="B523" s="61" t="s">
        <v>2734</v>
      </c>
      <c r="C523" s="61" t="s">
        <v>2225</v>
      </c>
      <c r="D523" s="61" t="s">
        <v>3891</v>
      </c>
      <c r="E523" s="61" t="str">
        <f t="shared" si="8"/>
        <v>411170225</v>
      </c>
      <c r="F523" s="61" t="s">
        <v>2223</v>
      </c>
      <c r="G523" s="61" t="s">
        <v>3187</v>
      </c>
      <c r="H523" s="61" t="s">
        <v>42</v>
      </c>
      <c r="I523" s="61" t="s">
        <v>2733</v>
      </c>
      <c r="J523" s="61" t="s">
        <v>1332</v>
      </c>
      <c r="K523" s="61"/>
      <c r="L523" s="61"/>
    </row>
    <row r="524" spans="1:12" ht="27" customHeight="1">
      <c r="A524" s="61"/>
      <c r="B524" s="61" t="s">
        <v>3892</v>
      </c>
      <c r="C524" s="61" t="s">
        <v>647</v>
      </c>
      <c r="D524" s="61" t="s">
        <v>3893</v>
      </c>
      <c r="E524" s="61" t="str">
        <f t="shared" si="8"/>
        <v>401236806</v>
      </c>
      <c r="F524" s="61" t="s">
        <v>648</v>
      </c>
      <c r="G524" s="61" t="s">
        <v>2730</v>
      </c>
      <c r="H524" s="61" t="s">
        <v>42</v>
      </c>
      <c r="I524" s="61" t="s">
        <v>2733</v>
      </c>
      <c r="J524" s="61" t="s">
        <v>3894</v>
      </c>
      <c r="K524" s="61"/>
      <c r="L524" s="61"/>
    </row>
    <row r="525" spans="1:12" ht="27" customHeight="1">
      <c r="A525" s="61"/>
      <c r="B525" s="61" t="s">
        <v>2734</v>
      </c>
      <c r="C525" s="61" t="s">
        <v>2209</v>
      </c>
      <c r="D525" s="61" t="s">
        <v>3895</v>
      </c>
      <c r="E525" s="61" t="str">
        <f t="shared" si="8"/>
        <v>411170230</v>
      </c>
      <c r="F525" s="61" t="s">
        <v>2207</v>
      </c>
      <c r="G525" s="61" t="s">
        <v>2730</v>
      </c>
      <c r="H525" s="61" t="s">
        <v>42</v>
      </c>
      <c r="I525" s="61" t="s">
        <v>2733</v>
      </c>
      <c r="J525" s="61" t="s">
        <v>1332</v>
      </c>
      <c r="K525" s="61"/>
      <c r="L525" s="61"/>
    </row>
    <row r="526" spans="1:12" ht="27" customHeight="1">
      <c r="A526" s="61"/>
      <c r="B526" s="61" t="s">
        <v>2734</v>
      </c>
      <c r="C526" s="61" t="s">
        <v>2208</v>
      </c>
      <c r="D526" s="61" t="s">
        <v>3896</v>
      </c>
      <c r="E526" s="61" t="str">
        <f t="shared" si="8"/>
        <v>400272205</v>
      </c>
      <c r="F526" s="61" t="s">
        <v>2207</v>
      </c>
      <c r="G526" s="61" t="s">
        <v>2730</v>
      </c>
      <c r="H526" s="61" t="s">
        <v>42</v>
      </c>
      <c r="I526" s="61" t="s">
        <v>2733</v>
      </c>
      <c r="J526" s="61" t="s">
        <v>1332</v>
      </c>
      <c r="K526" s="61"/>
      <c r="L526" s="61"/>
    </row>
    <row r="527" spans="1:12" ht="27" customHeight="1">
      <c r="A527" s="61"/>
      <c r="B527" s="61" t="s">
        <v>3897</v>
      </c>
      <c r="C527" s="61" t="s">
        <v>659</v>
      </c>
      <c r="D527" s="61" t="s">
        <v>3898</v>
      </c>
      <c r="E527" s="61" t="str">
        <f t="shared" si="8"/>
        <v>401008440</v>
      </c>
      <c r="F527" s="61" t="s">
        <v>660</v>
      </c>
      <c r="G527" s="61" t="s">
        <v>2744</v>
      </c>
      <c r="H527" s="61" t="s">
        <v>42</v>
      </c>
      <c r="I527" s="61" t="s">
        <v>2733</v>
      </c>
      <c r="J527" s="61" t="s">
        <v>3899</v>
      </c>
      <c r="K527" s="61"/>
      <c r="L527" s="61"/>
    </row>
    <row r="528" spans="1:12" ht="27" customHeight="1">
      <c r="A528" s="61"/>
      <c r="B528" s="61" t="s">
        <v>2734</v>
      </c>
      <c r="C528" s="61" t="s">
        <v>2300</v>
      </c>
      <c r="D528" s="61" t="s">
        <v>3900</v>
      </c>
      <c r="E528" s="61" t="str">
        <f t="shared" si="8"/>
        <v>400265707</v>
      </c>
      <c r="F528" s="61" t="s">
        <v>2299</v>
      </c>
      <c r="G528" s="61" t="s">
        <v>2744</v>
      </c>
      <c r="H528" s="61" t="s">
        <v>42</v>
      </c>
      <c r="I528" s="61" t="s">
        <v>2733</v>
      </c>
      <c r="J528" s="61" t="s">
        <v>1332</v>
      </c>
      <c r="K528" s="61"/>
      <c r="L528" s="61"/>
    </row>
    <row r="529" spans="1:12" ht="27" customHeight="1">
      <c r="A529" s="61"/>
      <c r="B529" s="61" t="s">
        <v>2734</v>
      </c>
      <c r="C529" s="61" t="s">
        <v>2301</v>
      </c>
      <c r="D529" s="61" t="s">
        <v>3901</v>
      </c>
      <c r="E529" s="61" t="str">
        <f t="shared" si="8"/>
        <v>411170260</v>
      </c>
      <c r="F529" s="61" t="s">
        <v>2299</v>
      </c>
      <c r="G529" s="61" t="s">
        <v>2744</v>
      </c>
      <c r="H529" s="61" t="s">
        <v>42</v>
      </c>
      <c r="I529" s="61" t="s">
        <v>2733</v>
      </c>
      <c r="J529" s="61" t="s">
        <v>1332</v>
      </c>
      <c r="K529" s="61"/>
      <c r="L529" s="61"/>
    </row>
    <row r="530" spans="1:12" ht="27" customHeight="1">
      <c r="A530" s="61"/>
      <c r="B530" s="61" t="s">
        <v>3902</v>
      </c>
      <c r="C530" s="61" t="s">
        <v>662</v>
      </c>
      <c r="D530" s="61" t="s">
        <v>3903</v>
      </c>
      <c r="E530" s="61" t="str">
        <f t="shared" si="8"/>
        <v>401382480</v>
      </c>
      <c r="F530" s="61" t="s">
        <v>663</v>
      </c>
      <c r="G530" s="61" t="s">
        <v>2727</v>
      </c>
      <c r="H530" s="61" t="s">
        <v>42</v>
      </c>
      <c r="I530" s="61" t="s">
        <v>2733</v>
      </c>
      <c r="J530" s="61" t="s">
        <v>3904</v>
      </c>
      <c r="K530" s="61"/>
      <c r="L530" s="61"/>
    </row>
    <row r="531" spans="1:12" ht="27" customHeight="1">
      <c r="A531" s="61"/>
      <c r="B531" s="61" t="s">
        <v>2734</v>
      </c>
      <c r="C531" s="61" t="s">
        <v>2483</v>
      </c>
      <c r="D531" s="61" t="s">
        <v>3905</v>
      </c>
      <c r="E531" s="61" t="str">
        <f t="shared" si="8"/>
        <v>411170267</v>
      </c>
      <c r="F531" s="61" t="s">
        <v>663</v>
      </c>
      <c r="G531" s="61" t="s">
        <v>2727</v>
      </c>
      <c r="H531" s="61" t="s">
        <v>42</v>
      </c>
      <c r="I531" s="61" t="s">
        <v>2733</v>
      </c>
      <c r="J531" s="61" t="s">
        <v>1332</v>
      </c>
      <c r="K531" s="61"/>
      <c r="L531" s="61"/>
    </row>
    <row r="532" spans="1:12" ht="27" customHeight="1">
      <c r="A532" s="61"/>
      <c r="B532" s="61" t="s">
        <v>2734</v>
      </c>
      <c r="C532" s="61" t="s">
        <v>2482</v>
      </c>
      <c r="D532" s="61" t="s">
        <v>3906</v>
      </c>
      <c r="E532" s="61" t="str">
        <f t="shared" si="8"/>
        <v>400265714</v>
      </c>
      <c r="F532" s="61" t="s">
        <v>663</v>
      </c>
      <c r="G532" s="61" t="s">
        <v>2727</v>
      </c>
      <c r="H532" s="61" t="s">
        <v>42</v>
      </c>
      <c r="I532" s="61" t="s">
        <v>2733</v>
      </c>
      <c r="J532" s="61" t="s">
        <v>1332</v>
      </c>
      <c r="K532" s="61"/>
      <c r="L532" s="61"/>
    </row>
    <row r="533" spans="1:12" ht="27" customHeight="1">
      <c r="A533" s="61"/>
      <c r="B533" s="61" t="s">
        <v>3907</v>
      </c>
      <c r="C533" s="61" t="s">
        <v>665</v>
      </c>
      <c r="D533" s="61" t="s">
        <v>3908</v>
      </c>
      <c r="E533" s="61" t="str">
        <f t="shared" si="8"/>
        <v>401485722</v>
      </c>
      <c r="F533" s="61" t="s">
        <v>581</v>
      </c>
      <c r="G533" s="61" t="s">
        <v>2860</v>
      </c>
      <c r="H533" s="61" t="s">
        <v>42</v>
      </c>
      <c r="I533" s="61" t="s">
        <v>2733</v>
      </c>
      <c r="J533" s="61" t="s">
        <v>3909</v>
      </c>
      <c r="K533" s="61"/>
      <c r="L533" s="61"/>
    </row>
    <row r="534" spans="1:12" ht="27" customHeight="1">
      <c r="A534" s="61"/>
      <c r="B534" s="61" t="s">
        <v>2734</v>
      </c>
      <c r="C534" s="61" t="s">
        <v>2392</v>
      </c>
      <c r="D534" s="61" t="s">
        <v>3910</v>
      </c>
      <c r="E534" s="61" t="str">
        <f t="shared" si="8"/>
        <v>411170274</v>
      </c>
      <c r="F534" s="61" t="s">
        <v>581</v>
      </c>
      <c r="G534" s="61" t="s">
        <v>2860</v>
      </c>
      <c r="H534" s="61" t="s">
        <v>42</v>
      </c>
      <c r="I534" s="61" t="s">
        <v>2733</v>
      </c>
      <c r="J534" s="61" t="s">
        <v>1332</v>
      </c>
      <c r="K534" s="61"/>
      <c r="L534" s="61"/>
    </row>
    <row r="535" spans="1:12" ht="27" customHeight="1">
      <c r="A535" s="61"/>
      <c r="B535" s="61" t="s">
        <v>2734</v>
      </c>
      <c r="C535" s="61" t="s">
        <v>2391</v>
      </c>
      <c r="D535" s="61" t="s">
        <v>3911</v>
      </c>
      <c r="E535" s="61" t="str">
        <f t="shared" si="8"/>
        <v>400265725</v>
      </c>
      <c r="F535" s="61" t="s">
        <v>3912</v>
      </c>
      <c r="G535" s="61" t="s">
        <v>2860</v>
      </c>
      <c r="H535" s="61" t="s">
        <v>42</v>
      </c>
      <c r="I535" s="61" t="s">
        <v>2733</v>
      </c>
      <c r="J535" s="61" t="s">
        <v>1332</v>
      </c>
      <c r="K535" s="61"/>
      <c r="L535" s="61"/>
    </row>
    <row r="536" spans="1:12" ht="27" customHeight="1">
      <c r="A536" s="61"/>
      <c r="B536" s="61" t="s">
        <v>3913</v>
      </c>
      <c r="C536" s="61" t="s">
        <v>667</v>
      </c>
      <c r="D536" s="61" t="s">
        <v>3914</v>
      </c>
      <c r="E536" s="61" t="str">
        <f t="shared" si="8"/>
        <v>401519147</v>
      </c>
      <c r="F536" s="61" t="s">
        <v>668</v>
      </c>
      <c r="G536" s="61" t="s">
        <v>2730</v>
      </c>
      <c r="H536" s="61" t="s">
        <v>42</v>
      </c>
      <c r="I536" s="61" t="s">
        <v>2733</v>
      </c>
      <c r="J536" s="61" t="s">
        <v>3915</v>
      </c>
      <c r="K536" s="61"/>
      <c r="L536" s="61"/>
    </row>
    <row r="537" spans="1:12" ht="27" customHeight="1">
      <c r="A537" s="61"/>
      <c r="B537" s="61" t="s">
        <v>2734</v>
      </c>
      <c r="C537" s="61" t="s">
        <v>2179</v>
      </c>
      <c r="D537" s="61" t="s">
        <v>3916</v>
      </c>
      <c r="E537" s="61" t="str">
        <f t="shared" si="8"/>
        <v>411170275</v>
      </c>
      <c r="F537" s="61" t="s">
        <v>668</v>
      </c>
      <c r="G537" s="61" t="s">
        <v>2730</v>
      </c>
      <c r="H537" s="61" t="s">
        <v>42</v>
      </c>
      <c r="I537" s="61" t="s">
        <v>2733</v>
      </c>
      <c r="J537" s="61" t="s">
        <v>1332</v>
      </c>
      <c r="K537" s="61"/>
      <c r="L537" s="61"/>
    </row>
    <row r="538" spans="1:12" ht="27" customHeight="1">
      <c r="A538" s="61"/>
      <c r="B538" s="61" t="s">
        <v>2734</v>
      </c>
      <c r="C538" s="61" t="s">
        <v>2178</v>
      </c>
      <c r="D538" s="61" t="s">
        <v>3917</v>
      </c>
      <c r="E538" s="61" t="str">
        <f t="shared" si="8"/>
        <v>400292509</v>
      </c>
      <c r="F538" s="61" t="s">
        <v>668</v>
      </c>
      <c r="G538" s="61" t="s">
        <v>2730</v>
      </c>
      <c r="H538" s="61" t="s">
        <v>42</v>
      </c>
      <c r="I538" s="61" t="s">
        <v>2733</v>
      </c>
      <c r="J538" s="61" t="s">
        <v>1332</v>
      </c>
      <c r="K538" s="61"/>
      <c r="L538" s="61"/>
    </row>
    <row r="539" spans="1:12" ht="27" customHeight="1">
      <c r="A539" s="61"/>
      <c r="B539" s="61" t="s">
        <v>3918</v>
      </c>
      <c r="C539" s="61" t="s">
        <v>670</v>
      </c>
      <c r="D539" s="61" t="s">
        <v>3919</v>
      </c>
      <c r="E539" s="61" t="str">
        <f t="shared" si="8"/>
        <v>401352394</v>
      </c>
      <c r="F539" s="61" t="s">
        <v>671</v>
      </c>
      <c r="G539" s="61" t="s">
        <v>2746</v>
      </c>
      <c r="H539" s="61" t="s">
        <v>42</v>
      </c>
      <c r="I539" s="61" t="s">
        <v>2733</v>
      </c>
      <c r="J539" s="61" t="s">
        <v>3920</v>
      </c>
      <c r="K539" s="61"/>
      <c r="L539" s="61"/>
    </row>
    <row r="540" spans="1:12" ht="27" customHeight="1">
      <c r="A540" s="61"/>
      <c r="B540" s="61" t="s">
        <v>2734</v>
      </c>
      <c r="C540" s="61" t="s">
        <v>2121</v>
      </c>
      <c r="D540" s="61" t="s">
        <v>3921</v>
      </c>
      <c r="E540" s="61" t="str">
        <f t="shared" si="8"/>
        <v>400265727</v>
      </c>
      <c r="F540" s="61" t="s">
        <v>2120</v>
      </c>
      <c r="G540" s="61" t="s">
        <v>2746</v>
      </c>
      <c r="H540" s="61" t="s">
        <v>42</v>
      </c>
      <c r="I540" s="61" t="s">
        <v>2733</v>
      </c>
      <c r="J540" s="61" t="s">
        <v>1332</v>
      </c>
      <c r="K540" s="61"/>
      <c r="L540" s="61"/>
    </row>
    <row r="541" spans="1:12" ht="27" customHeight="1">
      <c r="A541" s="61"/>
      <c r="B541" s="61" t="s">
        <v>2734</v>
      </c>
      <c r="C541" s="61" t="s">
        <v>2122</v>
      </c>
      <c r="D541" s="61" t="s">
        <v>3922</v>
      </c>
      <c r="E541" s="61" t="str">
        <f t="shared" si="8"/>
        <v>411170279</v>
      </c>
      <c r="F541" s="61" t="s">
        <v>2120</v>
      </c>
      <c r="G541" s="61" t="s">
        <v>2746</v>
      </c>
      <c r="H541" s="61" t="s">
        <v>42</v>
      </c>
      <c r="I541" s="61" t="s">
        <v>2733</v>
      </c>
      <c r="J541" s="61" t="s">
        <v>1332</v>
      </c>
      <c r="K541" s="61"/>
      <c r="L541" s="61"/>
    </row>
    <row r="542" spans="1:12" ht="27" customHeight="1">
      <c r="A542" s="61"/>
      <c r="B542" s="61" t="s">
        <v>3923</v>
      </c>
      <c r="C542" s="61" t="s">
        <v>673</v>
      </c>
      <c r="D542" s="61" t="s">
        <v>3924</v>
      </c>
      <c r="E542" s="61" t="str">
        <f t="shared" si="8"/>
        <v>401053477</v>
      </c>
      <c r="F542" s="61" t="s">
        <v>674</v>
      </c>
      <c r="G542" s="61" t="s">
        <v>2751</v>
      </c>
      <c r="H542" s="61" t="s">
        <v>42</v>
      </c>
      <c r="I542" s="61" t="s">
        <v>2733</v>
      </c>
      <c r="J542" s="61" t="s">
        <v>3925</v>
      </c>
      <c r="K542" s="61"/>
      <c r="L542" s="61"/>
    </row>
    <row r="543" spans="1:12" ht="27" customHeight="1">
      <c r="A543" s="61"/>
      <c r="B543" s="61" t="s">
        <v>2734</v>
      </c>
      <c r="C543" s="61" t="s">
        <v>2235</v>
      </c>
      <c r="D543" s="61" t="s">
        <v>3926</v>
      </c>
      <c r="E543" s="61" t="str">
        <f t="shared" si="8"/>
        <v>411170283</v>
      </c>
      <c r="F543" s="61" t="s">
        <v>674</v>
      </c>
      <c r="G543" s="61" t="s">
        <v>2751</v>
      </c>
      <c r="H543" s="61" t="s">
        <v>42</v>
      </c>
      <c r="I543" s="61" t="s">
        <v>2733</v>
      </c>
      <c r="J543" s="61" t="s">
        <v>1332</v>
      </c>
      <c r="K543" s="61"/>
      <c r="L543" s="61"/>
    </row>
    <row r="544" spans="1:12" ht="27" customHeight="1">
      <c r="A544" s="61"/>
      <c r="B544" s="61" t="s">
        <v>2734</v>
      </c>
      <c r="C544" s="61" t="s">
        <v>2234</v>
      </c>
      <c r="D544" s="61" t="s">
        <v>3927</v>
      </c>
      <c r="E544" s="61" t="str">
        <f t="shared" si="8"/>
        <v>400265731</v>
      </c>
      <c r="F544" s="61" t="s">
        <v>674</v>
      </c>
      <c r="G544" s="61" t="s">
        <v>2751</v>
      </c>
      <c r="H544" s="61" t="s">
        <v>42</v>
      </c>
      <c r="I544" s="61" t="s">
        <v>2733</v>
      </c>
      <c r="J544" s="61" t="s">
        <v>1332</v>
      </c>
      <c r="K544" s="61"/>
      <c r="L544" s="61"/>
    </row>
    <row r="545" spans="1:12" ht="27" customHeight="1">
      <c r="A545" s="61"/>
      <c r="B545" s="61" t="s">
        <v>3928</v>
      </c>
      <c r="C545" s="61" t="s">
        <v>676</v>
      </c>
      <c r="D545" s="61" t="s">
        <v>3929</v>
      </c>
      <c r="E545" s="61" t="str">
        <f t="shared" si="8"/>
        <v>401053377</v>
      </c>
      <c r="F545" s="61" t="s">
        <v>677</v>
      </c>
      <c r="G545" s="61" t="s">
        <v>2727</v>
      </c>
      <c r="H545" s="61" t="s">
        <v>42</v>
      </c>
      <c r="I545" s="61" t="s">
        <v>2733</v>
      </c>
      <c r="J545" s="61" t="s">
        <v>3930</v>
      </c>
      <c r="K545" s="61"/>
      <c r="L545" s="61"/>
    </row>
    <row r="546" spans="1:12" ht="27" customHeight="1">
      <c r="A546" s="61"/>
      <c r="B546" s="61" t="s">
        <v>2734</v>
      </c>
      <c r="C546" s="61" t="s">
        <v>2371</v>
      </c>
      <c r="D546" s="61" t="s">
        <v>3931</v>
      </c>
      <c r="E546" s="61" t="str">
        <f t="shared" si="8"/>
        <v>411170291</v>
      </c>
      <c r="F546" s="61" t="s">
        <v>677</v>
      </c>
      <c r="G546" s="61" t="s">
        <v>2727</v>
      </c>
      <c r="H546" s="61" t="s">
        <v>42</v>
      </c>
      <c r="I546" s="61" t="s">
        <v>2733</v>
      </c>
      <c r="J546" s="61" t="s">
        <v>1332</v>
      </c>
      <c r="K546" s="61"/>
      <c r="L546" s="61"/>
    </row>
    <row r="547" spans="1:12" ht="27" customHeight="1">
      <c r="A547" s="61"/>
      <c r="B547" s="61" t="s">
        <v>2734</v>
      </c>
      <c r="C547" s="61" t="s">
        <v>2370</v>
      </c>
      <c r="D547" s="61" t="s">
        <v>3932</v>
      </c>
      <c r="E547" s="61" t="str">
        <f t="shared" si="8"/>
        <v>400265763</v>
      </c>
      <c r="F547" s="61" t="s">
        <v>677</v>
      </c>
      <c r="G547" s="61" t="s">
        <v>2727</v>
      </c>
      <c r="H547" s="61" t="s">
        <v>42</v>
      </c>
      <c r="I547" s="61" t="s">
        <v>2733</v>
      </c>
      <c r="J547" s="61" t="s">
        <v>1332</v>
      </c>
      <c r="K547" s="61"/>
      <c r="L547" s="61"/>
    </row>
    <row r="548" spans="1:12" ht="27" customHeight="1">
      <c r="A548" s="61"/>
      <c r="B548" s="61" t="s">
        <v>3933</v>
      </c>
      <c r="C548" s="61" t="s">
        <v>682</v>
      </c>
      <c r="D548" s="61" t="s">
        <v>3934</v>
      </c>
      <c r="E548" s="61" t="str">
        <f t="shared" si="8"/>
        <v>400658345</v>
      </c>
      <c r="F548" s="61" t="s">
        <v>683</v>
      </c>
      <c r="G548" s="61" t="s">
        <v>2744</v>
      </c>
      <c r="H548" s="61" t="s">
        <v>42</v>
      </c>
      <c r="I548" s="61" t="s">
        <v>2733</v>
      </c>
      <c r="J548" s="61" t="s">
        <v>3935</v>
      </c>
      <c r="K548" s="61"/>
      <c r="L548" s="61"/>
    </row>
    <row r="549" spans="1:12" ht="27" customHeight="1">
      <c r="A549" s="61"/>
      <c r="B549" s="61" t="s">
        <v>2734</v>
      </c>
      <c r="C549" s="61" t="s">
        <v>2346</v>
      </c>
      <c r="D549" s="61" t="s">
        <v>3936</v>
      </c>
      <c r="E549" s="61" t="str">
        <f t="shared" si="8"/>
        <v>400265764</v>
      </c>
      <c r="F549" s="61" t="s">
        <v>2345</v>
      </c>
      <c r="G549" s="61" t="s">
        <v>2744</v>
      </c>
      <c r="H549" s="61" t="s">
        <v>42</v>
      </c>
      <c r="I549" s="61" t="s">
        <v>2733</v>
      </c>
      <c r="J549" s="61" t="s">
        <v>1332</v>
      </c>
      <c r="K549" s="61"/>
      <c r="L549" s="61"/>
    </row>
    <row r="550" spans="1:12" ht="27" customHeight="1">
      <c r="A550" s="61"/>
      <c r="B550" s="61" t="s">
        <v>3937</v>
      </c>
      <c r="C550" s="61" t="s">
        <v>685</v>
      </c>
      <c r="D550" s="61" t="s">
        <v>3938</v>
      </c>
      <c r="E550" s="61" t="str">
        <f t="shared" si="8"/>
        <v>402118346</v>
      </c>
      <c r="F550" s="61" t="s">
        <v>686</v>
      </c>
      <c r="G550" s="61" t="s">
        <v>2730</v>
      </c>
      <c r="H550" s="61" t="s">
        <v>42</v>
      </c>
      <c r="I550" s="61" t="s">
        <v>2733</v>
      </c>
      <c r="J550" s="61" t="s">
        <v>3939</v>
      </c>
      <c r="K550" s="61"/>
      <c r="L550" s="61"/>
    </row>
    <row r="551" spans="1:12" ht="27" customHeight="1">
      <c r="A551" s="61"/>
      <c r="B551" s="61" t="s">
        <v>2734</v>
      </c>
      <c r="C551" s="61" t="s">
        <v>2198</v>
      </c>
      <c r="D551" s="61" t="s">
        <v>3940</v>
      </c>
      <c r="E551" s="61" t="str">
        <f t="shared" si="8"/>
        <v>411160645</v>
      </c>
      <c r="F551" s="61" t="s">
        <v>686</v>
      </c>
      <c r="G551" s="61" t="s">
        <v>2730</v>
      </c>
      <c r="H551" s="61" t="s">
        <v>42</v>
      </c>
      <c r="I551" s="61" t="s">
        <v>2733</v>
      </c>
      <c r="J551" s="61" t="s">
        <v>1332</v>
      </c>
      <c r="K551" s="61"/>
      <c r="L551" s="61"/>
    </row>
    <row r="552" spans="1:12" ht="27" customHeight="1">
      <c r="A552" s="61"/>
      <c r="B552" s="61" t="s">
        <v>2734</v>
      </c>
      <c r="C552" s="61" t="s">
        <v>2197</v>
      </c>
      <c r="D552" s="61" t="s">
        <v>3941</v>
      </c>
      <c r="E552" s="61" t="str">
        <f t="shared" si="8"/>
        <v>400265775</v>
      </c>
      <c r="F552" s="61" t="s">
        <v>686</v>
      </c>
      <c r="G552" s="61" t="s">
        <v>2730</v>
      </c>
      <c r="H552" s="61" t="s">
        <v>42</v>
      </c>
      <c r="I552" s="61" t="s">
        <v>2733</v>
      </c>
      <c r="J552" s="61" t="s">
        <v>1332</v>
      </c>
      <c r="K552" s="61"/>
      <c r="L552" s="61"/>
    </row>
    <row r="553" spans="1:12" ht="27" customHeight="1">
      <c r="A553" s="61"/>
      <c r="B553" s="61" t="s">
        <v>3942</v>
      </c>
      <c r="C553" s="61" t="s">
        <v>688</v>
      </c>
      <c r="D553" s="61" t="s">
        <v>3943</v>
      </c>
      <c r="E553" s="61" t="str">
        <f t="shared" si="8"/>
        <v>401053473</v>
      </c>
      <c r="F553" s="61" t="s">
        <v>689</v>
      </c>
      <c r="G553" s="61" t="s">
        <v>2727</v>
      </c>
      <c r="H553" s="61" t="s">
        <v>42</v>
      </c>
      <c r="I553" s="61" t="s">
        <v>2733</v>
      </c>
      <c r="J553" s="61" t="s">
        <v>3944</v>
      </c>
      <c r="K553" s="61"/>
      <c r="L553" s="61"/>
    </row>
    <row r="554" spans="1:12" ht="27" customHeight="1">
      <c r="A554" s="61"/>
      <c r="B554" s="61" t="s">
        <v>2734</v>
      </c>
      <c r="C554" s="61" t="s">
        <v>2137</v>
      </c>
      <c r="D554" s="61" t="s">
        <v>3945</v>
      </c>
      <c r="E554" s="61" t="str">
        <f t="shared" si="8"/>
        <v>411160650</v>
      </c>
      <c r="F554" s="61" t="s">
        <v>689</v>
      </c>
      <c r="G554" s="61" t="s">
        <v>2727</v>
      </c>
      <c r="H554" s="61" t="s">
        <v>42</v>
      </c>
      <c r="I554" s="61" t="s">
        <v>2733</v>
      </c>
      <c r="J554" s="61" t="s">
        <v>1332</v>
      </c>
      <c r="K554" s="61"/>
      <c r="L554" s="61"/>
    </row>
    <row r="555" spans="1:12" ht="27" customHeight="1">
      <c r="A555" s="61"/>
      <c r="B555" s="61" t="s">
        <v>2734</v>
      </c>
      <c r="C555" s="61" t="s">
        <v>2136</v>
      </c>
      <c r="D555" s="61" t="s">
        <v>3946</v>
      </c>
      <c r="E555" s="61" t="str">
        <f t="shared" si="8"/>
        <v>400249990</v>
      </c>
      <c r="F555" s="61" t="s">
        <v>689</v>
      </c>
      <c r="G555" s="61" t="s">
        <v>2727</v>
      </c>
      <c r="H555" s="61" t="s">
        <v>42</v>
      </c>
      <c r="I555" s="61" t="s">
        <v>2733</v>
      </c>
      <c r="J555" s="61" t="s">
        <v>1332</v>
      </c>
      <c r="K555" s="61"/>
      <c r="L555" s="61"/>
    </row>
    <row r="556" spans="1:12" ht="27" customHeight="1">
      <c r="A556" s="61"/>
      <c r="B556" s="61" t="s">
        <v>3947</v>
      </c>
      <c r="C556" s="61" t="s">
        <v>700</v>
      </c>
      <c r="D556" s="61" t="s">
        <v>3948</v>
      </c>
      <c r="E556" s="61" t="str">
        <f t="shared" si="8"/>
        <v>401282464</v>
      </c>
      <c r="F556" s="61" t="s">
        <v>701</v>
      </c>
      <c r="G556" s="61" t="s">
        <v>2730</v>
      </c>
      <c r="H556" s="61" t="s">
        <v>42</v>
      </c>
      <c r="I556" s="61" t="s">
        <v>2733</v>
      </c>
      <c r="J556" s="61" t="s">
        <v>3949</v>
      </c>
      <c r="K556" s="61"/>
      <c r="L556" s="61"/>
    </row>
    <row r="557" spans="1:12" ht="27" customHeight="1">
      <c r="A557" s="61"/>
      <c r="B557" s="61" t="s">
        <v>2734</v>
      </c>
      <c r="C557" s="61" t="s">
        <v>2323</v>
      </c>
      <c r="D557" s="61" t="s">
        <v>3950</v>
      </c>
      <c r="E557" s="61" t="str">
        <f t="shared" si="8"/>
        <v>400272399</v>
      </c>
      <c r="F557" s="61" t="s">
        <v>701</v>
      </c>
      <c r="G557" s="61" t="s">
        <v>2730</v>
      </c>
      <c r="H557" s="61" t="s">
        <v>42</v>
      </c>
      <c r="I557" s="61" t="s">
        <v>2733</v>
      </c>
      <c r="J557" s="61" t="s">
        <v>1332</v>
      </c>
      <c r="K557" s="61"/>
      <c r="L557" s="61"/>
    </row>
    <row r="558" spans="1:12" ht="27" customHeight="1">
      <c r="A558" s="61"/>
      <c r="B558" s="61" t="s">
        <v>3951</v>
      </c>
      <c r="C558" s="61" t="s">
        <v>703</v>
      </c>
      <c r="D558" s="61" t="s">
        <v>3952</v>
      </c>
      <c r="E558" s="61" t="str">
        <f t="shared" si="8"/>
        <v>401468750</v>
      </c>
      <c r="F558" s="61" t="s">
        <v>704</v>
      </c>
      <c r="G558" s="61" t="s">
        <v>2754</v>
      </c>
      <c r="H558" s="61" t="s">
        <v>42</v>
      </c>
      <c r="I558" s="61" t="s">
        <v>2733</v>
      </c>
      <c r="J558" s="61" t="s">
        <v>3953</v>
      </c>
      <c r="K558" s="61"/>
      <c r="L558" s="61"/>
    </row>
    <row r="559" spans="1:12" ht="27" customHeight="1">
      <c r="A559" s="61"/>
      <c r="B559" s="61" t="s">
        <v>2734</v>
      </c>
      <c r="C559" s="61" t="s">
        <v>2429</v>
      </c>
      <c r="D559" s="61" t="s">
        <v>3954</v>
      </c>
      <c r="E559" s="61" t="str">
        <f t="shared" si="8"/>
        <v>411160670</v>
      </c>
      <c r="F559" s="61" t="s">
        <v>704</v>
      </c>
      <c r="G559" s="61" t="s">
        <v>2754</v>
      </c>
      <c r="H559" s="61" t="s">
        <v>42</v>
      </c>
      <c r="I559" s="61" t="s">
        <v>2733</v>
      </c>
      <c r="J559" s="61" t="s">
        <v>1332</v>
      </c>
      <c r="K559" s="61"/>
      <c r="L559" s="61"/>
    </row>
    <row r="560" spans="1:12" ht="27" customHeight="1">
      <c r="A560" s="61"/>
      <c r="B560" s="61" t="s">
        <v>2734</v>
      </c>
      <c r="C560" s="61" t="s">
        <v>2428</v>
      </c>
      <c r="D560" s="61" t="s">
        <v>3955</v>
      </c>
      <c r="E560" s="61" t="str">
        <f t="shared" si="8"/>
        <v>400265789</v>
      </c>
      <c r="F560" s="61" t="s">
        <v>704</v>
      </c>
      <c r="G560" s="61" t="s">
        <v>2754</v>
      </c>
      <c r="H560" s="61" t="s">
        <v>42</v>
      </c>
      <c r="I560" s="61" t="s">
        <v>2733</v>
      </c>
      <c r="J560" s="61" t="s">
        <v>1332</v>
      </c>
      <c r="K560" s="61"/>
      <c r="L560" s="61"/>
    </row>
    <row r="561" spans="1:12" ht="27" customHeight="1">
      <c r="A561" s="61"/>
      <c r="B561" s="61" t="s">
        <v>3956</v>
      </c>
      <c r="C561" s="61" t="s">
        <v>512</v>
      </c>
      <c r="D561" s="61" t="s">
        <v>3957</v>
      </c>
      <c r="E561" s="61" t="str">
        <f t="shared" si="8"/>
        <v>411160675</v>
      </c>
      <c r="F561" s="61" t="s">
        <v>513</v>
      </c>
      <c r="G561" s="61" t="s">
        <v>2744</v>
      </c>
      <c r="H561" s="61" t="s">
        <v>42</v>
      </c>
      <c r="I561" s="61" t="s">
        <v>2733</v>
      </c>
      <c r="J561" s="61" t="s">
        <v>3958</v>
      </c>
      <c r="K561" s="61"/>
      <c r="L561" s="61"/>
    </row>
    <row r="562" spans="1:12" ht="27" customHeight="1">
      <c r="A562" s="61"/>
      <c r="B562" s="61" t="s">
        <v>2734</v>
      </c>
      <c r="C562" s="61" t="s">
        <v>2309</v>
      </c>
      <c r="D562" s="61" t="s">
        <v>3959</v>
      </c>
      <c r="E562" s="61" t="str">
        <f t="shared" si="8"/>
        <v>400265791</v>
      </c>
      <c r="F562" s="61" t="s">
        <v>513</v>
      </c>
      <c r="G562" s="61" t="s">
        <v>2744</v>
      </c>
      <c r="H562" s="61" t="s">
        <v>42</v>
      </c>
      <c r="I562" s="61" t="s">
        <v>2733</v>
      </c>
      <c r="J562" s="61" t="s">
        <v>1332</v>
      </c>
      <c r="K562" s="61"/>
      <c r="L562" s="61"/>
    </row>
    <row r="563" spans="1:12" ht="27" customHeight="1">
      <c r="A563" s="61"/>
      <c r="B563" s="61" t="s">
        <v>3960</v>
      </c>
      <c r="C563" s="61" t="s">
        <v>706</v>
      </c>
      <c r="D563" s="61" t="s">
        <v>3961</v>
      </c>
      <c r="E563" s="61" t="str">
        <f t="shared" si="8"/>
        <v>411321351</v>
      </c>
      <c r="F563" s="61" t="s">
        <v>707</v>
      </c>
      <c r="G563" s="61" t="s">
        <v>2727</v>
      </c>
      <c r="H563" s="61" t="s">
        <v>42</v>
      </c>
      <c r="I563" s="61" t="s">
        <v>2733</v>
      </c>
      <c r="J563" s="61" t="s">
        <v>3962</v>
      </c>
      <c r="K563" s="61"/>
      <c r="L563" s="61"/>
    </row>
    <row r="564" spans="1:12" ht="27" customHeight="1">
      <c r="A564" s="61"/>
      <c r="B564" s="61" t="s">
        <v>2734</v>
      </c>
      <c r="C564" s="61" t="s">
        <v>2242</v>
      </c>
      <c r="D564" s="61" t="s">
        <v>3963</v>
      </c>
      <c r="E564" s="61" t="str">
        <f t="shared" si="8"/>
        <v>411160719</v>
      </c>
      <c r="F564" s="61" t="s">
        <v>707</v>
      </c>
      <c r="G564" s="61" t="s">
        <v>2727</v>
      </c>
      <c r="H564" s="61" t="s">
        <v>42</v>
      </c>
      <c r="I564" s="61" t="s">
        <v>2733</v>
      </c>
      <c r="J564" s="61" t="s">
        <v>1332</v>
      </c>
      <c r="K564" s="61"/>
      <c r="L564" s="61"/>
    </row>
    <row r="565" spans="1:12" ht="27" customHeight="1">
      <c r="A565" s="61"/>
      <c r="B565" s="61" t="s">
        <v>2734</v>
      </c>
      <c r="C565" s="61" t="s">
        <v>2241</v>
      </c>
      <c r="D565" s="61" t="s">
        <v>3964</v>
      </c>
      <c r="E565" s="61" t="str">
        <f t="shared" si="8"/>
        <v>400265824</v>
      </c>
      <c r="F565" s="61" t="s">
        <v>707</v>
      </c>
      <c r="G565" s="61" t="s">
        <v>2727</v>
      </c>
      <c r="H565" s="61" t="s">
        <v>42</v>
      </c>
      <c r="I565" s="61" t="s">
        <v>2733</v>
      </c>
      <c r="J565" s="61" t="s">
        <v>1332</v>
      </c>
      <c r="K565" s="61"/>
      <c r="L565" s="61"/>
    </row>
    <row r="566" spans="1:12" ht="27" customHeight="1">
      <c r="A566" s="61"/>
      <c r="B566" s="61" t="s">
        <v>3965</v>
      </c>
      <c r="C566" s="61" t="s">
        <v>723</v>
      </c>
      <c r="D566" s="61" t="s">
        <v>3966</v>
      </c>
      <c r="E566" s="61" t="str">
        <f t="shared" si="8"/>
        <v>400693193</v>
      </c>
      <c r="F566" s="61" t="s">
        <v>724</v>
      </c>
      <c r="G566" s="61" t="s">
        <v>2744</v>
      </c>
      <c r="H566" s="61" t="s">
        <v>42</v>
      </c>
      <c r="I566" s="61" t="s">
        <v>2733</v>
      </c>
      <c r="J566" s="61" t="s">
        <v>3967</v>
      </c>
      <c r="K566" s="61"/>
      <c r="L566" s="61"/>
    </row>
    <row r="567" spans="1:12" ht="27" customHeight="1">
      <c r="A567" s="61"/>
      <c r="B567" s="61" t="s">
        <v>2734</v>
      </c>
      <c r="C567" s="61" t="s">
        <v>2339</v>
      </c>
      <c r="D567" s="61" t="s">
        <v>3968</v>
      </c>
      <c r="E567" s="61" t="str">
        <f t="shared" si="8"/>
        <v>400292785</v>
      </c>
      <c r="F567" s="61" t="s">
        <v>724</v>
      </c>
      <c r="G567" s="61" t="s">
        <v>2744</v>
      </c>
      <c r="H567" s="61" t="s">
        <v>42</v>
      </c>
      <c r="I567" s="61" t="s">
        <v>2733</v>
      </c>
      <c r="J567" s="61" t="s">
        <v>1332</v>
      </c>
      <c r="K567" s="61"/>
      <c r="L567" s="61"/>
    </row>
    <row r="568" spans="1:12" ht="27" customHeight="1">
      <c r="A568" s="61"/>
      <c r="B568" s="61" t="s">
        <v>3969</v>
      </c>
      <c r="C568" s="61" t="s">
        <v>520</v>
      </c>
      <c r="D568" s="61" t="s">
        <v>3970</v>
      </c>
      <c r="E568" s="61" t="str">
        <f t="shared" si="8"/>
        <v>411160655</v>
      </c>
      <c r="F568" s="61" t="s">
        <v>521</v>
      </c>
      <c r="G568" s="61" t="s">
        <v>2730</v>
      </c>
      <c r="H568" s="61" t="s">
        <v>42</v>
      </c>
      <c r="I568" s="61" t="s">
        <v>2733</v>
      </c>
      <c r="J568" s="61" t="s">
        <v>3971</v>
      </c>
      <c r="K568" s="61"/>
      <c r="L568" s="61"/>
    </row>
    <row r="569" spans="1:12" ht="27" customHeight="1">
      <c r="A569" s="61"/>
      <c r="B569" s="61" t="s">
        <v>2734</v>
      </c>
      <c r="C569" s="61" t="s">
        <v>2190</v>
      </c>
      <c r="D569" s="61" t="s">
        <v>3972</v>
      </c>
      <c r="E569" s="61" t="str">
        <f t="shared" si="8"/>
        <v>400386902</v>
      </c>
      <c r="F569" s="61" t="s">
        <v>521</v>
      </c>
      <c r="G569" s="61" t="s">
        <v>2730</v>
      </c>
      <c r="H569" s="61" t="s">
        <v>42</v>
      </c>
      <c r="I569" s="61" t="s">
        <v>2733</v>
      </c>
      <c r="J569" s="61" t="s">
        <v>1332</v>
      </c>
      <c r="K569" s="61"/>
      <c r="L569" s="61"/>
    </row>
    <row r="570" spans="1:12" ht="27" customHeight="1">
      <c r="A570" s="61"/>
      <c r="B570" s="61" t="s">
        <v>2734</v>
      </c>
      <c r="C570" s="61" t="s">
        <v>2194</v>
      </c>
      <c r="D570" s="61" t="s">
        <v>2192</v>
      </c>
      <c r="E570" s="61" t="str">
        <f t="shared" si="8"/>
        <v>N62042189</v>
      </c>
      <c r="F570" s="61" t="s">
        <v>3973</v>
      </c>
      <c r="G570" s="61" t="s">
        <v>2730</v>
      </c>
      <c r="H570" s="61" t="s">
        <v>42</v>
      </c>
      <c r="I570" s="61" t="s">
        <v>2733</v>
      </c>
      <c r="J570" s="61" t="s">
        <v>1332</v>
      </c>
      <c r="K570" s="61"/>
      <c r="L570" s="61"/>
    </row>
    <row r="571" spans="1:12" ht="27" customHeight="1">
      <c r="A571" s="61"/>
      <c r="B571" s="61" t="s">
        <v>3974</v>
      </c>
      <c r="C571" s="61" t="s">
        <v>720</v>
      </c>
      <c r="D571" s="61" t="s">
        <v>3975</v>
      </c>
      <c r="E571" s="61" t="str">
        <f t="shared" si="8"/>
        <v>400700886</v>
      </c>
      <c r="F571" s="61" t="s">
        <v>721</v>
      </c>
      <c r="G571" s="61" t="s">
        <v>2727</v>
      </c>
      <c r="H571" s="61" t="s">
        <v>42</v>
      </c>
      <c r="I571" s="61" t="s">
        <v>2733</v>
      </c>
      <c r="J571" s="61" t="s">
        <v>3976</v>
      </c>
      <c r="K571" s="61"/>
      <c r="L571" s="61"/>
    </row>
    <row r="572" spans="1:12" ht="27" customHeight="1">
      <c r="A572" s="61"/>
      <c r="B572" s="61" t="s">
        <v>2734</v>
      </c>
      <c r="C572" s="61" t="s">
        <v>2643</v>
      </c>
      <c r="D572" s="61" t="s">
        <v>3977</v>
      </c>
      <c r="E572" s="61" t="str">
        <f t="shared" si="8"/>
        <v>401042459</v>
      </c>
      <c r="F572" s="61" t="s">
        <v>721</v>
      </c>
      <c r="G572" s="61" t="s">
        <v>2727</v>
      </c>
      <c r="H572" s="61" t="s">
        <v>42</v>
      </c>
      <c r="I572" s="61" t="s">
        <v>2733</v>
      </c>
      <c r="J572" s="61" t="s">
        <v>1332</v>
      </c>
      <c r="K572" s="61"/>
      <c r="L572" s="61"/>
    </row>
    <row r="573" spans="1:12" ht="27" customHeight="1">
      <c r="A573" s="61"/>
      <c r="B573" s="61" t="s">
        <v>3978</v>
      </c>
      <c r="C573" s="61" t="s">
        <v>714</v>
      </c>
      <c r="D573" s="61" t="s">
        <v>3979</v>
      </c>
      <c r="E573" s="61" t="str">
        <f t="shared" si="8"/>
        <v>401655756</v>
      </c>
      <c r="F573" s="61" t="s">
        <v>715</v>
      </c>
      <c r="G573" s="61" t="s">
        <v>2744</v>
      </c>
      <c r="H573" s="61" t="s">
        <v>42</v>
      </c>
      <c r="I573" s="61" t="s">
        <v>2733</v>
      </c>
      <c r="J573" s="61" t="s">
        <v>3980</v>
      </c>
      <c r="K573" s="61"/>
      <c r="L573" s="61"/>
    </row>
    <row r="574" spans="1:12" ht="27" customHeight="1">
      <c r="A574" s="61"/>
      <c r="B574" s="61" t="s">
        <v>2734</v>
      </c>
      <c r="C574" s="61" t="s">
        <v>2317</v>
      </c>
      <c r="D574" s="61" t="s">
        <v>3981</v>
      </c>
      <c r="E574" s="61" t="str">
        <f t="shared" si="8"/>
        <v>400433218</v>
      </c>
      <c r="F574" s="61" t="s">
        <v>2316</v>
      </c>
      <c r="G574" s="61" t="s">
        <v>2744</v>
      </c>
      <c r="H574" s="61" t="s">
        <v>42</v>
      </c>
      <c r="I574" s="61" t="s">
        <v>2733</v>
      </c>
      <c r="J574" s="61" t="s">
        <v>1332</v>
      </c>
      <c r="K574" s="61"/>
      <c r="L574" s="61"/>
    </row>
    <row r="575" spans="1:12" ht="27" customHeight="1">
      <c r="A575" s="61"/>
      <c r="B575" s="61" t="s">
        <v>2734</v>
      </c>
      <c r="C575" s="61" t="s">
        <v>2320</v>
      </c>
      <c r="D575" s="61" t="s">
        <v>2318</v>
      </c>
      <c r="E575" s="61" t="str">
        <f t="shared" si="8"/>
        <v>N62045760</v>
      </c>
      <c r="F575" s="61" t="s">
        <v>3982</v>
      </c>
      <c r="G575" s="61" t="s">
        <v>2744</v>
      </c>
      <c r="H575" s="61" t="s">
        <v>42</v>
      </c>
      <c r="I575" s="61" t="s">
        <v>2733</v>
      </c>
      <c r="J575" s="61" t="s">
        <v>1332</v>
      </c>
      <c r="K575" s="61"/>
      <c r="L575" s="61"/>
    </row>
    <row r="576" spans="1:12" ht="27" customHeight="1">
      <c r="A576" s="61"/>
      <c r="B576" s="61" t="s">
        <v>3983</v>
      </c>
      <c r="C576" s="61" t="s">
        <v>717</v>
      </c>
      <c r="D576" s="61" t="s">
        <v>3984</v>
      </c>
      <c r="E576" s="61" t="str">
        <f t="shared" si="8"/>
        <v>408369100</v>
      </c>
      <c r="F576" s="61" t="s">
        <v>718</v>
      </c>
      <c r="G576" s="61" t="s">
        <v>2730</v>
      </c>
      <c r="H576" s="61" t="s">
        <v>42</v>
      </c>
      <c r="I576" s="61" t="s">
        <v>2733</v>
      </c>
      <c r="J576" s="61" t="s">
        <v>3985</v>
      </c>
      <c r="K576" s="61"/>
      <c r="L576" s="61"/>
    </row>
    <row r="577" spans="1:14" ht="27" customHeight="1">
      <c r="A577" s="61"/>
      <c r="B577" s="61" t="s">
        <v>2734</v>
      </c>
      <c r="C577" s="61" t="s">
        <v>2506</v>
      </c>
      <c r="D577" s="61" t="s">
        <v>3986</v>
      </c>
      <c r="E577" s="61" t="str">
        <f t="shared" si="8"/>
        <v>400273433</v>
      </c>
      <c r="F577" s="61" t="s">
        <v>2505</v>
      </c>
      <c r="G577" s="61" t="s">
        <v>2730</v>
      </c>
      <c r="H577" s="61" t="s">
        <v>42</v>
      </c>
      <c r="I577" s="61" t="s">
        <v>2733</v>
      </c>
      <c r="J577" s="61" t="s">
        <v>1332</v>
      </c>
      <c r="K577" s="61"/>
      <c r="L577" s="61"/>
    </row>
    <row r="578" spans="1:14" ht="27" customHeight="1">
      <c r="A578" s="61"/>
      <c r="B578" s="61" t="s">
        <v>2734</v>
      </c>
      <c r="C578" s="61" t="s">
        <v>2509</v>
      </c>
      <c r="D578" s="61" t="s">
        <v>2507</v>
      </c>
      <c r="E578" s="61" t="str">
        <f t="shared" si="8"/>
        <v>N62049762</v>
      </c>
      <c r="F578" s="61" t="s">
        <v>3987</v>
      </c>
      <c r="G578" s="61" t="s">
        <v>2730</v>
      </c>
      <c r="H578" s="61" t="s">
        <v>42</v>
      </c>
      <c r="I578" s="61" t="s">
        <v>2733</v>
      </c>
      <c r="J578" s="61" t="s">
        <v>1332</v>
      </c>
      <c r="K578" s="61"/>
      <c r="L578" s="61"/>
    </row>
    <row r="579" spans="1:14" ht="38.1" customHeight="1">
      <c r="A579" s="61"/>
      <c r="B579" s="61" t="s">
        <v>3988</v>
      </c>
      <c r="C579" s="61" t="s">
        <v>691</v>
      </c>
      <c r="D579" s="61" t="s">
        <v>3989</v>
      </c>
      <c r="E579" s="61" t="str">
        <f t="shared" ref="E579:E642" si="9">LEFT(D579,9)</f>
        <v>401519148</v>
      </c>
      <c r="F579" s="61" t="s">
        <v>692</v>
      </c>
      <c r="G579" s="61" t="s">
        <v>2757</v>
      </c>
      <c r="H579" s="61" t="s">
        <v>42</v>
      </c>
      <c r="I579" s="61" t="s">
        <v>2733</v>
      </c>
      <c r="J579" s="61" t="s">
        <v>3990</v>
      </c>
      <c r="K579" s="61"/>
      <c r="L579" s="61"/>
    </row>
    <row r="580" spans="1:14" ht="27" customHeight="1">
      <c r="A580" s="61"/>
      <c r="B580" s="61" t="s">
        <v>2734</v>
      </c>
      <c r="C580" s="61" t="s">
        <v>2289</v>
      </c>
      <c r="D580" s="61" t="s">
        <v>3991</v>
      </c>
      <c r="E580" s="61" t="str">
        <f t="shared" si="9"/>
        <v>400265780</v>
      </c>
      <c r="F580" s="61" t="s">
        <v>692</v>
      </c>
      <c r="G580" s="61" t="s">
        <v>2757</v>
      </c>
      <c r="H580" s="61" t="s">
        <v>42</v>
      </c>
      <c r="I580" s="61" t="s">
        <v>2733</v>
      </c>
      <c r="J580" s="61" t="s">
        <v>1332</v>
      </c>
      <c r="K580" s="61"/>
      <c r="L580" s="61"/>
    </row>
    <row r="581" spans="1:14" ht="72.95" customHeight="1">
      <c r="A581" s="61"/>
      <c r="B581" s="61" t="s">
        <v>3992</v>
      </c>
      <c r="C581" s="61" t="s">
        <v>656</v>
      </c>
      <c r="D581" s="61" t="s">
        <v>3993</v>
      </c>
      <c r="E581" s="61" t="str">
        <f t="shared" si="9"/>
        <v>405970108</v>
      </c>
      <c r="F581" s="61" t="s">
        <v>657</v>
      </c>
      <c r="G581" s="61" t="s">
        <v>3020</v>
      </c>
      <c r="H581" s="61" t="s">
        <v>42</v>
      </c>
      <c r="I581" s="61" t="s">
        <v>2733</v>
      </c>
      <c r="J581" s="61" t="s">
        <v>3994</v>
      </c>
      <c r="K581" s="61"/>
      <c r="L581" s="61"/>
    </row>
    <row r="582" spans="1:14" ht="27" customHeight="1">
      <c r="A582" s="61"/>
      <c r="B582" s="61" t="s">
        <v>2734</v>
      </c>
      <c r="C582" s="61" t="s">
        <v>2411</v>
      </c>
      <c r="D582" s="61" t="s">
        <v>3995</v>
      </c>
      <c r="E582" s="61" t="str">
        <f t="shared" si="9"/>
        <v>400292508</v>
      </c>
      <c r="F582" s="61" t="s">
        <v>2410</v>
      </c>
      <c r="G582" s="61" t="s">
        <v>3020</v>
      </c>
      <c r="H582" s="61" t="s">
        <v>42</v>
      </c>
      <c r="I582" s="61" t="s">
        <v>2733</v>
      </c>
      <c r="J582" s="61" t="s">
        <v>1332</v>
      </c>
      <c r="K582" s="61"/>
      <c r="L582" s="61"/>
    </row>
    <row r="583" spans="1:14" ht="27" customHeight="1">
      <c r="A583" s="61"/>
      <c r="B583" s="61" t="s">
        <v>3996</v>
      </c>
      <c r="C583" s="61" t="s">
        <v>694</v>
      </c>
      <c r="D583" s="61" t="s">
        <v>3997</v>
      </c>
      <c r="E583" s="61" t="str">
        <f t="shared" si="9"/>
        <v>401316098</v>
      </c>
      <c r="F583" s="61" t="s">
        <v>695</v>
      </c>
      <c r="G583" s="61" t="s">
        <v>2746</v>
      </c>
      <c r="H583" s="61" t="s">
        <v>42</v>
      </c>
      <c r="I583" s="61" t="s">
        <v>2733</v>
      </c>
      <c r="J583" s="61" t="s">
        <v>3998</v>
      </c>
      <c r="K583" s="61"/>
      <c r="L583" s="61"/>
    </row>
    <row r="584" spans="1:14" ht="27" customHeight="1">
      <c r="A584" s="61"/>
      <c r="B584" s="61" t="s">
        <v>2734</v>
      </c>
      <c r="C584" s="61" t="s">
        <v>2361</v>
      </c>
      <c r="D584" s="61" t="s">
        <v>3999</v>
      </c>
      <c r="E584" s="61" t="str">
        <f t="shared" si="9"/>
        <v>400265785</v>
      </c>
      <c r="F584" s="61" t="s">
        <v>2360</v>
      </c>
      <c r="G584" s="61" t="s">
        <v>2746</v>
      </c>
      <c r="H584" s="61" t="s">
        <v>42</v>
      </c>
      <c r="I584" s="61" t="s">
        <v>2733</v>
      </c>
      <c r="J584" s="61" t="s">
        <v>1332</v>
      </c>
      <c r="K584" s="61"/>
      <c r="L584" s="61"/>
    </row>
    <row r="585" spans="1:14" ht="15.95" customHeight="1">
      <c r="A585" s="61"/>
      <c r="B585" s="61" t="s">
        <v>4000</v>
      </c>
      <c r="C585" s="61" t="s">
        <v>63</v>
      </c>
      <c r="D585" s="61" t="s">
        <v>4001</v>
      </c>
      <c r="E585" s="61" t="s">
        <v>4001</v>
      </c>
      <c r="F585" s="61" t="s">
        <v>64</v>
      </c>
      <c r="G585" s="61" t="s">
        <v>2730</v>
      </c>
      <c r="H585" s="61" t="s">
        <v>42</v>
      </c>
      <c r="I585" s="61" t="s">
        <v>2733</v>
      </c>
      <c r="J585" s="61" t="s">
        <v>4002</v>
      </c>
      <c r="K585" s="61"/>
      <c r="L585" s="61"/>
      <c r="N585" s="54" t="str">
        <f>TRIM(E585)</f>
        <v>400230812</v>
      </c>
    </row>
    <row r="586" spans="1:14" ht="15.95" customHeight="1">
      <c r="A586" s="61"/>
      <c r="B586" s="61" t="s">
        <v>4003</v>
      </c>
      <c r="C586" s="61" t="s">
        <v>79</v>
      </c>
      <c r="D586" s="61" t="s">
        <v>4004</v>
      </c>
      <c r="E586" s="61" t="str">
        <f t="shared" si="9"/>
        <v>405810263</v>
      </c>
      <c r="F586" s="61" t="s">
        <v>80</v>
      </c>
      <c r="G586" s="61" t="s">
        <v>2730</v>
      </c>
      <c r="H586" s="61" t="s">
        <v>42</v>
      </c>
      <c r="I586" s="61" t="s">
        <v>2733</v>
      </c>
      <c r="J586" s="61" t="s">
        <v>4005</v>
      </c>
      <c r="K586" s="61"/>
      <c r="L586" s="61"/>
    </row>
    <row r="587" spans="1:14" ht="15.95" customHeight="1">
      <c r="A587" s="61"/>
      <c r="B587" s="61" t="s">
        <v>2734</v>
      </c>
      <c r="C587" s="61" t="s">
        <v>1965</v>
      </c>
      <c r="D587" s="61" t="s">
        <v>4006</v>
      </c>
      <c r="E587" s="61" t="str">
        <f t="shared" si="9"/>
        <v>400567115</v>
      </c>
      <c r="F587" s="61" t="s">
        <v>80</v>
      </c>
      <c r="G587" s="61" t="s">
        <v>2730</v>
      </c>
      <c r="H587" s="61" t="s">
        <v>42</v>
      </c>
      <c r="I587" s="61" t="s">
        <v>2733</v>
      </c>
      <c r="J587" s="61" t="s">
        <v>1332</v>
      </c>
      <c r="K587" s="61"/>
      <c r="L587" s="61"/>
    </row>
    <row r="588" spans="1:14" ht="27" customHeight="1">
      <c r="A588" s="61"/>
      <c r="B588" s="61" t="s">
        <v>4007</v>
      </c>
      <c r="C588" s="61" t="s">
        <v>107</v>
      </c>
      <c r="D588" s="61" t="s">
        <v>4008</v>
      </c>
      <c r="E588" s="61" t="str">
        <f t="shared" si="9"/>
        <v>416253566</v>
      </c>
      <c r="F588" s="61" t="s">
        <v>108</v>
      </c>
      <c r="G588" s="61" t="s">
        <v>2757</v>
      </c>
      <c r="H588" s="61" t="s">
        <v>42</v>
      </c>
      <c r="I588" s="61" t="s">
        <v>2733</v>
      </c>
      <c r="J588" s="61" t="s">
        <v>4009</v>
      </c>
      <c r="K588" s="61"/>
      <c r="L588" s="61"/>
    </row>
    <row r="589" spans="1:14" ht="38.1" customHeight="1">
      <c r="A589" s="61"/>
      <c r="B589" s="61" t="s">
        <v>2734</v>
      </c>
      <c r="C589" s="61" t="s">
        <v>2097</v>
      </c>
      <c r="D589" s="61" t="s">
        <v>2096</v>
      </c>
      <c r="E589" s="61" t="str">
        <f t="shared" si="9"/>
        <v>N29105186</v>
      </c>
      <c r="F589" s="61" t="s">
        <v>4010</v>
      </c>
      <c r="G589" s="61" t="s">
        <v>2757</v>
      </c>
      <c r="H589" s="61" t="s">
        <v>42</v>
      </c>
      <c r="I589" s="61" t="s">
        <v>2733</v>
      </c>
      <c r="J589" s="61" t="s">
        <v>1332</v>
      </c>
      <c r="K589" s="61"/>
      <c r="L589" s="61"/>
    </row>
    <row r="590" spans="1:14" ht="38.1" customHeight="1">
      <c r="A590" s="61"/>
      <c r="B590" s="61" t="s">
        <v>4011</v>
      </c>
      <c r="C590" s="61" t="s">
        <v>92</v>
      </c>
      <c r="D590" s="61" t="s">
        <v>93</v>
      </c>
      <c r="E590" s="61" t="str">
        <f t="shared" si="9"/>
        <v>N29107174</v>
      </c>
      <c r="F590" s="61" t="s">
        <v>4012</v>
      </c>
      <c r="G590" s="61" t="s">
        <v>2744</v>
      </c>
      <c r="H590" s="61" t="s">
        <v>42</v>
      </c>
      <c r="I590" s="61" t="s">
        <v>2733</v>
      </c>
      <c r="J590" s="61" t="s">
        <v>4013</v>
      </c>
      <c r="K590" s="61"/>
      <c r="L590" s="61"/>
    </row>
    <row r="591" spans="1:14" ht="15.95" customHeight="1">
      <c r="A591" s="61"/>
      <c r="B591" s="61" t="s">
        <v>4014</v>
      </c>
      <c r="C591" s="61" t="s">
        <v>101</v>
      </c>
      <c r="D591" s="61" t="s">
        <v>4015</v>
      </c>
      <c r="E591" s="61" t="str">
        <f t="shared" si="9"/>
        <v>400576799</v>
      </c>
      <c r="F591" s="61" t="s">
        <v>102</v>
      </c>
      <c r="G591" s="61" t="s">
        <v>2727</v>
      </c>
      <c r="H591" s="61" t="s">
        <v>42</v>
      </c>
      <c r="I591" s="61" t="s">
        <v>2733</v>
      </c>
      <c r="J591" s="61" t="s">
        <v>4016</v>
      </c>
      <c r="K591" s="61"/>
      <c r="L591" s="61"/>
    </row>
    <row r="592" spans="1:14" ht="15.95" customHeight="1">
      <c r="A592" s="61"/>
      <c r="B592" s="61" t="s">
        <v>2734</v>
      </c>
      <c r="C592" s="61" t="s">
        <v>4017</v>
      </c>
      <c r="D592" s="61" t="s">
        <v>4018</v>
      </c>
      <c r="E592" s="61" t="str">
        <f t="shared" si="9"/>
        <v>400565356</v>
      </c>
      <c r="F592" s="61" t="s">
        <v>102</v>
      </c>
      <c r="G592" s="61" t="s">
        <v>2727</v>
      </c>
      <c r="H592" s="61" t="s">
        <v>42</v>
      </c>
      <c r="I592" s="61" t="s">
        <v>2733</v>
      </c>
      <c r="J592" s="61" t="s">
        <v>1332</v>
      </c>
      <c r="K592" s="61"/>
      <c r="L592" s="61"/>
    </row>
    <row r="593" spans="1:12" ht="15.95" customHeight="1">
      <c r="A593" s="61"/>
      <c r="B593" s="61" t="s">
        <v>4019</v>
      </c>
      <c r="C593" s="61" t="s">
        <v>103</v>
      </c>
      <c r="D593" s="61" t="s">
        <v>4020</v>
      </c>
      <c r="E593" s="61" t="str">
        <f t="shared" si="9"/>
        <v>400763131</v>
      </c>
      <c r="F593" s="61" t="s">
        <v>104</v>
      </c>
      <c r="G593" s="61" t="s">
        <v>2727</v>
      </c>
      <c r="H593" s="61" t="s">
        <v>42</v>
      </c>
      <c r="I593" s="61" t="s">
        <v>2733</v>
      </c>
      <c r="J593" s="61" t="s">
        <v>4021</v>
      </c>
      <c r="K593" s="61"/>
      <c r="L593" s="61"/>
    </row>
    <row r="594" spans="1:12" ht="27" customHeight="1">
      <c r="A594" s="61"/>
      <c r="B594" s="61" t="s">
        <v>2734</v>
      </c>
      <c r="C594" s="61" t="s">
        <v>1892</v>
      </c>
      <c r="D594" s="61" t="s">
        <v>1891</v>
      </c>
      <c r="E594" s="61" t="str">
        <f t="shared" si="9"/>
        <v>N62229828</v>
      </c>
      <c r="F594" s="61" t="s">
        <v>4022</v>
      </c>
      <c r="G594" s="61" t="s">
        <v>2727</v>
      </c>
      <c r="H594" s="61" t="s">
        <v>42</v>
      </c>
      <c r="I594" s="61" t="s">
        <v>2733</v>
      </c>
      <c r="J594" s="61" t="s">
        <v>1332</v>
      </c>
      <c r="K594" s="61"/>
      <c r="L594" s="61"/>
    </row>
    <row r="595" spans="1:12" ht="15.95" customHeight="1">
      <c r="A595" s="61"/>
      <c r="B595" s="61" t="s">
        <v>4023</v>
      </c>
      <c r="C595" s="61" t="s">
        <v>105</v>
      </c>
      <c r="D595" s="61" t="s">
        <v>4024</v>
      </c>
      <c r="E595" s="61" t="str">
        <f t="shared" si="9"/>
        <v>400192792</v>
      </c>
      <c r="F595" s="61" t="s">
        <v>106</v>
      </c>
      <c r="G595" s="61" t="s">
        <v>2746</v>
      </c>
      <c r="H595" s="61" t="s">
        <v>42</v>
      </c>
      <c r="I595" s="61" t="s">
        <v>2733</v>
      </c>
      <c r="J595" s="61" t="s">
        <v>4025</v>
      </c>
      <c r="K595" s="61"/>
      <c r="L595" s="61"/>
    </row>
    <row r="596" spans="1:12" ht="15.95" customHeight="1">
      <c r="A596" s="61"/>
      <c r="B596" s="61" t="s">
        <v>2734</v>
      </c>
      <c r="C596" s="61" t="s">
        <v>4026</v>
      </c>
      <c r="D596" s="61" t="s">
        <v>4027</v>
      </c>
      <c r="E596" s="61" t="str">
        <f t="shared" si="9"/>
        <v>400019994</v>
      </c>
      <c r="F596" s="61" t="s">
        <v>4028</v>
      </c>
      <c r="G596" s="61" t="s">
        <v>2746</v>
      </c>
      <c r="H596" s="61" t="s">
        <v>42</v>
      </c>
      <c r="I596" s="61" t="s">
        <v>2733</v>
      </c>
      <c r="J596" s="61" t="s">
        <v>1332</v>
      </c>
      <c r="K596" s="61"/>
      <c r="L596" s="61"/>
    </row>
    <row r="597" spans="1:12" ht="72.95" customHeight="1">
      <c r="A597" s="61"/>
      <c r="B597" s="61" t="s">
        <v>4029</v>
      </c>
      <c r="C597" s="61" t="s">
        <v>124</v>
      </c>
      <c r="D597" s="61" t="s">
        <v>4030</v>
      </c>
      <c r="E597" s="61" t="str">
        <f t="shared" si="9"/>
        <v>400229117</v>
      </c>
      <c r="F597" s="61" t="s">
        <v>125</v>
      </c>
      <c r="G597" s="61" t="s">
        <v>3263</v>
      </c>
      <c r="H597" s="61" t="s">
        <v>42</v>
      </c>
      <c r="I597" s="61" t="s">
        <v>2733</v>
      </c>
      <c r="J597" s="61" t="s">
        <v>4031</v>
      </c>
      <c r="K597" s="61"/>
      <c r="L597" s="61"/>
    </row>
    <row r="598" spans="1:12" ht="27" customHeight="1">
      <c r="A598" s="61"/>
      <c r="B598" s="61" t="s">
        <v>4032</v>
      </c>
      <c r="C598" s="61" t="s">
        <v>384</v>
      </c>
      <c r="D598" s="61" t="s">
        <v>4033</v>
      </c>
      <c r="E598" s="61" t="str">
        <f t="shared" si="9"/>
        <v>400043188</v>
      </c>
      <c r="F598" s="61" t="s">
        <v>385</v>
      </c>
      <c r="G598" s="61" t="s">
        <v>3082</v>
      </c>
      <c r="H598" s="61" t="s">
        <v>42</v>
      </c>
      <c r="I598" s="61" t="s">
        <v>2733</v>
      </c>
      <c r="J598" s="61" t="s">
        <v>4034</v>
      </c>
      <c r="K598" s="61"/>
      <c r="L598" s="61"/>
    </row>
    <row r="599" spans="1:12" ht="15.95" customHeight="1">
      <c r="A599" s="61"/>
      <c r="B599" s="61" t="s">
        <v>4035</v>
      </c>
      <c r="C599" s="61" t="s">
        <v>738</v>
      </c>
      <c r="D599" s="61" t="s">
        <v>4036</v>
      </c>
      <c r="E599" s="61" t="str">
        <f t="shared" si="9"/>
        <v>400117128</v>
      </c>
      <c r="F599" s="61" t="s">
        <v>739</v>
      </c>
      <c r="G599" s="61" t="s">
        <v>2730</v>
      </c>
      <c r="H599" s="61" t="s">
        <v>42</v>
      </c>
      <c r="I599" s="61" t="s">
        <v>2733</v>
      </c>
      <c r="J599" s="61" t="s">
        <v>4037</v>
      </c>
      <c r="K599" s="61"/>
      <c r="L599" s="61"/>
    </row>
    <row r="600" spans="1:12" ht="15.95" customHeight="1">
      <c r="A600" s="61"/>
      <c r="B600" s="61" t="s">
        <v>4038</v>
      </c>
      <c r="C600" s="61" t="s">
        <v>841</v>
      </c>
      <c r="D600" s="61" t="s">
        <v>4039</v>
      </c>
      <c r="E600" s="61" t="str">
        <f t="shared" si="9"/>
        <v>401059905</v>
      </c>
      <c r="F600" s="61" t="s">
        <v>842</v>
      </c>
      <c r="G600" s="61" t="s">
        <v>2746</v>
      </c>
      <c r="H600" s="61" t="s">
        <v>42</v>
      </c>
      <c r="I600" s="61" t="s">
        <v>2733</v>
      </c>
      <c r="J600" s="61" t="s">
        <v>4040</v>
      </c>
      <c r="K600" s="61"/>
      <c r="L600" s="61"/>
    </row>
    <row r="601" spans="1:12" ht="15.95" customHeight="1">
      <c r="A601" s="61"/>
      <c r="B601" s="61" t="s">
        <v>4041</v>
      </c>
      <c r="C601" s="61" t="s">
        <v>845</v>
      </c>
      <c r="D601" s="61" t="s">
        <v>4042</v>
      </c>
      <c r="E601" s="61" t="str">
        <f t="shared" si="9"/>
        <v>405968065</v>
      </c>
      <c r="F601" s="61" t="s">
        <v>846</v>
      </c>
      <c r="G601" s="61" t="s">
        <v>2727</v>
      </c>
      <c r="H601" s="61" t="s">
        <v>42</v>
      </c>
      <c r="I601" s="61" t="s">
        <v>2733</v>
      </c>
      <c r="J601" s="61" t="s">
        <v>4043</v>
      </c>
      <c r="K601" s="61"/>
      <c r="L601" s="61"/>
    </row>
    <row r="602" spans="1:12" ht="15.95" customHeight="1">
      <c r="A602" s="61"/>
      <c r="B602" s="61" t="s">
        <v>2734</v>
      </c>
      <c r="C602" s="61" t="s">
        <v>4044</v>
      </c>
      <c r="D602" s="61" t="s">
        <v>4045</v>
      </c>
      <c r="E602" s="61" t="str">
        <f t="shared" si="9"/>
        <v>400251008</v>
      </c>
      <c r="F602" s="61" t="s">
        <v>4046</v>
      </c>
      <c r="G602" s="61" t="s">
        <v>2727</v>
      </c>
      <c r="H602" s="61" t="s">
        <v>42</v>
      </c>
      <c r="I602" s="61" t="s">
        <v>2733</v>
      </c>
      <c r="J602" s="61" t="s">
        <v>1332</v>
      </c>
      <c r="K602" s="61"/>
      <c r="L602" s="61"/>
    </row>
    <row r="603" spans="1:12" ht="50.1" customHeight="1">
      <c r="A603" s="61"/>
      <c r="B603" s="61" t="s">
        <v>4047</v>
      </c>
      <c r="C603" s="61" t="s">
        <v>847</v>
      </c>
      <c r="D603" s="61" t="s">
        <v>4048</v>
      </c>
      <c r="E603" s="61" t="str">
        <f t="shared" si="9"/>
        <v>408730037</v>
      </c>
      <c r="F603" s="61" t="s">
        <v>848</v>
      </c>
      <c r="G603" s="61" t="s">
        <v>2806</v>
      </c>
      <c r="H603" s="61" t="s">
        <v>42</v>
      </c>
      <c r="I603" s="61" t="s">
        <v>2733</v>
      </c>
      <c r="J603" s="61" t="s">
        <v>4049</v>
      </c>
      <c r="K603" s="61"/>
      <c r="L603" s="61"/>
    </row>
    <row r="604" spans="1:12" ht="27" customHeight="1">
      <c r="A604" s="61"/>
      <c r="B604" s="61" t="s">
        <v>4050</v>
      </c>
      <c r="C604" s="61" t="s">
        <v>849</v>
      </c>
      <c r="D604" s="61" t="s">
        <v>4051</v>
      </c>
      <c r="E604" s="61" t="str">
        <f t="shared" si="9"/>
        <v>405968069</v>
      </c>
      <c r="F604" s="61" t="s">
        <v>850</v>
      </c>
      <c r="G604" s="61" t="s">
        <v>2757</v>
      </c>
      <c r="H604" s="61" t="s">
        <v>42</v>
      </c>
      <c r="I604" s="61" t="s">
        <v>2733</v>
      </c>
      <c r="J604" s="61" t="s">
        <v>4052</v>
      </c>
      <c r="K604" s="61"/>
      <c r="L604" s="61"/>
    </row>
    <row r="605" spans="1:12" ht="15.95" customHeight="1">
      <c r="A605" s="61"/>
      <c r="B605" s="61" t="s">
        <v>4053</v>
      </c>
      <c r="C605" s="61" t="s">
        <v>77</v>
      </c>
      <c r="D605" s="61" t="s">
        <v>4054</v>
      </c>
      <c r="E605" s="61" t="str">
        <f t="shared" si="9"/>
        <v>409051129</v>
      </c>
      <c r="F605" s="61" t="s">
        <v>78</v>
      </c>
      <c r="G605" s="61" t="s">
        <v>2744</v>
      </c>
      <c r="H605" s="61" t="s">
        <v>42</v>
      </c>
      <c r="I605" s="61" t="s">
        <v>2733</v>
      </c>
      <c r="J605" s="61" t="s">
        <v>4055</v>
      </c>
      <c r="K605" s="61"/>
      <c r="L605" s="61"/>
    </row>
    <row r="606" spans="1:12" ht="27" customHeight="1">
      <c r="A606" s="61"/>
      <c r="B606" s="61" t="s">
        <v>3664</v>
      </c>
      <c r="C606" s="61" t="s">
        <v>802</v>
      </c>
      <c r="D606" s="61" t="s">
        <v>4056</v>
      </c>
      <c r="E606" s="61" t="str">
        <f t="shared" si="9"/>
        <v>400479535</v>
      </c>
      <c r="F606" s="61" t="s">
        <v>803</v>
      </c>
      <c r="G606" s="61" t="s">
        <v>2760</v>
      </c>
      <c r="H606" s="61" t="s">
        <v>42</v>
      </c>
      <c r="I606" s="61" t="s">
        <v>2733</v>
      </c>
      <c r="J606" s="61" t="s">
        <v>4057</v>
      </c>
      <c r="K606" s="61"/>
      <c r="L606" s="61"/>
    </row>
    <row r="607" spans="1:12" ht="27" customHeight="1">
      <c r="A607" s="61"/>
      <c r="B607" s="61" t="s">
        <v>2734</v>
      </c>
      <c r="C607" s="61" t="s">
        <v>1826</v>
      </c>
      <c r="D607" s="61" t="s">
        <v>1824</v>
      </c>
      <c r="E607" s="61" t="str">
        <f t="shared" si="9"/>
        <v>N29137924</v>
      </c>
      <c r="F607" s="61" t="s">
        <v>4058</v>
      </c>
      <c r="G607" s="61" t="s">
        <v>2760</v>
      </c>
      <c r="H607" s="61" t="s">
        <v>42</v>
      </c>
      <c r="I607" s="61" t="s">
        <v>2733</v>
      </c>
      <c r="J607" s="61" t="s">
        <v>1332</v>
      </c>
      <c r="K607" s="61"/>
      <c r="L607" s="61"/>
    </row>
    <row r="608" spans="1:12" ht="27" customHeight="1">
      <c r="A608" s="61"/>
      <c r="B608" s="61" t="s">
        <v>4059</v>
      </c>
      <c r="C608" s="61" t="s">
        <v>810</v>
      </c>
      <c r="D608" s="61" t="s">
        <v>4060</v>
      </c>
      <c r="E608" s="61" t="str">
        <f t="shared" si="9"/>
        <v>400345615</v>
      </c>
      <c r="F608" s="61" t="s">
        <v>811</v>
      </c>
      <c r="G608" s="61" t="s">
        <v>2748</v>
      </c>
      <c r="H608" s="61" t="s">
        <v>42</v>
      </c>
      <c r="I608" s="61" t="s">
        <v>2733</v>
      </c>
      <c r="J608" s="61" t="s">
        <v>4061</v>
      </c>
      <c r="K608" s="61"/>
      <c r="L608" s="61"/>
    </row>
    <row r="609" spans="1:12" ht="15.95" customHeight="1">
      <c r="A609" s="61"/>
      <c r="B609" s="61" t="s">
        <v>4062</v>
      </c>
      <c r="C609" s="61" t="s">
        <v>843</v>
      </c>
      <c r="D609" s="61" t="s">
        <v>4063</v>
      </c>
      <c r="E609" s="61" t="str">
        <f t="shared" si="9"/>
        <v>408730039</v>
      </c>
      <c r="F609" s="61" t="s">
        <v>844</v>
      </c>
      <c r="G609" s="61" t="s">
        <v>2730</v>
      </c>
      <c r="H609" s="61" t="s">
        <v>42</v>
      </c>
      <c r="I609" s="61" t="s">
        <v>2733</v>
      </c>
      <c r="J609" s="61" t="s">
        <v>4064</v>
      </c>
      <c r="K609" s="61"/>
      <c r="L609" s="61"/>
    </row>
    <row r="610" spans="1:12" ht="15.95" customHeight="1">
      <c r="A610" s="61"/>
      <c r="B610" s="61" t="s">
        <v>4065</v>
      </c>
      <c r="C610" s="61" t="s">
        <v>851</v>
      </c>
      <c r="D610" s="61" t="s">
        <v>4066</v>
      </c>
      <c r="E610" s="61" t="str">
        <f t="shared" si="9"/>
        <v>408730035</v>
      </c>
      <c r="F610" s="61" t="s">
        <v>852</v>
      </c>
      <c r="G610" s="61" t="s">
        <v>2730</v>
      </c>
      <c r="H610" s="61" t="s">
        <v>42</v>
      </c>
      <c r="I610" s="61" t="s">
        <v>2733</v>
      </c>
      <c r="J610" s="61" t="s">
        <v>4067</v>
      </c>
      <c r="K610" s="61"/>
      <c r="L610" s="61"/>
    </row>
    <row r="611" spans="1:12" ht="15.95" customHeight="1">
      <c r="A611" s="61"/>
      <c r="B611" s="61" t="s">
        <v>4068</v>
      </c>
      <c r="C611" s="61" t="s">
        <v>855</v>
      </c>
      <c r="D611" s="61" t="s">
        <v>4069</v>
      </c>
      <c r="E611" s="61" t="str">
        <f t="shared" si="9"/>
        <v>406813819</v>
      </c>
      <c r="F611" s="61" t="s">
        <v>856</v>
      </c>
      <c r="G611" s="61" t="s">
        <v>2730</v>
      </c>
      <c r="H611" s="61" t="s">
        <v>42</v>
      </c>
      <c r="I611" s="61" t="s">
        <v>2733</v>
      </c>
      <c r="J611" s="61" t="s">
        <v>4070</v>
      </c>
      <c r="K611" s="61"/>
      <c r="L611" s="61"/>
    </row>
    <row r="612" spans="1:12" ht="15.95" customHeight="1">
      <c r="A612" s="61"/>
      <c r="B612" s="61" t="s">
        <v>4071</v>
      </c>
      <c r="C612" s="61" t="s">
        <v>74</v>
      </c>
      <c r="D612" s="61" t="s">
        <v>4072</v>
      </c>
      <c r="E612" s="61" t="str">
        <f t="shared" si="9"/>
        <v>400435018</v>
      </c>
      <c r="F612" s="61" t="s">
        <v>75</v>
      </c>
      <c r="G612" s="61" t="s">
        <v>2730</v>
      </c>
      <c r="H612" s="61" t="s">
        <v>42</v>
      </c>
      <c r="I612" s="61" t="s">
        <v>2733</v>
      </c>
      <c r="J612" s="61" t="s">
        <v>4073</v>
      </c>
      <c r="K612" s="61"/>
      <c r="L612" s="61"/>
    </row>
    <row r="613" spans="1:12" ht="27" customHeight="1">
      <c r="A613" s="61"/>
      <c r="B613" s="61" t="s">
        <v>4074</v>
      </c>
      <c r="C613" s="61" t="s">
        <v>864</v>
      </c>
      <c r="D613" s="61" t="s">
        <v>4075</v>
      </c>
      <c r="E613" s="61" t="str">
        <f t="shared" si="9"/>
        <v>400911776</v>
      </c>
      <c r="F613" s="61" t="s">
        <v>4076</v>
      </c>
      <c r="G613" s="61" t="s">
        <v>2744</v>
      </c>
      <c r="H613" s="61" t="s">
        <v>42</v>
      </c>
      <c r="I613" s="61" t="s">
        <v>2733</v>
      </c>
      <c r="J613" s="61" t="s">
        <v>4077</v>
      </c>
      <c r="K613" s="61"/>
      <c r="L613" s="61"/>
    </row>
    <row r="614" spans="1:12" ht="15.95" customHeight="1">
      <c r="A614" s="61"/>
      <c r="B614" s="61" t="s">
        <v>4078</v>
      </c>
      <c r="C614" s="61" t="s">
        <v>853</v>
      </c>
      <c r="D614" s="61" t="s">
        <v>4079</v>
      </c>
      <c r="E614" s="61" t="str">
        <f t="shared" si="9"/>
        <v>401417242</v>
      </c>
      <c r="F614" s="61" t="s">
        <v>854</v>
      </c>
      <c r="G614" s="61" t="s">
        <v>2757</v>
      </c>
      <c r="H614" s="61" t="s">
        <v>42</v>
      </c>
      <c r="I614" s="61" t="s">
        <v>2733</v>
      </c>
      <c r="J614" s="61" t="s">
        <v>4080</v>
      </c>
      <c r="K614" s="61"/>
      <c r="L614" s="61"/>
    </row>
    <row r="615" spans="1:12" ht="27" customHeight="1">
      <c r="A615" s="61"/>
      <c r="B615" s="61" t="s">
        <v>4081</v>
      </c>
      <c r="C615" s="61" t="s">
        <v>857</v>
      </c>
      <c r="D615" s="61" t="s">
        <v>858</v>
      </c>
      <c r="E615" s="61" t="str">
        <f t="shared" si="9"/>
        <v>N62247267</v>
      </c>
      <c r="F615" s="61" t="s">
        <v>4082</v>
      </c>
      <c r="G615" s="61" t="s">
        <v>2727</v>
      </c>
      <c r="H615" s="61" t="s">
        <v>42</v>
      </c>
      <c r="I615" s="61" t="s">
        <v>2733</v>
      </c>
      <c r="J615" s="61" t="s">
        <v>4083</v>
      </c>
      <c r="K615" s="61"/>
      <c r="L615" s="61"/>
    </row>
    <row r="616" spans="1:12" ht="15.95" customHeight="1">
      <c r="A616" s="61"/>
      <c r="B616" s="61" t="s">
        <v>2734</v>
      </c>
      <c r="C616" s="61" t="s">
        <v>1975</v>
      </c>
      <c r="D616" s="61" t="s">
        <v>1973</v>
      </c>
      <c r="E616" s="61" t="str">
        <f t="shared" si="9"/>
        <v>N62286927</v>
      </c>
      <c r="F616" s="61" t="s">
        <v>1974</v>
      </c>
      <c r="G616" s="61" t="s">
        <v>2727</v>
      </c>
      <c r="H616" s="61" t="s">
        <v>42</v>
      </c>
      <c r="I616" s="61" t="s">
        <v>2733</v>
      </c>
      <c r="J616" s="61" t="s">
        <v>1332</v>
      </c>
      <c r="K616" s="61"/>
      <c r="L616" s="61"/>
    </row>
    <row r="617" spans="1:12" ht="50.1" customHeight="1">
      <c r="A617" s="61"/>
      <c r="B617" s="61" t="s">
        <v>4084</v>
      </c>
      <c r="C617" s="61" t="s">
        <v>860</v>
      </c>
      <c r="D617" s="61" t="s">
        <v>4085</v>
      </c>
      <c r="E617" s="61" t="str">
        <f t="shared" si="9"/>
        <v>400029393</v>
      </c>
      <c r="F617" s="61" t="s">
        <v>861</v>
      </c>
      <c r="G617" s="61" t="s">
        <v>3020</v>
      </c>
      <c r="H617" s="61" t="s">
        <v>42</v>
      </c>
      <c r="I617" s="61" t="s">
        <v>2733</v>
      </c>
      <c r="J617" s="61" t="s">
        <v>4086</v>
      </c>
      <c r="K617" s="61"/>
      <c r="L617" s="61"/>
    </row>
    <row r="618" spans="1:12" ht="15.95" customHeight="1">
      <c r="A618" s="61"/>
      <c r="B618" s="61" t="s">
        <v>4087</v>
      </c>
      <c r="C618" s="61" t="s">
        <v>862</v>
      </c>
      <c r="D618" s="61" t="s">
        <v>4088</v>
      </c>
      <c r="E618" s="61" t="str">
        <f t="shared" si="9"/>
        <v>400121556</v>
      </c>
      <c r="F618" s="61" t="s">
        <v>863</v>
      </c>
      <c r="G618" s="61" t="s">
        <v>2730</v>
      </c>
      <c r="H618" s="61" t="s">
        <v>42</v>
      </c>
      <c r="I618" s="61" t="s">
        <v>2733</v>
      </c>
      <c r="J618" s="61" t="s">
        <v>4089</v>
      </c>
      <c r="K618" s="61"/>
      <c r="L618" s="61"/>
    </row>
    <row r="619" spans="1:12" ht="72.95" customHeight="1">
      <c r="A619" s="61"/>
      <c r="B619" s="61" t="s">
        <v>4090</v>
      </c>
      <c r="C619" s="61" t="s">
        <v>870</v>
      </c>
      <c r="D619" s="61" t="s">
        <v>4091</v>
      </c>
      <c r="E619" s="61" t="str">
        <f t="shared" si="9"/>
        <v>401339819</v>
      </c>
      <c r="F619" s="61" t="s">
        <v>871</v>
      </c>
      <c r="G619" s="61" t="s">
        <v>3020</v>
      </c>
      <c r="H619" s="61" t="s">
        <v>42</v>
      </c>
      <c r="I619" s="61" t="s">
        <v>2733</v>
      </c>
      <c r="J619" s="61" t="s">
        <v>4092</v>
      </c>
      <c r="K619" s="61"/>
      <c r="L619" s="61"/>
    </row>
    <row r="620" spans="1:12" ht="27" customHeight="1">
      <c r="A620" s="61"/>
      <c r="B620" s="61" t="s">
        <v>2734</v>
      </c>
      <c r="C620" s="61" t="s">
        <v>4093</v>
      </c>
      <c r="D620" s="61" t="s">
        <v>4094</v>
      </c>
      <c r="E620" s="61" t="str">
        <f t="shared" si="9"/>
        <v>N62298971</v>
      </c>
      <c r="F620" s="61" t="s">
        <v>4076</v>
      </c>
      <c r="G620" s="61" t="s">
        <v>3020</v>
      </c>
      <c r="H620" s="61" t="s">
        <v>42</v>
      </c>
      <c r="I620" s="61" t="s">
        <v>2733</v>
      </c>
      <c r="J620" s="61" t="s">
        <v>1332</v>
      </c>
      <c r="K620" s="61"/>
      <c r="L620" s="61"/>
    </row>
    <row r="621" spans="1:12" ht="27" customHeight="1">
      <c r="A621" s="61"/>
      <c r="B621" s="61" t="s">
        <v>4095</v>
      </c>
      <c r="C621" s="61" t="s">
        <v>874</v>
      </c>
      <c r="D621" s="61" t="s">
        <v>4096</v>
      </c>
      <c r="E621" s="61" t="str">
        <f t="shared" si="9"/>
        <v>400911772</v>
      </c>
      <c r="F621" s="61" t="s">
        <v>4076</v>
      </c>
      <c r="G621" s="61" t="s">
        <v>2746</v>
      </c>
      <c r="H621" s="61" t="s">
        <v>42</v>
      </c>
      <c r="I621" s="61" t="s">
        <v>2733</v>
      </c>
      <c r="J621" s="61" t="s">
        <v>4097</v>
      </c>
      <c r="K621" s="61"/>
      <c r="L621" s="61"/>
    </row>
    <row r="622" spans="1:12" ht="108" customHeight="1">
      <c r="A622" s="61"/>
      <c r="B622" s="61" t="s">
        <v>4098</v>
      </c>
      <c r="C622" s="61" t="s">
        <v>876</v>
      </c>
      <c r="D622" s="61" t="s">
        <v>877</v>
      </c>
      <c r="E622" s="61" t="str">
        <f t="shared" si="9"/>
        <v>N62264569</v>
      </c>
      <c r="F622" s="61" t="s">
        <v>4099</v>
      </c>
      <c r="G622" s="61" t="s">
        <v>3023</v>
      </c>
      <c r="H622" s="61" t="s">
        <v>42</v>
      </c>
      <c r="I622" s="61" t="s">
        <v>2733</v>
      </c>
      <c r="J622" s="61" t="s">
        <v>4100</v>
      </c>
      <c r="K622" s="61"/>
      <c r="L622" s="61"/>
    </row>
    <row r="623" spans="1:12" ht="27" customHeight="1">
      <c r="A623" s="61"/>
      <c r="B623" s="61" t="s">
        <v>4101</v>
      </c>
      <c r="C623" s="61" t="s">
        <v>391</v>
      </c>
      <c r="D623" s="61" t="s">
        <v>4102</v>
      </c>
      <c r="E623" s="61" t="str">
        <f t="shared" si="9"/>
        <v>400333049</v>
      </c>
      <c r="F623" s="61" t="s">
        <v>4103</v>
      </c>
      <c r="G623" s="61" t="s">
        <v>2860</v>
      </c>
      <c r="H623" s="61" t="s">
        <v>42</v>
      </c>
      <c r="I623" s="61" t="s">
        <v>2733</v>
      </c>
      <c r="J623" s="61" t="s">
        <v>4104</v>
      </c>
      <c r="K623" s="61"/>
      <c r="L623" s="61"/>
    </row>
    <row r="624" spans="1:12" ht="27" customHeight="1">
      <c r="A624" s="61"/>
      <c r="B624" s="61" t="s">
        <v>4105</v>
      </c>
      <c r="C624" s="61" t="s">
        <v>1140</v>
      </c>
      <c r="D624" s="61" t="s">
        <v>4106</v>
      </c>
      <c r="E624" s="61" t="str">
        <f t="shared" si="9"/>
        <v>403581733</v>
      </c>
      <c r="F624" s="61" t="s">
        <v>1141</v>
      </c>
      <c r="G624" s="61" t="s">
        <v>2727</v>
      </c>
      <c r="H624" s="61" t="s">
        <v>42</v>
      </c>
      <c r="I624" s="61" t="s">
        <v>2733</v>
      </c>
      <c r="J624" s="61" t="s">
        <v>4107</v>
      </c>
      <c r="K624" s="61"/>
      <c r="L624" s="61"/>
    </row>
    <row r="625" spans="1:12" ht="27" customHeight="1">
      <c r="A625" s="61"/>
      <c r="B625" s="61" t="s">
        <v>2734</v>
      </c>
      <c r="C625" s="61" t="s">
        <v>4108</v>
      </c>
      <c r="D625" s="61" t="s">
        <v>4109</v>
      </c>
      <c r="E625" s="61" t="str">
        <f t="shared" si="9"/>
        <v>401225086</v>
      </c>
      <c r="F625" s="61" t="s">
        <v>1141</v>
      </c>
      <c r="G625" s="61" t="s">
        <v>2727</v>
      </c>
      <c r="H625" s="61" t="s">
        <v>42</v>
      </c>
      <c r="I625" s="61" t="s">
        <v>2733</v>
      </c>
      <c r="J625" s="61" t="s">
        <v>1332</v>
      </c>
      <c r="K625" s="61"/>
      <c r="L625" s="61"/>
    </row>
    <row r="626" spans="1:12" ht="15.95" customHeight="1">
      <c r="A626" s="61"/>
      <c r="B626" s="61" t="s">
        <v>4110</v>
      </c>
      <c r="C626" s="61" t="s">
        <v>219</v>
      </c>
      <c r="D626" s="61" t="s">
        <v>4111</v>
      </c>
      <c r="E626" s="61" t="str">
        <f t="shared" si="9"/>
        <v>400292374</v>
      </c>
      <c r="F626" s="61" t="s">
        <v>220</v>
      </c>
      <c r="G626" s="61" t="s">
        <v>2730</v>
      </c>
      <c r="H626" s="61" t="s">
        <v>42</v>
      </c>
      <c r="I626" s="61" t="s">
        <v>2733</v>
      </c>
      <c r="J626" s="61" t="s">
        <v>4112</v>
      </c>
      <c r="K626" s="61"/>
      <c r="L626" s="61"/>
    </row>
    <row r="627" spans="1:12" ht="27" customHeight="1">
      <c r="A627" s="61"/>
      <c r="B627" s="61" t="s">
        <v>4113</v>
      </c>
      <c r="C627" s="61" t="s">
        <v>733</v>
      </c>
      <c r="D627" s="61" t="s">
        <v>4114</v>
      </c>
      <c r="E627" s="61" t="str">
        <f t="shared" si="9"/>
        <v>400649520</v>
      </c>
      <c r="F627" s="61" t="s">
        <v>734</v>
      </c>
      <c r="G627" s="61" t="s">
        <v>2730</v>
      </c>
      <c r="H627" s="61" t="s">
        <v>42</v>
      </c>
      <c r="I627" s="61" t="s">
        <v>2733</v>
      </c>
      <c r="J627" s="61" t="s">
        <v>4115</v>
      </c>
      <c r="K627" s="61"/>
      <c r="L627" s="61"/>
    </row>
    <row r="628" spans="1:12" ht="27" customHeight="1">
      <c r="A628" s="61"/>
      <c r="B628" s="61" t="s">
        <v>4116</v>
      </c>
      <c r="C628" s="61" t="s">
        <v>759</v>
      </c>
      <c r="D628" s="61" t="s">
        <v>4117</v>
      </c>
      <c r="E628" s="61" t="str">
        <f t="shared" si="9"/>
        <v>401570652</v>
      </c>
      <c r="F628" s="61" t="s">
        <v>1969</v>
      </c>
      <c r="G628" s="61" t="s">
        <v>2730</v>
      </c>
      <c r="H628" s="61" t="s">
        <v>42</v>
      </c>
      <c r="I628" s="61" t="s">
        <v>2733</v>
      </c>
      <c r="J628" s="61" t="s">
        <v>4118</v>
      </c>
      <c r="K628" s="61"/>
      <c r="L628" s="61"/>
    </row>
    <row r="629" spans="1:12" ht="27" customHeight="1">
      <c r="A629" s="61"/>
      <c r="B629" s="61" t="s">
        <v>2734</v>
      </c>
      <c r="C629" s="61" t="s">
        <v>1970</v>
      </c>
      <c r="D629" s="61" t="s">
        <v>1968</v>
      </c>
      <c r="E629" s="61" t="str">
        <f t="shared" si="9"/>
        <v>N30366199</v>
      </c>
      <c r="F629" s="61" t="s">
        <v>4119</v>
      </c>
      <c r="G629" s="61" t="s">
        <v>2730</v>
      </c>
      <c r="H629" s="61" t="s">
        <v>42</v>
      </c>
      <c r="I629" s="61" t="s">
        <v>2733</v>
      </c>
      <c r="J629" s="61" t="s">
        <v>1332</v>
      </c>
      <c r="K629" s="61"/>
      <c r="L629" s="61"/>
    </row>
    <row r="630" spans="1:12" ht="15.95" customHeight="1">
      <c r="A630" s="61"/>
      <c r="B630" s="61" t="s">
        <v>4120</v>
      </c>
      <c r="C630" s="61" t="s">
        <v>247</v>
      </c>
      <c r="D630" s="61" t="s">
        <v>4121</v>
      </c>
      <c r="E630" s="61" t="str">
        <f t="shared" si="9"/>
        <v>400551730</v>
      </c>
      <c r="F630" s="61" t="s">
        <v>248</v>
      </c>
      <c r="G630" s="61" t="s">
        <v>2727</v>
      </c>
      <c r="H630" s="61" t="s">
        <v>42</v>
      </c>
      <c r="I630" s="61" t="s">
        <v>2733</v>
      </c>
      <c r="J630" s="61" t="s">
        <v>4122</v>
      </c>
      <c r="K630" s="61"/>
      <c r="L630" s="61"/>
    </row>
    <row r="631" spans="1:12" ht="15.95" customHeight="1">
      <c r="A631" s="61"/>
      <c r="B631" s="61" t="s">
        <v>4123</v>
      </c>
      <c r="C631" s="61" t="s">
        <v>1162</v>
      </c>
      <c r="D631" s="61" t="s">
        <v>4124</v>
      </c>
      <c r="E631" s="61" t="str">
        <f t="shared" si="9"/>
        <v>402955655</v>
      </c>
      <c r="F631" s="61" t="s">
        <v>1163</v>
      </c>
      <c r="G631" s="61" t="s">
        <v>2730</v>
      </c>
      <c r="H631" s="61" t="s">
        <v>42</v>
      </c>
      <c r="I631" s="61" t="s">
        <v>2729</v>
      </c>
      <c r="J631" s="61" t="s">
        <v>4125</v>
      </c>
      <c r="K631" s="61"/>
      <c r="L631" s="61"/>
    </row>
    <row r="632" spans="1:12" ht="27" customHeight="1">
      <c r="A632" s="61"/>
      <c r="B632" s="61" t="s">
        <v>4126</v>
      </c>
      <c r="C632" s="61" t="s">
        <v>381</v>
      </c>
      <c r="D632" s="61" t="s">
        <v>4127</v>
      </c>
      <c r="E632" s="61" t="str">
        <f t="shared" si="9"/>
        <v>400019067</v>
      </c>
      <c r="F632" s="61" t="s">
        <v>382</v>
      </c>
      <c r="G632" s="61" t="s">
        <v>2744</v>
      </c>
      <c r="H632" s="61" t="s">
        <v>42</v>
      </c>
      <c r="I632" s="61" t="s">
        <v>2733</v>
      </c>
      <c r="J632" s="61" t="s">
        <v>4128</v>
      </c>
      <c r="K632" s="61"/>
      <c r="L632" s="61"/>
    </row>
    <row r="633" spans="1:12" ht="27" customHeight="1">
      <c r="A633" s="61"/>
      <c r="B633" s="61" t="s">
        <v>4129</v>
      </c>
      <c r="C633" s="61" t="s">
        <v>387</v>
      </c>
      <c r="D633" s="61" t="s">
        <v>4130</v>
      </c>
      <c r="E633" s="61" t="str">
        <f t="shared" si="9"/>
        <v>400043186</v>
      </c>
      <c r="F633" s="61" t="s">
        <v>388</v>
      </c>
      <c r="G633" s="61" t="s">
        <v>2760</v>
      </c>
      <c r="H633" s="61" t="s">
        <v>42</v>
      </c>
      <c r="I633" s="61" t="s">
        <v>2733</v>
      </c>
      <c r="J633" s="61" t="s">
        <v>4131</v>
      </c>
      <c r="K633" s="61"/>
      <c r="L633" s="61"/>
    </row>
    <row r="634" spans="1:12" ht="62.1" customHeight="1">
      <c r="A634" s="61"/>
      <c r="B634" s="61" t="s">
        <v>4132</v>
      </c>
      <c r="C634" s="61" t="s">
        <v>389</v>
      </c>
      <c r="D634" s="61" t="s">
        <v>4133</v>
      </c>
      <c r="E634" s="61" t="str">
        <f t="shared" si="9"/>
        <v>400092918</v>
      </c>
      <c r="F634" s="61" t="s">
        <v>390</v>
      </c>
      <c r="G634" s="61" t="s">
        <v>2939</v>
      </c>
      <c r="H634" s="61" t="s">
        <v>42</v>
      </c>
      <c r="I634" s="61" t="s">
        <v>2733</v>
      </c>
      <c r="J634" s="61" t="s">
        <v>4134</v>
      </c>
      <c r="K634" s="61"/>
      <c r="L634" s="61"/>
    </row>
    <row r="635" spans="1:12" ht="15.95" customHeight="1">
      <c r="A635" s="61"/>
      <c r="B635" s="61" t="s">
        <v>4135</v>
      </c>
      <c r="C635" s="61" t="s">
        <v>394</v>
      </c>
      <c r="D635" s="61" t="s">
        <v>4136</v>
      </c>
      <c r="E635" s="61" t="str">
        <f t="shared" si="9"/>
        <v>400112300</v>
      </c>
      <c r="F635" s="61" t="s">
        <v>395</v>
      </c>
      <c r="G635" s="61" t="s">
        <v>2727</v>
      </c>
      <c r="H635" s="61" t="s">
        <v>42</v>
      </c>
      <c r="I635" s="61" t="s">
        <v>2733</v>
      </c>
      <c r="J635" s="61" t="s">
        <v>4137</v>
      </c>
      <c r="K635" s="61"/>
      <c r="L635" s="61"/>
    </row>
    <row r="636" spans="1:12" ht="27" customHeight="1">
      <c r="A636" s="61"/>
      <c r="B636" s="61" t="s">
        <v>4138</v>
      </c>
      <c r="C636" s="61" t="s">
        <v>396</v>
      </c>
      <c r="D636" s="61" t="s">
        <v>397</v>
      </c>
      <c r="E636" s="61" t="str">
        <f t="shared" si="9"/>
        <v>N62786405</v>
      </c>
      <c r="F636" s="61" t="s">
        <v>4139</v>
      </c>
      <c r="G636" s="61" t="s">
        <v>2744</v>
      </c>
      <c r="H636" s="61" t="s">
        <v>42</v>
      </c>
      <c r="I636" s="61" t="s">
        <v>2733</v>
      </c>
      <c r="J636" s="61" t="s">
        <v>4140</v>
      </c>
      <c r="K636" s="61"/>
      <c r="L636" s="61"/>
    </row>
    <row r="637" spans="1:12" ht="15.95" customHeight="1">
      <c r="A637" s="61"/>
      <c r="B637" s="61" t="s">
        <v>2734</v>
      </c>
      <c r="C637" s="61" t="s">
        <v>4141</v>
      </c>
      <c r="D637" s="61" t="s">
        <v>4142</v>
      </c>
      <c r="E637" s="61" t="str">
        <f t="shared" si="9"/>
        <v>N62713862</v>
      </c>
      <c r="F637" s="61" t="s">
        <v>4143</v>
      </c>
      <c r="G637" s="61" t="s">
        <v>2744</v>
      </c>
      <c r="H637" s="61" t="s">
        <v>42</v>
      </c>
      <c r="I637" s="61" t="s">
        <v>2733</v>
      </c>
      <c r="J637" s="61" t="s">
        <v>1332</v>
      </c>
      <c r="K637" s="61"/>
      <c r="L637" s="61"/>
    </row>
    <row r="638" spans="1:12" ht="27" customHeight="1">
      <c r="A638" s="61"/>
      <c r="B638" s="61" t="s">
        <v>4144</v>
      </c>
      <c r="C638" s="61" t="s">
        <v>787</v>
      </c>
      <c r="D638" s="61" t="s">
        <v>4145</v>
      </c>
      <c r="E638" s="61" t="str">
        <f t="shared" si="9"/>
        <v>400095749</v>
      </c>
      <c r="F638" s="61" t="s">
        <v>385</v>
      </c>
      <c r="G638" s="61" t="s">
        <v>2776</v>
      </c>
      <c r="H638" s="61" t="s">
        <v>42</v>
      </c>
      <c r="I638" s="61" t="s">
        <v>2733</v>
      </c>
      <c r="J638" s="61" t="s">
        <v>4146</v>
      </c>
      <c r="K638" s="61"/>
      <c r="L638" s="61"/>
    </row>
    <row r="639" spans="1:12" ht="27" customHeight="1">
      <c r="A639" s="61"/>
      <c r="B639" s="61" t="s">
        <v>2734</v>
      </c>
      <c r="C639" s="61" t="s">
        <v>4147</v>
      </c>
      <c r="D639" s="61" t="s">
        <v>4148</v>
      </c>
      <c r="E639" s="61" t="str">
        <f t="shared" si="9"/>
        <v>400040666</v>
      </c>
      <c r="F639" s="61" t="s">
        <v>385</v>
      </c>
      <c r="G639" s="61" t="s">
        <v>2776</v>
      </c>
      <c r="H639" s="61" t="s">
        <v>42</v>
      </c>
      <c r="I639" s="61" t="s">
        <v>2733</v>
      </c>
      <c r="J639" s="61" t="s">
        <v>1332</v>
      </c>
      <c r="K639" s="61"/>
      <c r="L639" s="61"/>
    </row>
    <row r="640" spans="1:12" ht="131.1" customHeight="1">
      <c r="A640" s="61"/>
      <c r="B640" s="61" t="s">
        <v>4149</v>
      </c>
      <c r="C640" s="61" t="s">
        <v>918</v>
      </c>
      <c r="D640" s="61" t="s">
        <v>4150</v>
      </c>
      <c r="E640" s="61" t="str">
        <f t="shared" si="9"/>
        <v>400149265</v>
      </c>
      <c r="F640" s="61" t="s">
        <v>919</v>
      </c>
      <c r="G640" s="61" t="s">
        <v>3344</v>
      </c>
      <c r="H640" s="61" t="s">
        <v>42</v>
      </c>
      <c r="I640" s="61" t="s">
        <v>2733</v>
      </c>
      <c r="J640" s="61" t="s">
        <v>4151</v>
      </c>
      <c r="K640" s="61"/>
      <c r="L640" s="61"/>
    </row>
    <row r="641" spans="1:12" ht="15.95" customHeight="1">
      <c r="A641" s="61"/>
      <c r="B641" s="61" t="s">
        <v>2734</v>
      </c>
      <c r="C641" s="61" t="s">
        <v>4152</v>
      </c>
      <c r="D641" s="61" t="s">
        <v>4153</v>
      </c>
      <c r="E641" s="61" t="str">
        <f t="shared" si="9"/>
        <v>N62712138</v>
      </c>
      <c r="F641" s="61" t="s">
        <v>4154</v>
      </c>
      <c r="G641" s="61" t="s">
        <v>3344</v>
      </c>
      <c r="H641" s="61" t="s">
        <v>42</v>
      </c>
      <c r="I641" s="61" t="s">
        <v>2733</v>
      </c>
      <c r="J641" s="61" t="s">
        <v>1332</v>
      </c>
      <c r="K641" s="61"/>
      <c r="L641" s="61"/>
    </row>
    <row r="642" spans="1:12" ht="27" customHeight="1">
      <c r="A642" s="61"/>
      <c r="B642" s="61" t="s">
        <v>4155</v>
      </c>
      <c r="C642" s="61" t="s">
        <v>797</v>
      </c>
      <c r="D642" s="61" t="s">
        <v>4156</v>
      </c>
      <c r="E642" s="61" t="str">
        <f t="shared" si="9"/>
        <v>400524033</v>
      </c>
      <c r="F642" s="61" t="s">
        <v>4157</v>
      </c>
      <c r="G642" s="61" t="s">
        <v>2776</v>
      </c>
      <c r="H642" s="61" t="s">
        <v>42</v>
      </c>
      <c r="I642" s="61" t="s">
        <v>2733</v>
      </c>
      <c r="J642" s="61" t="s">
        <v>4158</v>
      </c>
      <c r="K642" s="61"/>
      <c r="L642" s="61"/>
    </row>
    <row r="643" spans="1:12" ht="27" customHeight="1">
      <c r="A643" s="61"/>
      <c r="B643" s="61" t="s">
        <v>4159</v>
      </c>
      <c r="C643" s="61" t="s">
        <v>800</v>
      </c>
      <c r="D643" s="61" t="s">
        <v>4160</v>
      </c>
      <c r="E643" s="61" t="str">
        <f t="shared" ref="E643:E660" si="10">LEFT(D643,9)</f>
        <v>400523828</v>
      </c>
      <c r="F643" s="61" t="s">
        <v>801</v>
      </c>
      <c r="G643" s="61" t="s">
        <v>2818</v>
      </c>
      <c r="H643" s="61" t="s">
        <v>42</v>
      </c>
      <c r="I643" s="61" t="s">
        <v>2733</v>
      </c>
      <c r="J643" s="61" t="s">
        <v>4161</v>
      </c>
      <c r="K643" s="61"/>
      <c r="L643" s="61"/>
    </row>
    <row r="644" spans="1:12" ht="38.1" customHeight="1">
      <c r="A644" s="61"/>
      <c r="B644" s="61" t="s">
        <v>4162</v>
      </c>
      <c r="C644" s="61" t="s">
        <v>2702</v>
      </c>
      <c r="D644" s="61" t="s">
        <v>4163</v>
      </c>
      <c r="E644" s="61" t="str">
        <f t="shared" si="10"/>
        <v>732009568</v>
      </c>
      <c r="F644" s="61" t="s">
        <v>4164</v>
      </c>
      <c r="G644" s="61" t="s">
        <v>165</v>
      </c>
      <c r="H644" s="61" t="s">
        <v>164</v>
      </c>
      <c r="I644" s="61" t="s">
        <v>2733</v>
      </c>
      <c r="J644" s="61" t="s">
        <v>1332</v>
      </c>
      <c r="K644" s="61"/>
      <c r="L644" s="61"/>
    </row>
    <row r="645" spans="1:12" ht="27" customHeight="1">
      <c r="A645" s="61"/>
      <c r="B645" s="61" t="s">
        <v>2734</v>
      </c>
      <c r="C645" s="61" t="s">
        <v>4165</v>
      </c>
      <c r="D645" s="61" t="s">
        <v>4166</v>
      </c>
      <c r="E645" s="61" t="str">
        <f t="shared" si="10"/>
        <v>732073689</v>
      </c>
      <c r="F645" s="61" t="s">
        <v>4167</v>
      </c>
      <c r="G645" s="61" t="s">
        <v>165</v>
      </c>
      <c r="H645" s="61" t="s">
        <v>164</v>
      </c>
      <c r="I645" s="61" t="s">
        <v>2733</v>
      </c>
      <c r="J645" s="61" t="s">
        <v>1332</v>
      </c>
      <c r="K645" s="61"/>
      <c r="L645" s="61"/>
    </row>
    <row r="646" spans="1:12" ht="27" customHeight="1">
      <c r="A646" s="61"/>
      <c r="B646" s="61" t="s">
        <v>2734</v>
      </c>
      <c r="C646" s="61" t="s">
        <v>4168</v>
      </c>
      <c r="D646" s="61" t="s">
        <v>4169</v>
      </c>
      <c r="E646" s="61" t="str">
        <f t="shared" si="10"/>
        <v>732062633</v>
      </c>
      <c r="F646" s="61" t="s">
        <v>4167</v>
      </c>
      <c r="G646" s="61" t="s">
        <v>165</v>
      </c>
      <c r="H646" s="61" t="s">
        <v>164</v>
      </c>
      <c r="I646" s="61" t="s">
        <v>2733</v>
      </c>
      <c r="J646" s="61" t="s">
        <v>1332</v>
      </c>
      <c r="K646" s="61"/>
      <c r="L646" s="61"/>
    </row>
    <row r="647" spans="1:12" ht="38.1" customHeight="1">
      <c r="A647" s="61"/>
      <c r="B647" s="61" t="s">
        <v>2734</v>
      </c>
      <c r="C647" s="61" t="s">
        <v>4170</v>
      </c>
      <c r="D647" s="61" t="s">
        <v>4171</v>
      </c>
      <c r="E647" s="61" t="str">
        <f t="shared" si="10"/>
        <v>732007778</v>
      </c>
      <c r="F647" s="61" t="s">
        <v>4167</v>
      </c>
      <c r="G647" s="61" t="s">
        <v>165</v>
      </c>
      <c r="H647" s="61" t="s">
        <v>164</v>
      </c>
      <c r="I647" s="61" t="s">
        <v>2733</v>
      </c>
      <c r="J647" s="61" t="s">
        <v>1332</v>
      </c>
      <c r="K647" s="61"/>
      <c r="L647" s="61"/>
    </row>
    <row r="648" spans="1:12" ht="38.1" customHeight="1">
      <c r="A648" s="61"/>
      <c r="B648" s="61" t="s">
        <v>2734</v>
      </c>
      <c r="C648" s="61" t="s">
        <v>2703</v>
      </c>
      <c r="D648" s="61" t="s">
        <v>4172</v>
      </c>
      <c r="E648" s="61" t="str">
        <f t="shared" si="10"/>
        <v>732063755</v>
      </c>
      <c r="F648" s="61" t="s">
        <v>4173</v>
      </c>
      <c r="G648" s="61" t="s">
        <v>165</v>
      </c>
      <c r="H648" s="61" t="s">
        <v>164</v>
      </c>
      <c r="I648" s="61" t="s">
        <v>2733</v>
      </c>
      <c r="J648" s="61" t="s">
        <v>1332</v>
      </c>
      <c r="K648" s="61"/>
      <c r="L648" s="61"/>
    </row>
    <row r="649" spans="1:12" ht="27" customHeight="1">
      <c r="A649" s="61"/>
      <c r="B649" s="61" t="s">
        <v>2734</v>
      </c>
      <c r="C649" s="61" t="s">
        <v>2704</v>
      </c>
      <c r="D649" s="61" t="s">
        <v>4174</v>
      </c>
      <c r="E649" s="61" t="str">
        <f t="shared" si="10"/>
        <v>732077813</v>
      </c>
      <c r="F649" s="61" t="s">
        <v>4175</v>
      </c>
      <c r="G649" s="61" t="s">
        <v>165</v>
      </c>
      <c r="H649" s="61" t="s">
        <v>164</v>
      </c>
      <c r="I649" s="61" t="s">
        <v>2733</v>
      </c>
      <c r="J649" s="61" t="s">
        <v>1332</v>
      </c>
      <c r="K649" s="61"/>
      <c r="L649" s="61"/>
    </row>
    <row r="650" spans="1:12" ht="15.95" customHeight="1">
      <c r="A650" s="61"/>
      <c r="B650" s="61" t="s">
        <v>4176</v>
      </c>
      <c r="C650" s="61" t="s">
        <v>158</v>
      </c>
      <c r="D650" s="61" t="s">
        <v>4177</v>
      </c>
      <c r="E650" s="61" t="str">
        <f t="shared" si="10"/>
        <v>400955400</v>
      </c>
      <c r="F650" s="61" t="s">
        <v>159</v>
      </c>
      <c r="G650" s="61" t="s">
        <v>2727</v>
      </c>
      <c r="H650" s="61" t="s">
        <v>42</v>
      </c>
      <c r="I650" s="61" t="s">
        <v>2729</v>
      </c>
      <c r="J650" s="61" t="s">
        <v>1332</v>
      </c>
      <c r="K650" s="61"/>
      <c r="L650" s="61"/>
    </row>
    <row r="651" spans="1:12" ht="15.95" customHeight="1">
      <c r="A651" s="61"/>
      <c r="B651" s="61" t="s">
        <v>4178</v>
      </c>
      <c r="C651" s="61" t="s">
        <v>1305</v>
      </c>
      <c r="D651" s="61" t="s">
        <v>4179</v>
      </c>
      <c r="E651" s="61" t="str">
        <f t="shared" si="10"/>
        <v>400952147</v>
      </c>
      <c r="F651" s="61" t="s">
        <v>1306</v>
      </c>
      <c r="G651" s="61" t="s">
        <v>2727</v>
      </c>
      <c r="H651" s="61" t="s">
        <v>42</v>
      </c>
      <c r="I651" s="61" t="s">
        <v>2729</v>
      </c>
      <c r="J651" s="61" t="s">
        <v>1332</v>
      </c>
      <c r="K651" s="61"/>
      <c r="L651" s="61"/>
    </row>
    <row r="652" spans="1:12" ht="15.95" customHeight="1">
      <c r="A652" s="61"/>
      <c r="B652" s="61" t="s">
        <v>4180</v>
      </c>
      <c r="C652" s="61" t="s">
        <v>126</v>
      </c>
      <c r="D652" s="61" t="s">
        <v>4181</v>
      </c>
      <c r="E652" s="61" t="str">
        <f t="shared" si="10"/>
        <v>401318341</v>
      </c>
      <c r="F652" s="61" t="s">
        <v>128</v>
      </c>
      <c r="G652" s="61" t="s">
        <v>2727</v>
      </c>
      <c r="H652" s="61" t="s">
        <v>42</v>
      </c>
      <c r="I652" s="61" t="s">
        <v>2729</v>
      </c>
      <c r="J652" s="61" t="s">
        <v>1332</v>
      </c>
      <c r="K652" s="61"/>
      <c r="L652" s="61"/>
    </row>
    <row r="653" spans="1:12" ht="15.95" customHeight="1">
      <c r="A653" s="61"/>
      <c r="B653" s="61" t="s">
        <v>4182</v>
      </c>
      <c r="C653" s="61" t="s">
        <v>1179</v>
      </c>
      <c r="D653" s="61" t="s">
        <v>4183</v>
      </c>
      <c r="E653" s="61" t="str">
        <f t="shared" si="10"/>
        <v>402237173</v>
      </c>
      <c r="F653" s="61" t="s">
        <v>1180</v>
      </c>
      <c r="G653" s="61" t="s">
        <v>2727</v>
      </c>
      <c r="H653" s="61" t="s">
        <v>42</v>
      </c>
      <c r="I653" s="61" t="s">
        <v>2733</v>
      </c>
      <c r="J653" s="61" t="s">
        <v>1332</v>
      </c>
      <c r="K653" s="61"/>
      <c r="L653" s="61"/>
    </row>
    <row r="654" spans="1:12" ht="15.95" customHeight="1">
      <c r="A654" s="61"/>
      <c r="B654" s="61" t="s">
        <v>2734</v>
      </c>
      <c r="C654" s="61" t="s">
        <v>4184</v>
      </c>
      <c r="D654" s="61" t="s">
        <v>4185</v>
      </c>
      <c r="E654" s="61" t="str">
        <f t="shared" si="10"/>
        <v>400515112</v>
      </c>
      <c r="F654" s="61" t="s">
        <v>4186</v>
      </c>
      <c r="G654" s="61" t="s">
        <v>2727</v>
      </c>
      <c r="H654" s="61" t="s">
        <v>42</v>
      </c>
      <c r="I654" s="61" t="s">
        <v>2729</v>
      </c>
      <c r="J654" s="61" t="s">
        <v>1332</v>
      </c>
      <c r="K654" s="61"/>
      <c r="L654" s="61"/>
    </row>
    <row r="655" spans="1:12" ht="27" customHeight="1">
      <c r="A655" s="61"/>
      <c r="B655" s="61" t="s">
        <v>4187</v>
      </c>
      <c r="C655" s="61" t="s">
        <v>1042</v>
      </c>
      <c r="D655" s="61" t="s">
        <v>4188</v>
      </c>
      <c r="E655" s="61" t="str">
        <f t="shared" si="10"/>
        <v>514301928</v>
      </c>
      <c r="F655" s="61" t="s">
        <v>4189</v>
      </c>
      <c r="G655" s="61" t="s">
        <v>2727</v>
      </c>
      <c r="H655" s="61" t="s">
        <v>42</v>
      </c>
      <c r="I655" s="61" t="s">
        <v>2733</v>
      </c>
      <c r="J655" s="61" t="s">
        <v>1332</v>
      </c>
      <c r="K655" s="61"/>
      <c r="L655" s="61"/>
    </row>
    <row r="656" spans="1:12" ht="96.95" customHeight="1">
      <c r="A656" s="61"/>
      <c r="B656" s="61" t="s">
        <v>4190</v>
      </c>
      <c r="C656" s="61" t="s">
        <v>1061</v>
      </c>
      <c r="D656" s="61" t="s">
        <v>4191</v>
      </c>
      <c r="E656" s="61" t="str">
        <f t="shared" si="10"/>
        <v>512307984</v>
      </c>
      <c r="F656" s="61" t="s">
        <v>2840</v>
      </c>
      <c r="G656" s="61" t="s">
        <v>2730</v>
      </c>
      <c r="H656" s="61" t="s">
        <v>42</v>
      </c>
      <c r="I656" s="61" t="s">
        <v>2733</v>
      </c>
      <c r="J656" s="61" t="s">
        <v>1332</v>
      </c>
      <c r="K656" s="61"/>
      <c r="L656" s="61"/>
    </row>
    <row r="657" spans="1:12" ht="15.95" customHeight="1">
      <c r="A657" s="61"/>
      <c r="B657" s="61" t="s">
        <v>4192</v>
      </c>
      <c r="C657" s="61" t="s">
        <v>816</v>
      </c>
      <c r="D657" s="61" t="s">
        <v>4193</v>
      </c>
      <c r="E657" s="61" t="str">
        <f t="shared" si="10"/>
        <v>404013097</v>
      </c>
      <c r="F657" s="61" t="s">
        <v>818</v>
      </c>
      <c r="G657" s="61" t="s">
        <v>2730</v>
      </c>
      <c r="H657" s="61" t="s">
        <v>42</v>
      </c>
      <c r="I657" s="61" t="s">
        <v>2729</v>
      </c>
      <c r="J657" s="61" t="s">
        <v>1332</v>
      </c>
      <c r="K657" s="61"/>
      <c r="L657" s="61"/>
    </row>
    <row r="658" spans="1:12" ht="15.95" customHeight="1">
      <c r="A658" s="61"/>
      <c r="B658" s="61" t="s">
        <v>4194</v>
      </c>
      <c r="C658" s="61" t="s">
        <v>1198</v>
      </c>
      <c r="D658" s="61" t="s">
        <v>4195</v>
      </c>
      <c r="E658" s="61" t="str">
        <f t="shared" si="10"/>
        <v>421165501</v>
      </c>
      <c r="F658" s="61" t="s">
        <v>1199</v>
      </c>
      <c r="G658" s="61" t="s">
        <v>2727</v>
      </c>
      <c r="H658" s="61" t="s">
        <v>42</v>
      </c>
      <c r="I658" s="61" t="s">
        <v>2729</v>
      </c>
      <c r="J658" s="61" t="s">
        <v>1332</v>
      </c>
      <c r="K658" s="61"/>
      <c r="L658" s="61"/>
    </row>
    <row r="659" spans="1:12" ht="27" customHeight="1">
      <c r="A659" s="61"/>
      <c r="B659" s="61" t="s">
        <v>4196</v>
      </c>
      <c r="C659" s="61" t="s">
        <v>3923</v>
      </c>
      <c r="D659" s="61" t="s">
        <v>267</v>
      </c>
      <c r="E659" s="61" t="str">
        <f t="shared" si="10"/>
        <v>N76300516</v>
      </c>
      <c r="F659" s="61" t="s">
        <v>4197</v>
      </c>
      <c r="G659" s="61" t="s">
        <v>4198</v>
      </c>
      <c r="H659" s="61" t="s">
        <v>270</v>
      </c>
      <c r="I659" s="61" t="s">
        <v>2733</v>
      </c>
      <c r="J659" s="61" t="s">
        <v>1332</v>
      </c>
      <c r="K659" s="61"/>
      <c r="L659" s="61"/>
    </row>
    <row r="660" spans="1:12" ht="15.95" customHeight="1">
      <c r="A660" s="61"/>
      <c r="B660" s="61" t="s">
        <v>4199</v>
      </c>
      <c r="C660" s="61" t="s">
        <v>1298</v>
      </c>
      <c r="D660" s="61" t="s">
        <v>1299</v>
      </c>
      <c r="E660" s="61" t="str">
        <f t="shared" si="10"/>
        <v>D00820862</v>
      </c>
      <c r="F660" s="61" t="s">
        <v>1300</v>
      </c>
      <c r="G660" s="61" t="s">
        <v>2783</v>
      </c>
      <c r="H660" s="61" t="s">
        <v>42</v>
      </c>
      <c r="I660" s="61" t="s">
        <v>2729</v>
      </c>
      <c r="J660" s="61" t="s">
        <v>1332</v>
      </c>
      <c r="K660" s="61"/>
      <c r="L660" s="61"/>
    </row>
  </sheetData>
  <autoFilter ref="A1:M660" xr:uid="{00000000-0009-0000-0000-000001000000}"/>
  <pageMargins left="0" right="0" top="0" bottom="0" header="0.5" footer="0.5"/>
  <pageSetup pageOrder="overThenDown"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4E3F-68A8-4CD0-BA3F-0E82E11BA0B2}">
  <dimension ref="A1:G19"/>
  <sheetViews>
    <sheetView workbookViewId="0">
      <selection activeCell="E46" sqref="E46"/>
    </sheetView>
  </sheetViews>
  <sheetFormatPr defaultColWidth="8.75" defaultRowHeight="12.75"/>
  <cols>
    <col min="1" max="1" width="8.75" style="54"/>
    <col min="2" max="2" width="8.75" style="54" bestFit="1" customWidth="1"/>
    <col min="3" max="3" width="8" style="54" bestFit="1" customWidth="1"/>
    <col min="4" max="4" width="8.375" style="54" bestFit="1" customWidth="1"/>
    <col min="5" max="5" width="10.25" style="54" bestFit="1" customWidth="1"/>
    <col min="6" max="6" width="10.25" style="54" customWidth="1"/>
    <col min="7" max="7" width="23.375" style="54" bestFit="1" customWidth="1"/>
    <col min="8" max="16384" width="8.75" style="54"/>
  </cols>
  <sheetData>
    <row r="1" spans="1:7">
      <c r="A1" s="56" t="s">
        <v>14</v>
      </c>
      <c r="B1" s="57" t="s">
        <v>16</v>
      </c>
      <c r="C1" s="57" t="s">
        <v>4200</v>
      </c>
      <c r="D1" s="57" t="s">
        <v>4201</v>
      </c>
      <c r="E1" s="57" t="s">
        <v>4202</v>
      </c>
      <c r="F1" s="57" t="s">
        <v>4203</v>
      </c>
      <c r="G1" s="57" t="s">
        <v>4204</v>
      </c>
    </row>
    <row r="2" spans="1:7">
      <c r="A2" s="58"/>
      <c r="B2" s="55"/>
      <c r="C2" s="55"/>
      <c r="D2" s="55"/>
      <c r="E2" s="55"/>
      <c r="F2" s="55"/>
      <c r="G2" s="59"/>
    </row>
    <row r="3" spans="1:7">
      <c r="A3" s="58"/>
      <c r="B3" s="55"/>
      <c r="C3" s="55"/>
      <c r="D3" s="55"/>
      <c r="E3" s="55"/>
      <c r="F3" s="55"/>
      <c r="G3" s="59"/>
    </row>
    <row r="4" spans="1:7">
      <c r="A4" s="58"/>
      <c r="B4" s="55"/>
      <c r="C4" s="55"/>
      <c r="D4" s="55"/>
      <c r="E4" s="55"/>
      <c r="F4" s="55"/>
      <c r="G4" s="59"/>
    </row>
    <row r="5" spans="1:7">
      <c r="A5" s="58"/>
      <c r="B5" s="55"/>
      <c r="C5" s="55"/>
      <c r="D5" s="55"/>
      <c r="E5" s="55"/>
      <c r="F5" s="55"/>
      <c r="G5" s="59"/>
    </row>
    <row r="6" spans="1:7">
      <c r="A6" s="58"/>
      <c r="B6" s="55"/>
      <c r="C6" s="55"/>
      <c r="D6" s="55"/>
      <c r="E6" s="55"/>
      <c r="F6" s="55"/>
      <c r="G6" s="59"/>
    </row>
    <row r="7" spans="1:7">
      <c r="A7" s="58"/>
      <c r="B7" s="55"/>
      <c r="C7" s="55"/>
      <c r="D7" s="55"/>
      <c r="E7" s="55"/>
      <c r="F7" s="55"/>
      <c r="G7" s="59"/>
    </row>
    <row r="8" spans="1:7">
      <c r="A8" s="58"/>
      <c r="B8" s="55"/>
      <c r="C8" s="55"/>
      <c r="D8" s="55"/>
      <c r="E8" s="55"/>
      <c r="F8" s="55"/>
      <c r="G8" s="59"/>
    </row>
    <row r="9" spans="1:7">
      <c r="A9" s="58"/>
      <c r="B9" s="55"/>
      <c r="C9" s="55"/>
      <c r="D9" s="55"/>
      <c r="E9" s="55"/>
      <c r="F9" s="55"/>
      <c r="G9" s="59"/>
    </row>
    <row r="10" spans="1:7">
      <c r="A10" s="58"/>
      <c r="B10" s="55"/>
      <c r="C10" s="55"/>
      <c r="D10" s="55"/>
      <c r="E10" s="55"/>
      <c r="F10" s="55"/>
      <c r="G10" s="59"/>
    </row>
    <row r="11" spans="1:7">
      <c r="A11" s="58"/>
      <c r="B11" s="55"/>
      <c r="C11" s="55"/>
      <c r="D11" s="55"/>
      <c r="E11" s="55"/>
      <c r="F11" s="55"/>
      <c r="G11" s="59"/>
    </row>
    <row r="12" spans="1:7">
      <c r="A12" s="58"/>
      <c r="B12" s="55"/>
      <c r="C12" s="55"/>
      <c r="D12" s="55"/>
      <c r="E12" s="55"/>
      <c r="F12" s="55"/>
      <c r="G12" s="59"/>
    </row>
    <row r="13" spans="1:7">
      <c r="A13" s="58"/>
      <c r="B13" s="55"/>
      <c r="C13" s="55"/>
      <c r="D13" s="55"/>
      <c r="E13" s="55"/>
      <c r="F13" s="55"/>
      <c r="G13" s="59"/>
    </row>
    <row r="14" spans="1:7">
      <c r="A14" s="58"/>
      <c r="B14" s="55"/>
      <c r="C14" s="55"/>
      <c r="D14" s="55"/>
      <c r="E14" s="55"/>
      <c r="F14" s="55"/>
      <c r="G14" s="59"/>
    </row>
    <row r="15" spans="1:7">
      <c r="A15" s="58"/>
      <c r="B15" s="55"/>
      <c r="C15" s="55"/>
      <c r="D15" s="55"/>
      <c r="E15" s="55"/>
      <c r="F15" s="55"/>
      <c r="G15" s="59"/>
    </row>
    <row r="16" spans="1:7">
      <c r="A16" s="58"/>
      <c r="B16" s="55"/>
      <c r="C16" s="55"/>
      <c r="D16" s="55"/>
      <c r="E16" s="55"/>
      <c r="F16" s="55"/>
      <c r="G16" s="59"/>
    </row>
    <row r="17" spans="1:7">
      <c r="A17" s="53"/>
      <c r="B17" s="53"/>
      <c r="C17" s="53"/>
      <c r="D17" s="53"/>
      <c r="E17" s="53"/>
      <c r="F17" s="53"/>
      <c r="G17" s="53"/>
    </row>
    <row r="18" spans="1:7">
      <c r="A18" s="53"/>
      <c r="B18" s="53"/>
      <c r="C18" s="53"/>
      <c r="D18" s="53"/>
      <c r="E18" s="53"/>
      <c r="F18" s="53"/>
      <c r="G18" s="53"/>
    </row>
    <row r="19" spans="1:7">
      <c r="A19" s="53"/>
      <c r="B19" s="53"/>
      <c r="C19" s="53"/>
      <c r="D19" s="53"/>
      <c r="E19" s="53"/>
      <c r="F19" s="53"/>
      <c r="G19" s="53"/>
    </row>
  </sheetData>
  <conditionalFormatting sqref="D2:D1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avl</vt:lpstr>
      <vt:lpstr>FFF</vt:lpstr>
      <vt:lpstr>Report</vt:lpstr>
      <vt:lpstr>PPV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Idan Menes</dc:creator>
  <cp:keywords/>
  <dc:description/>
  <cp:lastModifiedBy>IMOE001</cp:lastModifiedBy>
  <cp:revision/>
  <dcterms:created xsi:type="dcterms:W3CDTF">2024-10-14T09:28:20Z</dcterms:created>
  <dcterms:modified xsi:type="dcterms:W3CDTF">2026-08-06T03:11:42Z</dcterms:modified>
  <cp:category/>
  <cp:contentStatus/>
</cp:coreProperties>
</file>